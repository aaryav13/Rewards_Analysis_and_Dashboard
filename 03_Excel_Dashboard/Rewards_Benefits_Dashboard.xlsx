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_rels/item14.xml.rels" ContentType="application/vnd.openxmlformats-package.relationships+xml"/>
  <Override PartName="/customXml/_rels/item13.xml.rels" ContentType="application/vnd.openxmlformats-package.relationships+xml"/>
  <Override PartName="/customXml/_rels/item51.xml.rels" ContentType="application/vnd.openxmlformats-package.relationships+xml"/>
  <Override PartName="/customXml/_rels/item64.xml.rels" ContentType="application/vnd.openxmlformats-package.relationships+xml"/>
  <Override PartName="/customXml/_rels/item50.xml.rels" ContentType="application/vnd.openxmlformats-package.relationships+xml"/>
  <Override PartName="/customXml/_rels/item43.xml.rels" ContentType="application/vnd.openxmlformats-package.relationships+xml"/>
  <Override PartName="/customXml/_rels/item42.xml.rels" ContentType="application/vnd.openxmlformats-package.relationships+xml"/>
  <Override PartName="/customXml/_rels/item41.xml.rels" ContentType="application/vnd.openxmlformats-package.relationships+xml"/>
  <Override PartName="/customXml/_rels/item40.xml.rels" ContentType="application/vnd.openxmlformats-package.relationships+xml"/>
  <Override PartName="/customXml/_rels/item67.xml.rels" ContentType="application/vnd.openxmlformats-package.relationships+xml"/>
  <Override PartName="/customXml/_rels/item30.xml.rels" ContentType="application/vnd.openxmlformats-package.relationships+xml"/>
  <Override PartName="/customXml/_rels/item31.xml.rels" ContentType="application/vnd.openxmlformats-package.relationships+xml"/>
  <Override PartName="/customXml/_rels/item68.xml.rels" ContentType="application/vnd.openxmlformats-package.relationships+xml"/>
  <Override PartName="/customXml/_rels/item6.xml.rels" ContentType="application/vnd.openxmlformats-package.relationships+xml"/>
  <Override PartName="/customXml/_rels/item21.xml.rels" ContentType="application/vnd.openxmlformats-package.relationships+xml"/>
  <Override PartName="/customXml/_rels/item58.xml.rels" ContentType="application/vnd.openxmlformats-package.relationships+xml"/>
  <Override PartName="/customXml/_rels/item36.xml.rels" ContentType="application/vnd.openxmlformats-package.relationships+xml"/>
  <Override PartName="/customXml/_rels/item35.xml.rels" ContentType="application/vnd.openxmlformats-package.relationships+xml"/>
  <Override PartName="/customXml/_rels/item34.xml.rels" ContentType="application/vnd.openxmlformats-package.relationships+xml"/>
  <Override PartName="/customXml/_rels/item22.xml.rels" ContentType="application/vnd.openxmlformats-package.relationships+xml"/>
  <Override PartName="/customXml/_rels/item7.xml.rels" ContentType="application/vnd.openxmlformats-package.relationships+xml"/>
  <Override PartName="/customXml/_rels/item59.xml.rels" ContentType="application/vnd.openxmlformats-package.relationships+xml"/>
  <Override PartName="/customXml/_rels/item8.xml.rels" ContentType="application/vnd.openxmlformats-package.relationships+xml"/>
  <Override PartName="/customXml/_rels/item23.xml.rels" ContentType="application/vnd.openxmlformats-package.relationships+xml"/>
  <Override PartName="/customXml/_rels/item19.xml.rels" ContentType="application/vnd.openxmlformats-package.relationships+xml"/>
  <Override PartName="/customXml/_rels/item61.xml.rels" ContentType="application/vnd.openxmlformats-package.relationships+xml"/>
  <Override PartName="/customXml/_rels/item63.xml.rels" ContentType="application/vnd.openxmlformats-package.relationships+xml"/>
  <Override PartName="/customXml/_rels/item18.xml.rels" ContentType="application/vnd.openxmlformats-package.relationships+xml"/>
  <Override PartName="/customXml/_rels/item60.xml.rels" ContentType="application/vnd.openxmlformats-package.relationships+xml"/>
  <Override PartName="/customXml/_rels/item20.xml.rels" ContentType="application/vnd.openxmlformats-package.relationships+xml"/>
  <Override PartName="/customXml/_rels/item5.xml.rels" ContentType="application/vnd.openxmlformats-package.relationships+xml"/>
  <Override PartName="/customXml/_rels/item57.xml.rels" ContentType="application/vnd.openxmlformats-package.relationships+xml"/>
  <Override PartName="/customXml/_rels/item62.xml.rels" ContentType="application/vnd.openxmlformats-package.relationships+xml"/>
  <Override PartName="/customXml/_rels/item52.xml.rels" ContentType="application/vnd.openxmlformats-package.relationships+xml"/>
  <Override PartName="/customXml/_rels/item15.xml.rels" ContentType="application/vnd.openxmlformats-package.relationships+xml"/>
  <Override PartName="/customXml/_rels/item17.xml.rels" ContentType="application/vnd.openxmlformats-package.relationships+xml"/>
  <Override PartName="/customXml/_rels/item9.xml.rels" ContentType="application/vnd.openxmlformats-package.relationships+xml"/>
  <Override PartName="/customXml/_rels/item24.xml.rels" ContentType="application/vnd.openxmlformats-package.relationships+xml"/>
  <Override PartName="/customXml/_rels/item1.xml.rels" ContentType="application/vnd.openxmlformats-package.relationships+xml"/>
  <Override PartName="/customXml/_rels/item53.xml.rels" ContentType="application/vnd.openxmlformats-package.relationships+xml"/>
  <Override PartName="/customXml/_rels/item16.xml.rels" ContentType="application/vnd.openxmlformats-package.relationships+xml"/>
  <Override PartName="/customXml/_rels/item66.xml.rels" ContentType="application/vnd.openxmlformats-package.relationships+xml"/>
  <Override PartName="/customXml/_rels/item29.xml.rels" ContentType="application/vnd.openxmlformats-package.relationships+xml"/>
  <Override PartName="/customXml/_rels/item28.xml.rels" ContentType="application/vnd.openxmlformats-package.relationships+xml"/>
  <Override PartName="/customXml/_rels/item27.xml.rels" ContentType="application/vnd.openxmlformats-package.relationships+xml"/>
  <Override PartName="/customXml/_rels/item39.xml.rels" ContentType="application/vnd.openxmlformats-package.relationships+xml"/>
  <Override PartName="/customXml/_rels/item26.xml.rels" ContentType="application/vnd.openxmlformats-package.relationships+xml"/>
  <Override PartName="/customXml/_rels/item2.xml.rels" ContentType="application/vnd.openxmlformats-package.relationships+xml"/>
  <Override PartName="/customXml/_rels/item54.xml.rels" ContentType="application/vnd.openxmlformats-package.relationships+xml"/>
  <Override PartName="/customXml/_rels/item38.xml.rels" ContentType="application/vnd.openxmlformats-package.relationships+xml"/>
  <Override PartName="/customXml/_rels/item25.xml.rels" ContentType="application/vnd.openxmlformats-package.relationships+xml"/>
  <Override PartName="/customXml/_rels/item37.xml.rels" ContentType="application/vnd.openxmlformats-package.relationships+xml"/>
  <Override PartName="/customXml/_rels/item3.xml.rels" ContentType="application/vnd.openxmlformats-package.relationships+xml"/>
  <Override PartName="/customXml/_rels/item55.xml.rels" ContentType="application/vnd.openxmlformats-package.relationships+xml"/>
  <Override PartName="/customXml/_rels/item4.xml.rels" ContentType="application/vnd.openxmlformats-package.relationships+xml"/>
  <Override PartName="/customXml/_rels/item56.xml.rels" ContentType="application/vnd.openxmlformats-package.relationships+xml"/>
  <Override PartName="/customXml/_rels/item44.xml.rels" ContentType="application/vnd.openxmlformats-package.relationships+xml"/>
  <Override PartName="/customXml/_rels/item45.xml.rels" ContentType="application/vnd.openxmlformats-package.relationships+xml"/>
  <Override PartName="/customXml/_rels/item32.xml.rels" ContentType="application/vnd.openxmlformats-package.relationships+xml"/>
  <Override PartName="/customXml/_rels/item46.xml.rels" ContentType="application/vnd.openxmlformats-package.relationships+xml"/>
  <Override PartName="/customXml/_rels/item33.xml.rels" ContentType="application/vnd.openxmlformats-package.relationships+xml"/>
  <Override PartName="/customXml/_rels/item47.xml.rels" ContentType="application/vnd.openxmlformats-package.relationships+xml"/>
  <Override PartName="/customXml/_rels/item10.xml.rels" ContentType="application/vnd.openxmlformats-package.relationships+xml"/>
  <Override PartName="/customXml/_rels/item48.xml.rels" ContentType="application/vnd.openxmlformats-package.relationships+xml"/>
  <Override PartName="/customXml/_rels/item11.xml.rels" ContentType="application/vnd.openxmlformats-package.relationships+xml"/>
  <Override PartName="/customXml/_rels/item49.xml.rels" ContentType="application/vnd.openxmlformats-package.relationships+xml"/>
  <Override PartName="/customXml/_rels/item12.xml.rels" ContentType="application/vnd.openxmlformats-package.relationships+xml"/>
  <Override PartName="/customXml/_rels/item65.xml.rels" ContentType="application/vnd.openxmlformats-package.relationships+xml"/>
  <Override PartName="/customXml/itemProps63.xml" ContentType="application/vnd.openxmlformats-officedocument.customXmlProperties+xml"/>
  <Override PartName="/customXml/item21.xml" ContentType="application/xml"/>
  <Override PartName="/customXml/item63.xml" ContentType="application/xml"/>
  <Override PartName="/customXml/itemProps37.xml" ContentType="application/vnd.openxmlformats-officedocument.customXmlProperties+xml"/>
  <Override PartName="/customXml/itemProps62.xml" ContentType="application/vnd.openxmlformats-officedocument.customXmlProperties+xml"/>
  <Override PartName="/customXml/item20.xml" ContentType="application/xml"/>
  <Override PartName="/customXml/item62.xml" ContentType="application/xml"/>
  <Override PartName="/customXml/itemProps36.xml" ContentType="application/vnd.openxmlformats-officedocument.customXmlProperties+xml"/>
  <Override PartName="/customXml/itemProps61.xml" ContentType="application/vnd.openxmlformats-officedocument.customXmlProperties+xml"/>
  <Override PartName="/customXml/itemProps41.xml" ContentType="application/vnd.openxmlformats-officedocument.customXmlProperties+xml"/>
  <Override PartName="/customXml/item4.xml" ContentType="application/xml"/>
  <Override PartName="/customXml/itemProps45.xml" ContentType="application/vnd.openxmlformats-officedocument.customXmlProperties+xml"/>
  <Override PartName="/customXml/item8.xml" ContentType="application/xml"/>
  <Override PartName="/customXml/item59.xml" ContentType="application/xml"/>
  <Override PartName="/customXml/itemProps3.xml" ContentType="application/vnd.openxmlformats-officedocument.customXmlProperties+xml"/>
  <Override PartName="/customXml/itemProps46.xml" ContentType="application/vnd.openxmlformats-officedocument.customXmlProperties+xml"/>
  <Override PartName="/customXml/item9.xml" ContentType="application/xml"/>
  <Override PartName="/customXml/item1.xml" ContentType="application/xml"/>
  <Override PartName="/customXml/itemProps26.xml" ContentType="application/vnd.openxmlformats-officedocument.customXmlProperties+xml"/>
  <Override PartName="/customXml/item52.xml" ContentType="application/xml"/>
  <Override PartName="/customXml/itemProps4.xml" ContentType="application/vnd.openxmlformats-officedocument.customXmlProperties+xml"/>
  <Override PartName="/customXml/item58.xml" ContentType="application/xml"/>
  <Override PartName="/customXml/itemProps44.xml" ContentType="application/vnd.openxmlformats-officedocument.customXmlProperties+xml"/>
  <Override PartName="/customXml/item7.xml" ContentType="application/xml"/>
  <Override PartName="/customXml/item34.xml" ContentType="application/xml"/>
  <Override PartName="/customXml/itemProps20.xml" ContentType="application/vnd.openxmlformats-officedocument.customXmlProperties+xml"/>
  <Override PartName="/customXml/item35.xml" ContentType="application/xml"/>
  <Override PartName="/customXml/itemProps21.xml" ContentType="application/vnd.openxmlformats-officedocument.customXmlProperties+xml"/>
  <Override PartName="/customXml/itemProps5.xml" ContentType="application/vnd.openxmlformats-officedocument.customXmlProperties+xml"/>
  <Override PartName="/customXml/item22.xml" ContentType="application/xml"/>
  <Override PartName="/customXml/itemProps64.xml" ContentType="application/vnd.openxmlformats-officedocument.customXmlProperties+xml"/>
  <Override PartName="/customXml/itemProps12.xml" ContentType="application/vnd.openxmlformats-officedocument.customXmlProperties+xml"/>
  <Override PartName="/customXml/item39.xml" ContentType="application/xml"/>
  <Override PartName="/customXml/itemProps2.xml" ContentType="application/vnd.openxmlformats-officedocument.customXmlProperties+xml"/>
  <Override PartName="/customXml/item26.xml" ContentType="application/xml"/>
  <Override PartName="/customXml/itemProps68.xml" ContentType="application/vnd.openxmlformats-officedocument.customXmlProperties+xml"/>
  <Override PartName="/customXml/itemProps11.xml" ContentType="application/vnd.openxmlformats-officedocument.customXmlProperties+xml"/>
  <Override PartName="/customXml/item27.xml" ContentType="application/xml"/>
  <Override PartName="/customXml/itemProps13.xml" ContentType="application/vnd.openxmlformats-officedocument.customXmlProperties+xml"/>
  <Override PartName="/customXml/item28.xml" ContentType="application/xml"/>
  <Override PartName="/customXml/itemProps40.xml" ContentType="application/vnd.openxmlformats-officedocument.customXmlProperties+xml"/>
  <Override PartName="/customXml/item3.xml" ContentType="application/xml"/>
  <Override PartName="/customXml/itemProps28.xml" ContentType="application/vnd.openxmlformats-officedocument.customXmlProperties+xml"/>
  <Override PartName="/customXml/item54.xml" ContentType="application/xml"/>
  <Override PartName="/customXml/item29.xml" ContentType="application/xml"/>
  <Override PartName="/customXml/item66.xml" ContentType="application/xml"/>
  <Override PartName="/customXml/itemProps6.xml" ContentType="application/vnd.openxmlformats-officedocument.customXmlProperties+xml"/>
  <Override PartName="/customXml/item55.xml" ContentType="application/xml"/>
  <Override PartName="/customXml/itemProps29.xml" ContentType="application/vnd.openxmlformats-officedocument.customXmlProperties+xml"/>
  <Override PartName="/customXml/item30.xml" ContentType="application/xml"/>
  <Override PartName="/customXml/item67.xml" ContentType="application/xml"/>
  <Override PartName="/customXml/item68.xml" ContentType="application/xml"/>
  <Override PartName="/customXml/item19.xml" ContentType="application/xml"/>
  <Override PartName="/customXml/item25.xml" ContentType="application/xml"/>
  <Override PartName="/customXml/itemProps67.xml" ContentType="application/vnd.openxmlformats-officedocument.customXmlProperties+xml"/>
  <Override PartName="/customXml/itemProps1.xml" ContentType="application/vnd.openxmlformats-officedocument.customXmlProperties+xml"/>
  <Override PartName="/customXml/item38.xml" ContentType="application/xml"/>
  <Override PartName="/customXml/itemProps10.xml" ContentType="application/vnd.openxmlformats-officedocument.customXmlProperties+xml"/>
  <Override PartName="/customXml/item18.xml" ContentType="application/xml"/>
  <Override PartName="/customXml/item24.xml" ContentType="application/xml"/>
  <Override PartName="/customXml/itemProps66.xml" ContentType="application/vnd.openxmlformats-officedocument.customXmlProperties+xml"/>
  <Override PartName="/customXml/item2.xml" ContentType="application/xml"/>
  <Override PartName="/customXml/itemProps27.xml" ContentType="application/vnd.openxmlformats-officedocument.customXmlProperties+xml"/>
  <Override PartName="/customXml/item53.xml" ContentType="application/xml"/>
  <Override PartName="/customXml/item37.xml" ContentType="application/xml"/>
  <Override PartName="/customXml/itemProps23.xml" ContentType="application/vnd.openxmlformats-officedocument.customXmlProperties+xml"/>
  <Override PartName="/customXml/item23.xml" ContentType="application/xml"/>
  <Override PartName="/customXml/itemProps65.xml" ContentType="application/vnd.openxmlformats-officedocument.customXmlProperties+xml"/>
  <Override PartName="/customXml/itemProps22.xml" ContentType="application/vnd.openxmlformats-officedocument.customXmlProperties+xml"/>
  <Override PartName="/customXml/item36.xml" ContentType="application/xml"/>
  <Override PartName="/customXml/itemProps7.xml" ContentType="application/vnd.openxmlformats-officedocument.customXmlProperties+xml"/>
  <Override PartName="/customXml/item5.xml" ContentType="application/xml"/>
  <Override PartName="/customXml/itemProps42.xml" ContentType="application/vnd.openxmlformats-officedocument.customXmlProperties+xml"/>
  <Override PartName="/customXml/item56.xml" ContentType="application/xml"/>
  <Override PartName="/customXml/itemProps8.xml" ContentType="application/vnd.openxmlformats-officedocument.customXmlProperties+xml"/>
  <Override PartName="/customXml/item6.xml" ContentType="application/xml"/>
  <Override PartName="/customXml/itemProps43.xml" ContentType="application/vnd.openxmlformats-officedocument.customXmlProperties+xml"/>
  <Override PartName="/customXml/item57.xml" ContentType="application/xml"/>
  <Override PartName="/customXml/itemProps9.xml" ContentType="application/vnd.openxmlformats-officedocument.customXmlProperties+xml"/>
  <Override PartName="/customXml/itemProps30.xml" ContentType="application/vnd.openxmlformats-officedocument.customXmlProperties+xml"/>
  <Override PartName="/customXml/item44.xml" ContentType="application/xml"/>
  <Override PartName="/customXml/itemProps18.xml" ContentType="application/vnd.openxmlformats-officedocument.customXmlProperties+xml"/>
  <Override PartName="/customXml/item31.xml" ContentType="application/xml"/>
  <Override PartName="/customXml/itemProps31.xml" ContentType="application/vnd.openxmlformats-officedocument.customXmlProperties+xml"/>
  <Override PartName="/customXml/item45.xml" ContentType="application/xml"/>
  <Override PartName="/customXml/itemProps19.xml" ContentType="application/vnd.openxmlformats-officedocument.customXmlProperties+xml"/>
  <Override PartName="/customXml/item32.xml" ContentType="application/xml"/>
  <Override PartName="/customXml/itemProps32.xml" ContentType="application/vnd.openxmlformats-officedocument.customXmlProperties+xml"/>
  <Override PartName="/customXml/item46.xml" ContentType="application/xml"/>
  <Override PartName="/customXml/item33.xml" ContentType="application/xml"/>
  <Override PartName="/customXml/itemProps33.xml" ContentType="application/vnd.openxmlformats-officedocument.customXmlProperties+xml"/>
  <Override PartName="/customXml/item47.xml" ContentType="application/xml"/>
  <Override PartName="/customXml/item48.xml" ContentType="application/xml"/>
  <Override PartName="/customXml/item49.xml" ContentType="application/xml"/>
  <Override PartName="/customXml/itemProps51.xml" ContentType="application/vnd.openxmlformats-officedocument.customXmlProperties+xml"/>
  <Override PartName="/customXml/item65.xml" ContentType="application/xml"/>
  <Override PartName="/customXml/itemProps39.xml" ContentType="application/vnd.openxmlformats-officedocument.customXmlProperties+xml"/>
  <Override PartName="/customXml/itemProps14.xml" ContentType="application/vnd.openxmlformats-officedocument.customXmlProperties+xml"/>
  <Override PartName="/customXml/item40.xml" ContentType="application/xml"/>
  <Override PartName="/customXml/itemProps15.xml" ContentType="application/vnd.openxmlformats-officedocument.customXmlProperties+xml"/>
  <Override PartName="/customXml/item41.xml" ContentType="application/xml"/>
  <Override PartName="/customXml/itemProps16.xml" ContentType="application/vnd.openxmlformats-officedocument.customXmlProperties+xml"/>
  <Override PartName="/customXml/item42.xml" ContentType="application/xml"/>
  <Override PartName="/customXml/itemProps17.xml" ContentType="application/vnd.openxmlformats-officedocument.customXmlProperties+xml"/>
  <Override PartName="/customXml/item43.xml" ContentType="application/xml"/>
  <Override PartName="/customXml/itemProps47.xml" ContentType="application/vnd.openxmlformats-officedocument.customXmlProperties+xml"/>
  <Override PartName="/customXml/itemProps48.xml" ContentType="application/vnd.openxmlformats-officedocument.customXmlProperties+xml"/>
  <Override PartName="/customXml/itemProps49.xml" ContentType="application/vnd.openxmlformats-officedocument.customXmlProperties+xml"/>
  <Override PartName="/customXml/itemProps24.xml" ContentType="application/vnd.openxmlformats-officedocument.customXmlProperties+xml"/>
  <Override PartName="/customXml/item50.xml" ContentType="application/xml"/>
  <Override PartName="/customXml/itemProps50.xml" ContentType="application/vnd.openxmlformats-officedocument.customXmlProperties+xml"/>
  <Override PartName="/customXml/item64.xml" ContentType="application/xml"/>
  <Override PartName="/customXml/itemProps38.xml" ContentType="application/vnd.openxmlformats-officedocument.customXmlProperties+xml"/>
  <Override PartName="/customXml/itemProps25.xml" ContentType="application/vnd.openxmlformats-officedocument.customXmlProperties+xml"/>
  <Override PartName="/customXml/item51.xml" ContentType="application/xml"/>
  <Override PartName="/customXml/itemProps52.xml" ContentType="application/vnd.openxmlformats-officedocument.customXmlProperties+xml"/>
  <Override PartName="/customXml/item10.xml" ContentType="application/xml"/>
  <Override PartName="/customXml/itemProps53.xml" ContentType="application/vnd.openxmlformats-officedocument.customXmlProperties+xml"/>
  <Override PartName="/customXml/item11.xml" ContentType="application/xml"/>
  <Override PartName="/customXml/itemProps54.xml" ContentType="application/vnd.openxmlformats-officedocument.customXmlProperties+xml"/>
  <Override PartName="/customXml/item12.xml" ContentType="application/xml"/>
  <Override PartName="/customXml/item13.xml" ContentType="application/xml"/>
  <Override PartName="/customXml/itemProps55.xml" ContentType="application/vnd.openxmlformats-officedocument.customXmlProperties+xml"/>
  <Override PartName="/customXml/item14.xml" ContentType="application/xml"/>
  <Override PartName="/customXml/itemProps56.xml" ContentType="application/vnd.openxmlformats-officedocument.customXmlProperties+xml"/>
  <Override PartName="/customXml/item15.xml" ContentType="application/xml"/>
  <Override PartName="/customXml/itemProps57.xml" ContentType="application/vnd.openxmlformats-officedocument.customXmlProperties+xml"/>
  <Override PartName="/customXml/item16.xml" ContentType="application/xml"/>
  <Override PartName="/customXml/itemProps58.xml" ContentType="application/vnd.openxmlformats-officedocument.customXmlProperties+xml"/>
  <Override PartName="/customXml/item17.xml" ContentType="application/xml"/>
  <Override PartName="/customXml/itemProps59.xml" ContentType="application/vnd.openxmlformats-officedocument.customXmlProperties+xml"/>
  <Override PartName="/customXml/itemProps34.xml" ContentType="application/vnd.openxmlformats-officedocument.customXmlProperties+xml"/>
  <Override PartName="/customXml/item60.xml" ContentType="application/xml"/>
  <Override PartName="/customXml/itemProps60.xml" ContentType="application/vnd.openxmlformats-officedocument.customXmlProperties+xml"/>
  <Override PartName="/customXml/itemProps35.xml" ContentType="application/vnd.openxmlformats-officedocument.customXmlProperties+xml"/>
  <Override PartName="/customXml/item61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openxmlformats.org/officeDocument/2006/relationships/customXml" Target="../customXml/item4.xml"/><Relationship Id="rId9" Type="http://schemas.openxmlformats.org/officeDocument/2006/relationships/customXml" Target="../customXml/item5.xml"/><Relationship Id="rId10" Type="http://schemas.openxmlformats.org/officeDocument/2006/relationships/customXml" Target="../customXml/item6.xml"/><Relationship Id="rId11" Type="http://schemas.openxmlformats.org/officeDocument/2006/relationships/customXml" Target="../customXml/item7.xml"/><Relationship Id="rId12" Type="http://schemas.openxmlformats.org/officeDocument/2006/relationships/customXml" Target="../customXml/item8.xml"/><Relationship Id="rId13" Type="http://schemas.openxmlformats.org/officeDocument/2006/relationships/customXml" Target="../customXml/item9.xml"/><Relationship Id="rId14" Type="http://schemas.openxmlformats.org/officeDocument/2006/relationships/customXml" Target="../customXml/item10.xml"/><Relationship Id="rId15" Type="http://schemas.openxmlformats.org/officeDocument/2006/relationships/customXml" Target="../customXml/item11.xml"/><Relationship Id="rId16" Type="http://schemas.openxmlformats.org/officeDocument/2006/relationships/customXml" Target="../customXml/item12.xml"/><Relationship Id="rId17" Type="http://schemas.openxmlformats.org/officeDocument/2006/relationships/customXml" Target="../customXml/item13.xml"/><Relationship Id="rId18" Type="http://schemas.openxmlformats.org/officeDocument/2006/relationships/customXml" Target="../customXml/item14.xml"/><Relationship Id="rId19" Type="http://schemas.openxmlformats.org/officeDocument/2006/relationships/customXml" Target="../customXml/item15.xml"/><Relationship Id="rId20" Type="http://schemas.openxmlformats.org/officeDocument/2006/relationships/customXml" Target="../customXml/item16.xml"/><Relationship Id="rId21" Type="http://schemas.openxmlformats.org/officeDocument/2006/relationships/customXml" Target="../customXml/item17.xml"/><Relationship Id="rId22" Type="http://schemas.openxmlformats.org/officeDocument/2006/relationships/customXml" Target="../customXml/item18.xml"/><Relationship Id="rId23" Type="http://schemas.openxmlformats.org/officeDocument/2006/relationships/customXml" Target="../customXml/item19.xml"/><Relationship Id="rId24" Type="http://schemas.openxmlformats.org/officeDocument/2006/relationships/customXml" Target="../customXml/item20.xml"/><Relationship Id="rId25" Type="http://schemas.openxmlformats.org/officeDocument/2006/relationships/customXml" Target="../customXml/item21.xml"/><Relationship Id="rId26" Type="http://schemas.openxmlformats.org/officeDocument/2006/relationships/customXml" Target="../customXml/item22.xml"/><Relationship Id="rId27" Type="http://schemas.openxmlformats.org/officeDocument/2006/relationships/customXml" Target="../customXml/item23.xml"/><Relationship Id="rId28" Type="http://schemas.openxmlformats.org/officeDocument/2006/relationships/customXml" Target="../customXml/item24.xml"/><Relationship Id="rId29" Type="http://schemas.openxmlformats.org/officeDocument/2006/relationships/customXml" Target="../customXml/item25.xml"/><Relationship Id="rId30" Type="http://schemas.openxmlformats.org/officeDocument/2006/relationships/customXml" Target="../customXml/item26.xml"/><Relationship Id="rId31" Type="http://schemas.openxmlformats.org/officeDocument/2006/relationships/customXml" Target="../customXml/item27.xml"/><Relationship Id="rId32" Type="http://schemas.openxmlformats.org/officeDocument/2006/relationships/customXml" Target="../customXml/item28.xml"/><Relationship Id="rId33" Type="http://schemas.openxmlformats.org/officeDocument/2006/relationships/customXml" Target="../customXml/item29.xml"/><Relationship Id="rId34" Type="http://schemas.openxmlformats.org/officeDocument/2006/relationships/customXml" Target="../customXml/item30.xml"/><Relationship Id="rId35" Type="http://schemas.openxmlformats.org/officeDocument/2006/relationships/customXml" Target="../customXml/item31.xml"/><Relationship Id="rId36" Type="http://schemas.openxmlformats.org/officeDocument/2006/relationships/customXml" Target="../customXml/item32.xml"/><Relationship Id="rId37" Type="http://schemas.openxmlformats.org/officeDocument/2006/relationships/customXml" Target="../customXml/item33.xml"/><Relationship Id="rId38" Type="http://schemas.openxmlformats.org/officeDocument/2006/relationships/customXml" Target="../customXml/item34.xml"/><Relationship Id="rId39" Type="http://schemas.openxmlformats.org/officeDocument/2006/relationships/customXml" Target="../customXml/item35.xml"/><Relationship Id="rId40" Type="http://schemas.openxmlformats.org/officeDocument/2006/relationships/customXml" Target="../customXml/item36.xml"/><Relationship Id="rId41" Type="http://schemas.openxmlformats.org/officeDocument/2006/relationships/customXml" Target="../customXml/item37.xml"/><Relationship Id="rId42" Type="http://schemas.openxmlformats.org/officeDocument/2006/relationships/customXml" Target="../customXml/item38.xml"/><Relationship Id="rId43" Type="http://schemas.openxmlformats.org/officeDocument/2006/relationships/customXml" Target="../customXml/item39.xml"/><Relationship Id="rId44" Type="http://schemas.openxmlformats.org/officeDocument/2006/relationships/customXml" Target="../customXml/item40.xml"/><Relationship Id="rId45" Type="http://schemas.openxmlformats.org/officeDocument/2006/relationships/customXml" Target="../customXml/item41.xml"/><Relationship Id="rId46" Type="http://schemas.openxmlformats.org/officeDocument/2006/relationships/customXml" Target="../customXml/item42.xml"/><Relationship Id="rId47" Type="http://schemas.openxmlformats.org/officeDocument/2006/relationships/customXml" Target="../customXml/item43.xml"/><Relationship Id="rId48" Type="http://schemas.openxmlformats.org/officeDocument/2006/relationships/customXml" Target="../customXml/item44.xml"/><Relationship Id="rId49" Type="http://schemas.openxmlformats.org/officeDocument/2006/relationships/customXml" Target="../customXml/item45.xml"/><Relationship Id="rId50" Type="http://schemas.openxmlformats.org/officeDocument/2006/relationships/customXml" Target="../customXml/item46.xml"/><Relationship Id="rId51" Type="http://schemas.openxmlformats.org/officeDocument/2006/relationships/customXml" Target="../customXml/item47.xml"/><Relationship Id="rId52" Type="http://schemas.openxmlformats.org/officeDocument/2006/relationships/customXml" Target="../customXml/item48.xml"/><Relationship Id="rId53" Type="http://schemas.openxmlformats.org/officeDocument/2006/relationships/customXml" Target="../customXml/item49.xml"/><Relationship Id="rId54" Type="http://schemas.openxmlformats.org/officeDocument/2006/relationships/customXml" Target="../customXml/item50.xml"/><Relationship Id="rId55" Type="http://schemas.openxmlformats.org/officeDocument/2006/relationships/customXml" Target="../customXml/item51.xml"/><Relationship Id="rId56" Type="http://schemas.openxmlformats.org/officeDocument/2006/relationships/customXml" Target="../customXml/item52.xml"/><Relationship Id="rId57" Type="http://schemas.openxmlformats.org/officeDocument/2006/relationships/customXml" Target="../customXml/item53.xml"/><Relationship Id="rId58" Type="http://schemas.openxmlformats.org/officeDocument/2006/relationships/customXml" Target="../customXml/item54.xml"/><Relationship Id="rId59" Type="http://schemas.openxmlformats.org/officeDocument/2006/relationships/customXml" Target="../customXml/item55.xml"/><Relationship Id="rId60" Type="http://schemas.openxmlformats.org/officeDocument/2006/relationships/customXml" Target="../customXml/item56.xml"/><Relationship Id="rId61" Type="http://schemas.openxmlformats.org/officeDocument/2006/relationships/customXml" Target="../customXml/item57.xml"/><Relationship Id="rId62" Type="http://schemas.openxmlformats.org/officeDocument/2006/relationships/customXml" Target="../customXml/item58.xml"/><Relationship Id="rId63" Type="http://schemas.openxmlformats.org/officeDocument/2006/relationships/customXml" Target="../customXml/item59.xml"/><Relationship Id="rId64" Type="http://schemas.openxmlformats.org/officeDocument/2006/relationships/customXml" Target="../customXml/item60.xml"/><Relationship Id="rId65" Type="http://schemas.openxmlformats.org/officeDocument/2006/relationships/customXml" Target="../customXml/item61.xml"/><Relationship Id="rId66" Type="http://schemas.openxmlformats.org/officeDocument/2006/relationships/customXml" Target="../customXml/item62.xml"/><Relationship Id="rId67" Type="http://schemas.openxmlformats.org/officeDocument/2006/relationships/customXml" Target="../customXml/item63.xml"/><Relationship Id="rId68" Type="http://schemas.openxmlformats.org/officeDocument/2006/relationships/customXml" Target="../customXml/item64.xml"/><Relationship Id="rId69" Type="http://schemas.openxmlformats.org/officeDocument/2006/relationships/customXml" Target="../customXml/item65.xml"/><Relationship Id="rId70" Type="http://schemas.openxmlformats.org/officeDocument/2006/relationships/customXml" Target="../customXml/item66.xml"/><Relationship Id="rId71" Type="http://schemas.openxmlformats.org/officeDocument/2006/relationships/customXml" Target="../customXml/item67.xml"/><Relationship Id="rId72" Type="http://schemas.openxmlformats.org/officeDocument/2006/relationships/customXml" Target="../customXml/item68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64" firstSheet="0" activeTab="3"/>
  </bookViews>
  <sheets>
    <sheet name="Cover" sheetId="1" state="visible" r:id="rId3"/>
    <sheet name="Rewards Dashboard" sheetId="2" state="visible" r:id="rId4"/>
    <sheet name="Helper Sheet" sheetId="3" state="visible" r:id="rId5"/>
    <sheet name="Employee Data" sheetId="4" state="visible" r:id="rId6"/>
  </sheets>
  <definedNames>
    <definedName function="false" hidden="false" name="Slicer_Department" vbProcedure="false">#N/A</definedName>
    <definedName function="false" hidden="false" name="Slicer_Gender" vbProcedure="false">#N/A</definedName>
    <definedName function="false" hidden="false" name="Slicer_Location" vbProcedure="false">#N/A</definedName>
    <definedName function="false" hidden="true" localSheetId="3" name="ExternalData_1" vbProcedure="false">'Employee Data'!$A$1:$M$493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<sst xmlns="http://schemas.openxmlformats.org/spreadsheetml/2006/main" count="5585" uniqueCount="994">
  <si>
    <t xml:space="preserve">Rewards &amp; Benefits Analytics Dashboard</t>
  </si>
  <si>
    <t xml:space="preserve">McKinsey-style executive view using live formulas, pivots, and all employee records.</t>
  </si>
  <si>
    <t xml:space="preserve">CONTENTS</t>
  </si>
  <si>
    <t xml:space="preserve">DESCRIPTION</t>
  </si>
  <si>
    <t xml:space="preserve">Rewards Dashboard</t>
  </si>
  <si>
    <t xml:space="preserve">Interactive executive dashboard with filters, KPI cards, charts, benchmarking table, and narrative insights.</t>
  </si>
  <si>
    <t xml:space="preserve">Employee Data</t>
  </si>
  <si>
    <t xml:space="preserve">Source employee table used for the live dashboard calculations.</t>
  </si>
  <si>
    <t xml:space="preserve">Rewards &amp; Benefits Allocation</t>
  </si>
  <si>
    <t xml:space="preserve">Existing pivot allocation view used as a validation source for premium and high-cost totals.</t>
  </si>
  <si>
    <t xml:space="preserve">Gender Pay Equity</t>
  </si>
  <si>
    <t xml:space="preserve">Existing gender pay pivot analysis referenced in the pay-gap visualization.</t>
  </si>
  <si>
    <t xml:space="preserve">Basic Analysis</t>
  </si>
  <si>
    <t xml:space="preserve">Existing pivot-table workbook analysis supporting the dashboard.</t>
  </si>
  <si>
    <t xml:space="preserve">Dashboard Data</t>
  </si>
  <si>
    <t xml:space="preserve">Hidden helper sheet with live formulas feeding dashboard charts.</t>
  </si>
  <si>
    <t xml:space="preserve">Rewards operations dashboard</t>
  </si>
  <si>
    <t xml:space="preserve">Interactive rewards, benefits, pay equity and benchmarking view — change filters to refresh KPIs, charts and table.</t>
  </si>
  <si>
    <t xml:space="preserve">Location</t>
  </si>
  <si>
    <t xml:space="preserve">All</t>
  </si>
  <si>
    <t xml:space="preserve">Gender</t>
  </si>
  <si>
    <t xml:space="preserve">Department</t>
  </si>
  <si>
    <t xml:space="preserve">Source: Demo Data created with 492 rows</t>
  </si>
  <si>
    <t xml:space="preserve">Headcount</t>
  </si>
  <si>
    <t xml:space="preserve">Avg salary</t>
  </si>
  <si>
    <t xml:space="preserve">Total premium</t>
  </si>
  <si>
    <t xml:space="preserve">High-cost %</t>
  </si>
  <si>
    <t xml:space="preserve">AVG PREMIUM BY DEPARTMENT X LOCATION</t>
  </si>
  <si>
    <t xml:space="preserve">PLAN MIX BY TIER</t>
  </si>
  <si>
    <t xml:space="preserve">HEADCOUNT BY DEPARTMENT</t>
  </si>
  <si>
    <t xml:space="preserve">GENDER PAY GAP BY SALARY BAND</t>
  </si>
  <si>
    <t xml:space="preserve">BENCHMARKING SUBMISSION VIEW</t>
  </si>
  <si>
    <t xml:space="preserve">Avg premium</t>
  </si>
  <si>
    <t xml:space="preserve">Story in brief: High-cost employees are defined as employees with monthly premiums over ₹7,000. Under this threshold, high-premium benefit combinations are the main cost concentration. Use the filters above to isolate a city, gender, or department; every KPI, chart and benchmarking row recalculates from the employee-level source table.</t>
  </si>
  <si>
    <t xml:space="preserve">RAW DATA TABLE</t>
  </si>
  <si>
    <t xml:space="preserve">Raw data table: the dashboard is powered by `Employee Data` rows with validated Location, Department, Gender, Insurance tier and Corporate Benefit Plan fields. The hidden `Dashboard Data` helper sheet holds live formulas that feed the charts; source records remain on the original data sheet.</t>
  </si>
  <si>
    <t xml:space="preserve">Locations</t>
  </si>
  <si>
    <t xml:space="preserve">Genders</t>
  </si>
  <si>
    <t xml:space="preserve">Departments</t>
  </si>
  <si>
    <t xml:space="preserve">Tiers</t>
  </si>
  <si>
    <t xml:space="preserve">Plans</t>
  </si>
  <si>
    <t xml:space="preserve">Salary Bands</t>
  </si>
  <si>
    <t xml:space="preserve">Bronze</t>
  </si>
  <si>
    <t xml:space="preserve">Individual</t>
  </si>
  <si>
    <t xml:space="preserve">Junior</t>
  </si>
  <si>
    <t xml:space="preserve">Bengaluru</t>
  </si>
  <si>
    <t xml:space="preserve">Female</t>
  </si>
  <si>
    <t xml:space="preserve">Finance</t>
  </si>
  <si>
    <t xml:space="preserve">Silver</t>
  </si>
  <si>
    <t xml:space="preserve">Family Floater</t>
  </si>
  <si>
    <t xml:space="preserve">Mid</t>
  </si>
  <si>
    <t xml:space="preserve">Gurugram</t>
  </si>
  <si>
    <t xml:space="preserve">Male</t>
  </si>
  <si>
    <t xml:space="preserve">HR</t>
  </si>
  <si>
    <t xml:space="preserve">Gold</t>
  </si>
  <si>
    <t xml:space="preserve">Parents Included</t>
  </si>
  <si>
    <t xml:space="preserve">Senior</t>
  </si>
  <si>
    <t xml:space="preserve">Hyderabad</t>
  </si>
  <si>
    <t xml:space="preserve">Transgender</t>
  </si>
  <si>
    <t xml:space="preserve">Operations</t>
  </si>
  <si>
    <t xml:space="preserve">Lead</t>
  </si>
  <si>
    <t xml:space="preserve">Noida</t>
  </si>
  <si>
    <t xml:space="preserve">Sales</t>
  </si>
  <si>
    <t xml:space="preserve">Tech</t>
  </si>
  <si>
    <t xml:space="preserve">Insurance tier</t>
  </si>
  <si>
    <t xml:space="preserve">Salary band</t>
  </si>
  <si>
    <t xml:space="preserve">Gap (M-F)</t>
  </si>
  <si>
    <t xml:space="preserve">Employee ID</t>
  </si>
  <si>
    <t xml:space="preserve">Full Name</t>
  </si>
  <si>
    <t xml:space="preserve">Monthly Base Salary (INR)</t>
  </si>
  <si>
    <t xml:space="preserve">Corporate Benefit Plan</t>
  </si>
  <si>
    <t xml:space="preserve">Monthly Premiums</t>
  </si>
  <si>
    <t xml:space="preserve">Salary Bracket</t>
  </si>
  <si>
    <t xml:space="preserve">Salary Tier</t>
  </si>
  <si>
    <t xml:space="preserve">Vendor Survey Job Code</t>
  </si>
  <si>
    <t xml:space="preserve">Vendor Global Group Name</t>
  </si>
  <si>
    <t xml:space="preserve">Min</t>
  </si>
  <si>
    <t xml:space="preserve">Max</t>
  </si>
  <si>
    <t xml:space="preserve">Emp1011</t>
  </si>
  <si>
    <t xml:space="preserve">Philip Dias</t>
  </si>
  <si>
    <t xml:space="preserve">Between 50k and 200k</t>
  </si>
  <si>
    <t xml:space="preserve">IN-OPS-02</t>
  </si>
  <si>
    <t xml:space="preserve">Core Operations Specialist</t>
  </si>
  <si>
    <t xml:space="preserve">Range of Salary</t>
  </si>
  <si>
    <t xml:space="preserve">Emp1337</t>
  </si>
  <si>
    <t xml:space="preserve">Kaif Pathan</t>
  </si>
  <si>
    <t xml:space="preserve">IQR</t>
  </si>
  <si>
    <t xml:space="preserve">Emp1399</t>
  </si>
  <si>
    <t xml:space="preserve">Karma Lepcha</t>
  </si>
  <si>
    <t xml:space="preserve">Outlier check</t>
  </si>
  <si>
    <t xml:space="preserve">Lower bound</t>
  </si>
  <si>
    <t xml:space="preserve">Upper Bound</t>
  </si>
  <si>
    <t xml:space="preserve">Emp1358</t>
  </si>
  <si>
    <t xml:space="preserve">Nongthombam Nongthombam</t>
  </si>
  <si>
    <t xml:space="preserve">Emp1396</t>
  </si>
  <si>
    <t xml:space="preserve">Kersi Anand</t>
  </si>
  <si>
    <t xml:space="preserve">IN-SLS-01</t>
  </si>
  <si>
    <t xml:space="preserve">Field Sales Execution</t>
  </si>
  <si>
    <t xml:space="preserve">No Low Outliers</t>
  </si>
  <si>
    <t xml:space="preserve">High Outliers Exist</t>
  </si>
  <si>
    <t xml:space="preserve">Emp1382</t>
  </si>
  <si>
    <t xml:space="preserve">Gursharan Dhaliwal</t>
  </si>
  <si>
    <t xml:space="preserve">IN-FIN-03</t>
  </si>
  <si>
    <t xml:space="preserve">Corporate Finance Core</t>
  </si>
  <si>
    <t xml:space="preserve">Emp1446</t>
  </si>
  <si>
    <t xml:space="preserve">Harish Pandey</t>
  </si>
  <si>
    <t xml:space="preserve">Emp1271</t>
  </si>
  <si>
    <t xml:space="preserve">Mebandari Nongsiej</t>
  </si>
  <si>
    <t xml:space="preserve">Emp1324</t>
  </si>
  <si>
    <t xml:space="preserve">Jaspreet Brar</t>
  </si>
  <si>
    <t xml:space="preserve">IN-HR-02</t>
  </si>
  <si>
    <t xml:space="preserve">Corporate Talent Admin</t>
  </si>
  <si>
    <t xml:space="preserve">Emp1219</t>
  </si>
  <si>
    <t xml:space="preserve">Dipika Sarma</t>
  </si>
  <si>
    <t xml:space="preserve">Emp1230</t>
  </si>
  <si>
    <t xml:space="preserve">Kulwinder Randhawa</t>
  </si>
  <si>
    <t xml:space="preserve">IN-TECH-04</t>
  </si>
  <si>
    <t xml:space="preserve">High-Value Technical Core</t>
  </si>
  <si>
    <t xml:space="preserve">Emp1020</t>
  </si>
  <si>
    <t xml:space="preserve">Bhavesh Kapoor</t>
  </si>
  <si>
    <t xml:space="preserve">Emp1395</t>
  </si>
  <si>
    <t xml:space="preserve">Kumar Raman</t>
  </si>
  <si>
    <t xml:space="preserve">Emp1421</t>
  </si>
  <si>
    <t xml:space="preserve">Anand Krishnan</t>
  </si>
  <si>
    <t xml:space="preserve">Emp1471</t>
  </si>
  <si>
    <t xml:space="preserve">Arif Hashmi</t>
  </si>
  <si>
    <t xml:space="preserve">Emp1198</t>
  </si>
  <si>
    <t xml:space="preserve">Gopal Nair</t>
  </si>
  <si>
    <t xml:space="preserve">Emp1484</t>
  </si>
  <si>
    <t xml:space="preserve">Saroja Raman</t>
  </si>
  <si>
    <t xml:space="preserve">Emp1182</t>
  </si>
  <si>
    <t xml:space="preserve">Rituraj Das</t>
  </si>
  <si>
    <t xml:space="preserve">Emp1314</t>
  </si>
  <si>
    <t xml:space="preserve">Arjun Yadav</t>
  </si>
  <si>
    <t xml:space="preserve">Emp1376</t>
  </si>
  <si>
    <t xml:space="preserve">Wasim Baig</t>
  </si>
  <si>
    <t xml:space="preserve">Emp1276</t>
  </si>
  <si>
    <t xml:space="preserve">Subhashini Iyengar</t>
  </si>
  <si>
    <t xml:space="preserve">Emp1264</t>
  </si>
  <si>
    <t xml:space="preserve">Kevi Chang</t>
  </si>
  <si>
    <t xml:space="preserve">Emp1463</t>
  </si>
  <si>
    <t xml:space="preserve">Kausar Mirza</t>
  </si>
  <si>
    <t xml:space="preserve">Emp1481</t>
  </si>
  <si>
    <t xml:space="preserve">Navjot Sodhi</t>
  </si>
  <si>
    <t xml:space="preserve">Emp1150</t>
  </si>
  <si>
    <t xml:space="preserve">Saba Qureshi</t>
  </si>
  <si>
    <t xml:space="preserve">Emp1120</t>
  </si>
  <si>
    <t xml:space="preserve">Vanlalhruaia Zote</t>
  </si>
  <si>
    <t xml:space="preserve">Emp1008</t>
  </si>
  <si>
    <t xml:space="preserve">Aditya Thakur</t>
  </si>
  <si>
    <t xml:space="preserve">Emp1419</t>
  </si>
  <si>
    <t xml:space="preserve">Damida Wahlang</t>
  </si>
  <si>
    <t xml:space="preserve">Emp1067</t>
  </si>
  <si>
    <t xml:space="preserve">Deepika Khanna</t>
  </si>
  <si>
    <t xml:space="preserve">Emp1256</t>
  </si>
  <si>
    <t xml:space="preserve">Wanshai Wahlang</t>
  </si>
  <si>
    <t xml:space="preserve">Emp1183</t>
  </si>
  <si>
    <t xml:space="preserve">Behram Engineer</t>
  </si>
  <si>
    <t xml:space="preserve">Emp1033</t>
  </si>
  <si>
    <t xml:space="preserve">Roshan Cooper</t>
  </si>
  <si>
    <t xml:space="preserve">Emp1232</t>
  </si>
  <si>
    <t xml:space="preserve">Rehan Sheikh</t>
  </si>
  <si>
    <t xml:space="preserve">Emp1321</t>
  </si>
  <si>
    <t xml:space="preserve">Tejinder Kang</t>
  </si>
  <si>
    <t xml:space="preserve">Emp1169</t>
  </si>
  <si>
    <t xml:space="preserve">Grasing Chisim</t>
  </si>
  <si>
    <t xml:space="preserve">Emp1220</t>
  </si>
  <si>
    <t xml:space="preserve">Kmen Nongrum</t>
  </si>
  <si>
    <t xml:space="preserve">Emp1498</t>
  </si>
  <si>
    <t xml:space="preserve">Amandeep Sidhu</t>
  </si>
  <si>
    <t xml:space="preserve">Emp1469</t>
  </si>
  <si>
    <t xml:space="preserve">Emp1249</t>
  </si>
  <si>
    <t xml:space="preserve">Akum Koi</t>
  </si>
  <si>
    <t xml:space="preserve">Emp1265</t>
  </si>
  <si>
    <t xml:space="preserve">Leo Coelho</t>
  </si>
  <si>
    <t xml:space="preserve">Emp1094</t>
  </si>
  <si>
    <t xml:space="preserve">Sanjenbam Meitei</t>
  </si>
  <si>
    <t xml:space="preserve">Emp1051</t>
  </si>
  <si>
    <t xml:space="preserve">Lalrindika Lalrinchhana</t>
  </si>
  <si>
    <t xml:space="preserve">Emp1366</t>
  </si>
  <si>
    <t xml:space="preserve">Pesi Contractor</t>
  </si>
  <si>
    <t xml:space="preserve">Emp1398</t>
  </si>
  <si>
    <t xml:space="preserve">Lakhi Rajkhowa</t>
  </si>
  <si>
    <t xml:space="preserve">Emp1489</t>
  </si>
  <si>
    <t xml:space="preserve">Nagendra Murasingh</t>
  </si>
  <si>
    <t xml:space="preserve">Emp1248</t>
  </si>
  <si>
    <t xml:space="preserve">Amrinder Gill</t>
  </si>
  <si>
    <t xml:space="preserve">Emp1381</t>
  </si>
  <si>
    <t xml:space="preserve">Karin Tapin</t>
  </si>
  <si>
    <t xml:space="preserve">Emp1355</t>
  </si>
  <si>
    <t xml:space="preserve">Rwswmwi Boro</t>
  </si>
  <si>
    <t xml:space="preserve">Emp1298</t>
  </si>
  <si>
    <t xml:space="preserve">Pervin Engineer</t>
  </si>
  <si>
    <t xml:space="preserve">Emp1453</t>
  </si>
  <si>
    <t xml:space="preserve">Zhale Ao</t>
  </si>
  <si>
    <t xml:space="preserve">Emp1240</t>
  </si>
  <si>
    <t xml:space="preserve">Krishna Pradhan Wangdi</t>
  </si>
  <si>
    <t xml:space="preserve">Emp1308</t>
  </si>
  <si>
    <t xml:space="preserve">Anna Colaco</t>
  </si>
  <si>
    <t xml:space="preserve">Emp1107</t>
  </si>
  <si>
    <t xml:space="preserve">Gulnaz Khan</t>
  </si>
  <si>
    <t xml:space="preserve">Emp1192</t>
  </si>
  <si>
    <t xml:space="preserve">David Colaco</t>
  </si>
  <si>
    <t xml:space="preserve">Emp1238</t>
  </si>
  <si>
    <t xml:space="preserve">Emp1176</t>
  </si>
  <si>
    <t xml:space="preserve">Iaidor Nongbet</t>
  </si>
  <si>
    <t xml:space="preserve">Emp1200</t>
  </si>
  <si>
    <t xml:space="preserve">Rashmi Rekha Choudhury</t>
  </si>
  <si>
    <t xml:space="preserve">Emp1385</t>
  </si>
  <si>
    <t xml:space="preserve">Dilip Bhuyan</t>
  </si>
  <si>
    <t xml:space="preserve">Emp1331</t>
  </si>
  <si>
    <t xml:space="preserve">Radhika Chettiar</t>
  </si>
  <si>
    <t xml:space="preserve">Emp1261</t>
  </si>
  <si>
    <t xml:space="preserve">Amrit Sandhu</t>
  </si>
  <si>
    <t xml:space="preserve">Emp1034</t>
  </si>
  <si>
    <t xml:space="preserve">Ankit Chauhan</t>
  </si>
  <si>
    <t xml:space="preserve">Emp1475</t>
  </si>
  <si>
    <t xml:space="preserve">Gurdeep Mann</t>
  </si>
  <si>
    <t xml:space="preserve">Emp1491</t>
  </si>
  <si>
    <t xml:space="preserve">Kitboklang Pariat</t>
  </si>
  <si>
    <t xml:space="preserve">Emp1405</t>
  </si>
  <si>
    <t xml:space="preserve">Nyari Tayeng</t>
  </si>
  <si>
    <t xml:space="preserve">Emp1357</t>
  </si>
  <si>
    <t xml:space="preserve">Emp1112</t>
  </si>
  <si>
    <t xml:space="preserve">Shubham Singh</t>
  </si>
  <si>
    <t xml:space="preserve">Emp1062</t>
  </si>
  <si>
    <t xml:space="preserve">Vidya Gowda</t>
  </si>
  <si>
    <t xml:space="preserve">Emp1118</t>
  </si>
  <si>
    <t xml:space="preserve">John George</t>
  </si>
  <si>
    <t xml:space="preserve">Emp1080</t>
  </si>
  <si>
    <t xml:space="preserve">Sengchim Sangma</t>
  </si>
  <si>
    <t xml:space="preserve">Emp1241</t>
  </si>
  <si>
    <t xml:space="preserve">Zonunmawia Zuala</t>
  </si>
  <si>
    <t xml:space="preserve">Emp1432</t>
  </si>
  <si>
    <t xml:space="preserve">Savitri Varma</t>
  </si>
  <si>
    <t xml:space="preserve">Emp1242</t>
  </si>
  <si>
    <t xml:space="preserve">Rikynti Suchiang</t>
  </si>
  <si>
    <t xml:space="preserve">Emp1247</t>
  </si>
  <si>
    <t xml:space="preserve">Ayesha Nizami</t>
  </si>
  <si>
    <t xml:space="preserve">Emp1199</t>
  </si>
  <si>
    <t xml:space="preserve">Kirandeep Dhillon</t>
  </si>
  <si>
    <t xml:space="preserve">Emp1185</t>
  </si>
  <si>
    <t xml:space="preserve">Chikbal Manda</t>
  </si>
  <si>
    <t xml:space="preserve">Emp1401</t>
  </si>
  <si>
    <t xml:space="preserve">Chibri Ch. Marak</t>
  </si>
  <si>
    <t xml:space="preserve">Emp1045</t>
  </si>
  <si>
    <t xml:space="preserve">Hemant Joshi</t>
  </si>
  <si>
    <t xml:space="preserve">Emp1447</t>
  </si>
  <si>
    <t xml:space="preserve">Emp1480</t>
  </si>
  <si>
    <t xml:space="preserve">Ardeshir Wadia</t>
  </si>
  <si>
    <t xml:space="preserve">Emp1441</t>
  </si>
  <si>
    <t xml:space="preserve">Michael Pereira</t>
  </si>
  <si>
    <t xml:space="preserve">Emp1435</t>
  </si>
  <si>
    <t xml:space="preserve">Khadija Sayyed</t>
  </si>
  <si>
    <t xml:space="preserve">Emp1054</t>
  </si>
  <si>
    <t xml:space="preserve">Maria Lobo</t>
  </si>
  <si>
    <t xml:space="preserve">Emp1279</t>
  </si>
  <si>
    <t xml:space="preserve">Rani Dubey</t>
  </si>
  <si>
    <t xml:space="preserve">Emp1289</t>
  </si>
  <si>
    <t xml:space="preserve">AK Dhilion</t>
  </si>
  <si>
    <t xml:space="preserve">Emp1389</t>
  </si>
  <si>
    <t xml:space="preserve">Karamjit Sandhu</t>
  </si>
  <si>
    <t xml:space="preserve">Emp1304</t>
  </si>
  <si>
    <t xml:space="preserve">Grikdik Chisim</t>
  </si>
  <si>
    <t xml:space="preserve">Emp1336</t>
  </si>
  <si>
    <t xml:space="preserve">Sukhwinder Bal</t>
  </si>
  <si>
    <t xml:space="preserve">Emp1345</t>
  </si>
  <si>
    <t xml:space="preserve">Saraswati Hegde</t>
  </si>
  <si>
    <t xml:space="preserve">Emp1464</t>
  </si>
  <si>
    <t xml:space="preserve">Vasudevan Kamal</t>
  </si>
  <si>
    <t xml:space="preserve">Emp1035</t>
  </si>
  <si>
    <t xml:space="preserve">Ibomcha Huidrom</t>
  </si>
  <si>
    <t xml:space="preserve">Emp1207</t>
  </si>
  <si>
    <t xml:space="preserve">Thinley Limbu</t>
  </si>
  <si>
    <t xml:space="preserve">Emp1266</t>
  </si>
  <si>
    <t xml:space="preserve">Talin Tayeng</t>
  </si>
  <si>
    <t xml:space="preserve">Emp1280</t>
  </si>
  <si>
    <t xml:space="preserve">Rajesh Joshi</t>
  </si>
  <si>
    <t xml:space="preserve">Emp1315</t>
  </si>
  <si>
    <t xml:space="preserve">Manashi Bora</t>
  </si>
  <si>
    <t xml:space="preserve">Emp1390</t>
  </si>
  <si>
    <t xml:space="preserve">Mahendran Achari</t>
  </si>
  <si>
    <t xml:space="preserve">Emp1115</t>
  </si>
  <si>
    <t xml:space="preserve">Imnaila Sangtam</t>
  </si>
  <si>
    <t xml:space="preserve">Emp1494</t>
  </si>
  <si>
    <t xml:space="preserve">Tejinder Gill</t>
  </si>
  <si>
    <t xml:space="preserve">Emp1317</t>
  </si>
  <si>
    <t xml:space="preserve">Agnes Rodrigues</t>
  </si>
  <si>
    <t xml:space="preserve">Emp1136</t>
  </si>
  <si>
    <t xml:space="preserve">Elizabeth Abraham</t>
  </si>
  <si>
    <t xml:space="preserve">Emp1133</t>
  </si>
  <si>
    <t xml:space="preserve">Subhalata Koloi</t>
  </si>
  <si>
    <t xml:space="preserve">Emp1319</t>
  </si>
  <si>
    <t xml:space="preserve">Champa Mochahari</t>
  </si>
  <si>
    <t xml:space="preserve">Emp1307</t>
  </si>
  <si>
    <t xml:space="preserve">Rajkumar Devi</t>
  </si>
  <si>
    <t xml:space="preserve">Emp1468</t>
  </si>
  <si>
    <t xml:space="preserve">Mohammed Farooqui</t>
  </si>
  <si>
    <t xml:space="preserve">Emp1348</t>
  </si>
  <si>
    <t xml:space="preserve">Chandrika Riang</t>
  </si>
  <si>
    <t xml:space="preserve">Emp1065</t>
  </si>
  <si>
    <t xml:space="preserve">Senthil Shetty</t>
  </si>
  <si>
    <t xml:space="preserve">Emp1166</t>
  </si>
  <si>
    <t xml:space="preserve">Sachin Verma</t>
  </si>
  <si>
    <t xml:space="preserve">Emp1477</t>
  </si>
  <si>
    <t xml:space="preserve">Kyrmenlang Rynjah</t>
  </si>
  <si>
    <t xml:space="preserve">Emp1122</t>
  </si>
  <si>
    <t xml:space="preserve">Renchamo Kikon</t>
  </si>
  <si>
    <t xml:space="preserve">Emp1433</t>
  </si>
  <si>
    <t xml:space="preserve">Shankar Bhat</t>
  </si>
  <si>
    <t xml:space="preserve">Emp1330</t>
  </si>
  <si>
    <t xml:space="preserve">Sngi Kharkongor</t>
  </si>
  <si>
    <t xml:space="preserve">Emp1019</t>
  </si>
  <si>
    <t xml:space="preserve">Farokh Panthaki</t>
  </si>
  <si>
    <t xml:space="preserve">Emp1187</t>
  </si>
  <si>
    <t xml:space="preserve">Emp1294</t>
  </si>
  <si>
    <t xml:space="preserve">Hem Chettri Gyatso</t>
  </si>
  <si>
    <t xml:space="preserve">Emp1253</t>
  </si>
  <si>
    <t xml:space="preserve">Kalpana Raman</t>
  </si>
  <si>
    <t xml:space="preserve">Emp1370</t>
  </si>
  <si>
    <t xml:space="preserve">Sanjay Gupta</t>
  </si>
  <si>
    <t xml:space="preserve">Emp1316</t>
  </si>
  <si>
    <t xml:space="preserve">Him Chettri Lepcha</t>
  </si>
  <si>
    <t xml:space="preserve">Emp1328</t>
  </si>
  <si>
    <t xml:space="preserve">Dinshaw Elavia</t>
  </si>
  <si>
    <t xml:space="preserve">Emp1097</t>
  </si>
  <si>
    <t xml:space="preserve">Khriekuolie Kikon</t>
  </si>
  <si>
    <t xml:space="preserve">Emp1251</t>
  </si>
  <si>
    <t xml:space="preserve">Srinivas Raman</t>
  </si>
  <si>
    <t xml:space="preserve">Emp1236</t>
  </si>
  <si>
    <t xml:space="preserve">Rajkumari Laishram</t>
  </si>
  <si>
    <t xml:space="preserve">Emp1071</t>
  </si>
  <si>
    <t xml:space="preserve">Murali Pai</t>
  </si>
  <si>
    <t xml:space="preserve">Emp1227</t>
  </si>
  <si>
    <t xml:space="preserve">Joan Gonsalves</t>
  </si>
  <si>
    <t xml:space="preserve">Emp1255</t>
  </si>
  <si>
    <t xml:space="preserve">Anjali Daimary</t>
  </si>
  <si>
    <t xml:space="preserve">Emp1037</t>
  </si>
  <si>
    <t xml:space="preserve">Prasad Raj</t>
  </si>
  <si>
    <t xml:space="preserve">Emp1096</t>
  </si>
  <si>
    <t xml:space="preserve">Meher Malik</t>
  </si>
  <si>
    <t xml:space="preserve">Emp1079</t>
  </si>
  <si>
    <t xml:space="preserve">Sohrab Cooper</t>
  </si>
  <si>
    <t xml:space="preserve">Emp1426</t>
  </si>
  <si>
    <t xml:space="preserve">Tarsem Dhaliwal</t>
  </si>
  <si>
    <t xml:space="preserve">Emp1287</t>
  </si>
  <si>
    <t xml:space="preserve">Emp1269</t>
  </si>
  <si>
    <t xml:space="preserve">Uma Krishnan</t>
  </si>
  <si>
    <t xml:space="preserve">Emp1286</t>
  </si>
  <si>
    <t xml:space="preserve">Reena Colaco</t>
  </si>
  <si>
    <t xml:space="preserve">Emp1167</t>
  </si>
  <si>
    <t xml:space="preserve">Emp1474</t>
  </si>
  <si>
    <t xml:space="preserve">Raman Kumar</t>
  </si>
  <si>
    <t xml:space="preserve">Emp1380</t>
  </si>
  <si>
    <t xml:space="preserve">Renla Aier</t>
  </si>
  <si>
    <t xml:space="preserve">Emp1320</t>
  </si>
  <si>
    <t xml:space="preserve">Alphonsa Lobo</t>
  </si>
  <si>
    <t xml:space="preserve">Emp1283</t>
  </si>
  <si>
    <t xml:space="preserve">Chaobi Singh</t>
  </si>
  <si>
    <t xml:space="preserve">Emp1234</t>
  </si>
  <si>
    <t xml:space="preserve">Simran Virk</t>
  </si>
  <si>
    <t xml:space="preserve">Emp1153</t>
  </si>
  <si>
    <t xml:space="preserve">Emp1105</t>
  </si>
  <si>
    <t xml:space="preserve">Bimala Uchoi</t>
  </si>
  <si>
    <t xml:space="preserve">Emp1222</t>
  </si>
  <si>
    <t xml:space="preserve">Narayan Iyengar</t>
  </si>
  <si>
    <t xml:space="preserve">Emp1016</t>
  </si>
  <si>
    <t xml:space="preserve">Emp1180</t>
  </si>
  <si>
    <t xml:space="preserve">Vanlalhruaii Khiangte</t>
  </si>
  <si>
    <t xml:space="preserve">Emp1206</t>
  </si>
  <si>
    <t xml:space="preserve">Hema Pandey</t>
  </si>
  <si>
    <t xml:space="preserve">Emp1391</t>
  </si>
  <si>
    <t xml:space="preserve">Sneha Mishra</t>
  </si>
  <si>
    <t xml:space="preserve">Emp1329</t>
  </si>
  <si>
    <t xml:space="preserve">Jyotiprasad Gogoi</t>
  </si>
  <si>
    <t xml:space="preserve">Emp1004</t>
  </si>
  <si>
    <t xml:space="preserve">Hemanta Saikia</t>
  </si>
  <si>
    <t xml:space="preserve">Emp1141</t>
  </si>
  <si>
    <t xml:space="preserve">Lalramfeli Zuala</t>
  </si>
  <si>
    <t xml:space="preserve">Emp1263</t>
  </si>
  <si>
    <t xml:space="preserve">Amandeep Singh</t>
  </si>
  <si>
    <t xml:space="preserve">Emp1225</t>
  </si>
  <si>
    <t xml:space="preserve">Joshua Pinto</t>
  </si>
  <si>
    <t xml:space="preserve">Emp1173</t>
  </si>
  <si>
    <t xml:space="preserve">Rojer Dkhar</t>
  </si>
  <si>
    <t xml:space="preserve">Emp1455</t>
  </si>
  <si>
    <t xml:space="preserve">Ashok Kohli</t>
  </si>
  <si>
    <t xml:space="preserve">Emp1344</t>
  </si>
  <si>
    <t xml:space="preserve">Sudha Naidu</t>
  </si>
  <si>
    <t xml:space="preserve">Emp1108</t>
  </si>
  <si>
    <t xml:space="preserve">Madhavi Iyengar</t>
  </si>
  <si>
    <t xml:space="preserve">Emp1000</t>
  </si>
  <si>
    <t xml:space="preserve">Jagan Chettiar</t>
  </si>
  <si>
    <t xml:space="preserve">Emp1023</t>
  </si>
  <si>
    <t xml:space="preserve">Laksh Puri</t>
  </si>
  <si>
    <t xml:space="preserve">Emp1085</t>
  </si>
  <si>
    <t xml:space="preserve">Indira Joshi</t>
  </si>
  <si>
    <t xml:space="preserve">Emp1060</t>
  </si>
  <si>
    <t xml:space="preserve">Prakash Rao</t>
  </si>
  <si>
    <t xml:space="preserve">Emp1123</t>
  </si>
  <si>
    <t xml:space="preserve">Manikandan Balan</t>
  </si>
  <si>
    <t xml:space="preserve">Emp1018</t>
  </si>
  <si>
    <t xml:space="preserve">Bheem .</t>
  </si>
  <si>
    <t xml:space="preserve">Emp1132</t>
  </si>
  <si>
    <t xml:space="preserve">Satnam Aujla</t>
  </si>
  <si>
    <t xml:space="preserve">Emp1224</t>
  </si>
  <si>
    <t xml:space="preserve">Gyati Yein</t>
  </si>
  <si>
    <t xml:space="preserve">Emp1386</t>
  </si>
  <si>
    <t xml:space="preserve">Xavier Mendes</t>
  </si>
  <si>
    <t xml:space="preserve">Emp1190</t>
  </si>
  <si>
    <t xml:space="preserve">Deepak Rai Sherpa</t>
  </si>
  <si>
    <t xml:space="preserve">Emp1281</t>
  </si>
  <si>
    <t xml:space="preserve">Chidambaram Reddy</t>
  </si>
  <si>
    <t xml:space="preserve">Emp1090</t>
  </si>
  <si>
    <t xml:space="preserve">Thoibi Nongthombam</t>
  </si>
  <si>
    <t xml:space="preserve">Emp1066</t>
  </si>
  <si>
    <t xml:space="preserve">Himesh .</t>
  </si>
  <si>
    <t xml:space="preserve">Emp1268</t>
  </si>
  <si>
    <t xml:space="preserve">Emp1318</t>
  </si>
  <si>
    <t xml:space="preserve">Vimeinuo Ao</t>
  </si>
  <si>
    <t xml:space="preserve">Emp1259</t>
  </si>
  <si>
    <t xml:space="preserve">Noshir Wadia</t>
  </si>
  <si>
    <t xml:space="preserve">Emp1014</t>
  </si>
  <si>
    <t xml:space="preserve">Zhale Imsong</t>
  </si>
  <si>
    <t xml:space="preserve">Emp1394</t>
  </si>
  <si>
    <t xml:space="preserve">Aspi Contractor</t>
  </si>
  <si>
    <t xml:space="preserve">Emp1379</t>
  </si>
  <si>
    <t xml:space="preserve">Jyoti Srivastava</t>
  </si>
  <si>
    <t xml:space="preserve">Emp1177</t>
  </si>
  <si>
    <t xml:space="preserve">Vimenuo Jamir</t>
  </si>
  <si>
    <t xml:space="preserve">Emp1400</t>
  </si>
  <si>
    <t xml:space="preserve">Jayaram Gowda</t>
  </si>
  <si>
    <t xml:space="preserve">Emp1039</t>
  </si>
  <si>
    <t xml:space="preserve">Umesh Yadav</t>
  </si>
  <si>
    <t xml:space="preserve">Emp1111</t>
  </si>
  <si>
    <t xml:space="preserve">Rajinder Mann</t>
  </si>
  <si>
    <t xml:space="preserve">Emp1297</t>
  </si>
  <si>
    <t xml:space="preserve">Chungkham Chungkham</t>
  </si>
  <si>
    <t xml:space="preserve">Emp1147</t>
  </si>
  <si>
    <t xml:space="preserve">Emp1482</t>
  </si>
  <si>
    <t xml:space="preserve">Saad Siddiqui</t>
  </si>
  <si>
    <t xml:space="preserve">Emp1333</t>
  </si>
  <si>
    <t xml:space="preserve">Lobsang Bagra</t>
  </si>
  <si>
    <t xml:space="preserve">Emp1360</t>
  </si>
  <si>
    <t xml:space="preserve">Chandni Malhotra</t>
  </si>
  <si>
    <t xml:space="preserve">Emp1210</t>
  </si>
  <si>
    <t xml:space="preserve">Rahat Khan</t>
  </si>
  <si>
    <t xml:space="preserve">Emp1036</t>
  </si>
  <si>
    <t xml:space="preserve">Phiroz Engineer</t>
  </si>
  <si>
    <t xml:space="preserve">Emp1215</t>
  </si>
  <si>
    <t xml:space="preserve">Akumla Longkumer</t>
  </si>
  <si>
    <t xml:space="preserve">Emp1048</t>
  </si>
  <si>
    <t xml:space="preserve">Shabana Pathan</t>
  </si>
  <si>
    <t xml:space="preserve">Emp1168</t>
  </si>
  <si>
    <t xml:space="preserve">Tali Walling</t>
  </si>
  <si>
    <t xml:space="preserve">Emp1056</t>
  </si>
  <si>
    <t xml:space="preserve">Selvam Gowda</t>
  </si>
  <si>
    <t xml:space="preserve">Emp1072</t>
  </si>
  <si>
    <t xml:space="preserve">Bridget Mendes</t>
  </si>
  <si>
    <t xml:space="preserve">Emp1439</t>
  </si>
  <si>
    <t xml:space="preserve">Satish Chaudhary</t>
  </si>
  <si>
    <t xml:space="preserve">Emp1476</t>
  </si>
  <si>
    <t xml:space="preserve">Emp1032</t>
  </si>
  <si>
    <t xml:space="preserve">Amit Upadhyay</t>
  </si>
  <si>
    <t xml:space="preserve">Emp1472</t>
  </si>
  <si>
    <t xml:space="preserve">Anjali Chauhan</t>
  </si>
  <si>
    <t xml:space="preserve">Emp1332</t>
  </si>
  <si>
    <t xml:space="preserve">Parminder Toor</t>
  </si>
  <si>
    <t xml:space="preserve">Emp1208</t>
  </si>
  <si>
    <t xml:space="preserve">Varun Rathore</t>
  </si>
  <si>
    <t xml:space="preserve">Emp1434</t>
  </si>
  <si>
    <t xml:space="preserve">Albirth Koch</t>
  </si>
  <si>
    <t xml:space="preserve">Emp1007</t>
  </si>
  <si>
    <t xml:space="preserve">Abhi Rawat</t>
  </si>
  <si>
    <t xml:space="preserve">Emp1335</t>
  </si>
  <si>
    <t xml:space="preserve">Khodadad Dalal</t>
  </si>
  <si>
    <t xml:space="preserve">Emp1497</t>
  </si>
  <si>
    <t xml:space="preserve">Rikdik Sangma</t>
  </si>
  <si>
    <t xml:space="preserve">Emp1010</t>
  </si>
  <si>
    <t xml:space="preserve">Rosemary Vaz</t>
  </si>
  <si>
    <t xml:space="preserve">Emp1044</t>
  </si>
  <si>
    <t xml:space="preserve">Emp1100</t>
  </si>
  <si>
    <t xml:space="preserve">Om Bhatia</t>
  </si>
  <si>
    <t xml:space="preserve">Emp1164</t>
  </si>
  <si>
    <t xml:space="preserve">Sunita Goyari</t>
  </si>
  <si>
    <t xml:space="preserve">Emp1374</t>
  </si>
  <si>
    <t xml:space="preserve">Raman Rastogi</t>
  </si>
  <si>
    <t xml:space="preserve">Emp1029</t>
  </si>
  <si>
    <t xml:space="preserve">Harjit Kang</t>
  </si>
  <si>
    <t xml:space="preserve">Emp1456</t>
  </si>
  <si>
    <t xml:space="preserve">Daniel Fernandez</t>
  </si>
  <si>
    <t xml:space="preserve">Emp1299</t>
  </si>
  <si>
    <t xml:space="preserve">Lakhi Rani Halam</t>
  </si>
  <si>
    <t xml:space="preserve">Emp1006</t>
  </si>
  <si>
    <t xml:space="preserve">Rony Vaz</t>
  </si>
  <si>
    <t xml:space="preserve">Emp1440</t>
  </si>
  <si>
    <t xml:space="preserve">Soni Jain</t>
  </si>
  <si>
    <t xml:space="preserve">Emp1312</t>
  </si>
  <si>
    <t xml:space="preserve">Emp1300</t>
  </si>
  <si>
    <t xml:space="preserve">Shalini Verma</t>
  </si>
  <si>
    <t xml:space="preserve">Emp1285</t>
  </si>
  <si>
    <t xml:space="preserve">Naseem Farooqui</t>
  </si>
  <si>
    <t xml:space="preserve">Emp1042</t>
  </si>
  <si>
    <t xml:space="preserve">Emp1098</t>
  </si>
  <si>
    <t xml:space="preserve">Jasvir Sandhu</t>
  </si>
  <si>
    <t xml:space="preserve">Emp1327</t>
  </si>
  <si>
    <t xml:space="preserve">Emp1486</t>
  </si>
  <si>
    <t xml:space="preserve">Dhruv Saxena</t>
  </si>
  <si>
    <t xml:space="preserve">Emp1436</t>
  </si>
  <si>
    <t xml:space="preserve">Emp1068</t>
  </si>
  <si>
    <t xml:space="preserve">Jannat Qureshi</t>
  </si>
  <si>
    <t xml:space="preserve">Emp1291</t>
  </si>
  <si>
    <t xml:space="preserve">Emp1407</t>
  </si>
  <si>
    <t xml:space="preserve">Yumnam Thokchom</t>
  </si>
  <si>
    <t xml:space="preserve">Emp1377</t>
  </si>
  <si>
    <t xml:space="preserve">Emp1369</t>
  </si>
  <si>
    <t xml:space="preserve">Heer Ahirwar</t>
  </si>
  <si>
    <t xml:space="preserve">Emp1311</t>
  </si>
  <si>
    <t xml:space="preserve">Francis Varghese</t>
  </si>
  <si>
    <t xml:space="preserve">Emp1076</t>
  </si>
  <si>
    <t xml:space="preserve">Rwmwi Islary</t>
  </si>
  <si>
    <t xml:space="preserve">Emp1470</t>
  </si>
  <si>
    <t xml:space="preserve">Emp1449</t>
  </si>
  <si>
    <t xml:space="preserve">Cyril Dias</t>
  </si>
  <si>
    <t xml:space="preserve">Emp1347</t>
  </si>
  <si>
    <t xml:space="preserve">Emp1109</t>
  </si>
  <si>
    <t xml:space="preserve">Emp1145</t>
  </si>
  <si>
    <t xml:space="preserve">Hasan Siddiqui</t>
  </si>
  <si>
    <t xml:space="preserve">Emp1462</t>
  </si>
  <si>
    <t xml:space="preserve">Rinzing Mondal</t>
  </si>
  <si>
    <t xml:space="preserve">Emp1017</t>
  </si>
  <si>
    <t xml:space="preserve">Freny Batliwala</t>
  </si>
  <si>
    <t xml:space="preserve">Emp1040</t>
  </si>
  <si>
    <t xml:space="preserve">Yasmeen Rizvi</t>
  </si>
  <si>
    <t xml:space="preserve">Emp1005</t>
  </si>
  <si>
    <t xml:space="preserve">Sneha Gupta</t>
  </si>
  <si>
    <t xml:space="preserve">Emp1301</t>
  </si>
  <si>
    <t xml:space="preserve">Deepa Menon</t>
  </si>
  <si>
    <t xml:space="preserve">Emp1078</t>
  </si>
  <si>
    <t xml:space="preserve">Emp1152</t>
  </si>
  <si>
    <t xml:space="preserve">Lilian Fernandes</t>
  </si>
  <si>
    <t xml:space="preserve">Emp1409</t>
  </si>
  <si>
    <t xml:space="preserve">Mamta Biswaas</t>
  </si>
  <si>
    <t xml:space="preserve">Emp1428</t>
  </si>
  <si>
    <t xml:space="preserve">Zarine Dastur</t>
  </si>
  <si>
    <t xml:space="preserve">Emp1262</t>
  </si>
  <si>
    <t xml:space="preserve">Vanlaltana Vanlalvena</t>
  </si>
  <si>
    <t xml:space="preserve">Emp1202</t>
  </si>
  <si>
    <t xml:space="preserve">Lalrinpuii Ralte</t>
  </si>
  <si>
    <t xml:space="preserve">Emp1064</t>
  </si>
  <si>
    <t xml:space="preserve">Anthony Pereira</t>
  </si>
  <si>
    <t xml:space="preserve">Emp1350</t>
  </si>
  <si>
    <t xml:space="preserve">Sabiha Mirza</t>
  </si>
  <si>
    <t xml:space="preserve">Emp1158</t>
  </si>
  <si>
    <t xml:space="preserve">Vikram Kapoor</t>
  </si>
  <si>
    <t xml:space="preserve">Emp1487</t>
  </si>
  <si>
    <t xml:space="preserve">Khriezo Longkumer</t>
  </si>
  <si>
    <t xml:space="preserve">Emp1254</t>
  </si>
  <si>
    <t xml:space="preserve">Wetshoyi Chang</t>
  </si>
  <si>
    <t xml:space="preserve">Emp1106</t>
  </si>
  <si>
    <t xml:space="preserve">Kunzang Tamang</t>
  </si>
  <si>
    <t xml:space="preserve">Emp1184</t>
  </si>
  <si>
    <t xml:space="preserve">Ronald Fernandez</t>
  </si>
  <si>
    <t xml:space="preserve">Emp1368</t>
  </si>
  <si>
    <t xml:space="preserve">Emp1340</t>
  </si>
  <si>
    <t xml:space="preserve">Aatif Sheikh</t>
  </si>
  <si>
    <t xml:space="preserve">Emp1061</t>
  </si>
  <si>
    <t xml:space="preserve">Suman Narwaar</t>
  </si>
  <si>
    <t xml:space="preserve">Emp1406</t>
  </si>
  <si>
    <t xml:space="preserve">Aaron D'Souza</t>
  </si>
  <si>
    <t xml:space="preserve">Emp1155</t>
  </si>
  <si>
    <t xml:space="preserve">Sowmya Pai</t>
  </si>
  <si>
    <t xml:space="preserve">Emp1195</t>
  </si>
  <si>
    <t xml:space="preserve">Kunja Rupini</t>
  </si>
  <si>
    <t xml:space="preserve">Emp1422</t>
  </si>
  <si>
    <t xml:space="preserve">Ganesh Pillai</t>
  </si>
  <si>
    <t xml:space="preserve">Emp1059</t>
  </si>
  <si>
    <t xml:space="preserve">Zonunmawii Sailo</t>
  </si>
  <si>
    <t xml:space="preserve">Emp1175</t>
  </si>
  <si>
    <t xml:space="preserve">Ambika Tiwari</t>
  </si>
  <si>
    <t xml:space="preserve">Emp1404</t>
  </si>
  <si>
    <t xml:space="preserve">Vasudevan Iyer</t>
  </si>
  <si>
    <t xml:space="preserve">Emp1143</t>
  </si>
  <si>
    <t xml:space="preserve">Meera Vankodoth</t>
  </si>
  <si>
    <t xml:space="preserve">Emp1084</t>
  </si>
  <si>
    <t xml:space="preserve">Priyanka Rout</t>
  </si>
  <si>
    <t xml:space="preserve">Emp1110</t>
  </si>
  <si>
    <t xml:space="preserve">Manjeet Cheema</t>
  </si>
  <si>
    <t xml:space="preserve">Emp1410</t>
  </si>
  <si>
    <t xml:space="preserve">Emp1179</t>
  </si>
  <si>
    <t xml:space="preserve">Mangi Meitei</t>
  </si>
  <si>
    <t xml:space="preserve">Emp1135</t>
  </si>
  <si>
    <t xml:space="preserve">Kamala Varma</t>
  </si>
  <si>
    <t xml:space="preserve">Emp1339</t>
  </si>
  <si>
    <t xml:space="preserve">Avan Cooper</t>
  </si>
  <si>
    <t xml:space="preserve">Emp1130</t>
  </si>
  <si>
    <t xml:space="preserve">Emp1282</t>
  </si>
  <si>
    <t xml:space="preserve">Bijoy Meitei Sanasam</t>
  </si>
  <si>
    <t xml:space="preserve">Emp1423</t>
  </si>
  <si>
    <t xml:space="preserve">Mustafa Nizami</t>
  </si>
  <si>
    <t xml:space="preserve">Emp1429</t>
  </si>
  <si>
    <t xml:space="preserve">Rinzing Chettri</t>
  </si>
  <si>
    <t xml:space="preserve">Emp1387</t>
  </si>
  <si>
    <t xml:space="preserve">Sanjenbi Ningombam</t>
  </si>
  <si>
    <t xml:space="preserve">Emp1425</t>
  </si>
  <si>
    <t xml:space="preserve">Shabnam Malik</t>
  </si>
  <si>
    <t xml:space="preserve">Emp1022</t>
  </si>
  <si>
    <t xml:space="preserve">Akum Aier</t>
  </si>
  <si>
    <t xml:space="preserve">Emp1181</t>
  </si>
  <si>
    <t xml:space="preserve">Bina Reang Murasingh</t>
  </si>
  <si>
    <t xml:space="preserve">Emp1457</t>
  </si>
  <si>
    <t xml:space="preserve">Swati Chauhan</t>
  </si>
  <si>
    <t xml:space="preserve">Emp1142</t>
  </si>
  <si>
    <t xml:space="preserve">Emp1375</t>
  </si>
  <si>
    <t xml:space="preserve">Kavi .</t>
  </si>
  <si>
    <t xml:space="preserve">Emp1302</t>
  </si>
  <si>
    <t xml:space="preserve">Sukhdeep Singh</t>
  </si>
  <si>
    <t xml:space="preserve">Emp1363</t>
  </si>
  <si>
    <t xml:space="preserve">Anupam Phukan</t>
  </si>
  <si>
    <t xml:space="preserve">Emp1454</t>
  </si>
  <si>
    <t xml:space="preserve">Saira Sayyed</t>
  </si>
  <si>
    <t xml:space="preserve">Emp1119</t>
  </si>
  <si>
    <t xml:space="preserve">Emp1402</t>
  </si>
  <si>
    <t xml:space="preserve">Bidik Marak</t>
  </si>
  <si>
    <t xml:space="preserve">Emp1274</t>
  </si>
  <si>
    <t xml:space="preserve">Emp1099</t>
  </si>
  <si>
    <t xml:space="preserve">Emp1189</t>
  </si>
  <si>
    <t xml:space="preserve">Ayaan Chaudhary</t>
  </si>
  <si>
    <t xml:space="preserve">Emp1493</t>
  </si>
  <si>
    <t xml:space="preserve">Devi Krishnan</t>
  </si>
  <si>
    <t xml:space="preserve">Emp1172</t>
  </si>
  <si>
    <t xml:space="preserve">Chandran Naidu</t>
  </si>
  <si>
    <t xml:space="preserve">Emp1223</t>
  </si>
  <si>
    <t xml:space="preserve">Zeenat Chaudhary</t>
  </si>
  <si>
    <t xml:space="preserve">Emp1465</t>
  </si>
  <si>
    <t xml:space="preserve">Chumbeno Lotha</t>
  </si>
  <si>
    <t xml:space="preserve">Emp1353</t>
  </si>
  <si>
    <t xml:space="preserve">Jasvinder Brar</t>
  </si>
  <si>
    <t xml:space="preserve">Emp1041</t>
  </si>
  <si>
    <t xml:space="preserve">Rokhumi Fanai</t>
  </si>
  <si>
    <t xml:space="preserve">Emp1341</t>
  </si>
  <si>
    <t xml:space="preserve">Baljeet Sandhu</t>
  </si>
  <si>
    <t xml:space="preserve">Emp1125</t>
  </si>
  <si>
    <t xml:space="preserve">Emp1082</t>
  </si>
  <si>
    <t xml:space="preserve">Irfan Sayyed</t>
  </si>
  <si>
    <t xml:space="preserve">Emp1233</t>
  </si>
  <si>
    <t xml:space="preserve">Vinod Rao</t>
  </si>
  <si>
    <t xml:space="preserve">Emp1479</t>
  </si>
  <si>
    <t xml:space="preserve">Hasima Muchahary</t>
  </si>
  <si>
    <t xml:space="preserve">Emp1417</t>
  </si>
  <si>
    <t xml:space="preserve">Emp1049</t>
  </si>
  <si>
    <t xml:space="preserve">Ibadari Sawian</t>
  </si>
  <si>
    <t xml:space="preserve">Emp1448</t>
  </si>
  <si>
    <t xml:space="preserve">Emp1490</t>
  </si>
  <si>
    <t xml:space="preserve">Harjeet Kaur</t>
  </si>
  <si>
    <t xml:space="preserve">Emp1027</t>
  </si>
  <si>
    <t xml:space="preserve">Bijoya Sibrang</t>
  </si>
  <si>
    <t xml:space="preserve">Emp1013</t>
  </si>
  <si>
    <t xml:space="preserve">Padmanabhan Reddy</t>
  </si>
  <si>
    <t xml:space="preserve">Emp1293</t>
  </si>
  <si>
    <t xml:space="preserve">Kong Syiem</t>
  </si>
  <si>
    <t xml:space="preserve">Emp1309</t>
  </si>
  <si>
    <t xml:space="preserve">Rustom Daruwala</t>
  </si>
  <si>
    <t xml:space="preserve">Emp1415</t>
  </si>
  <si>
    <t xml:space="preserve">Jatin Srivastava</t>
  </si>
  <si>
    <t xml:space="preserve">Emp1452</t>
  </si>
  <si>
    <t xml:space="preserve">George Mathew</t>
  </si>
  <si>
    <t xml:space="preserve">Emp1149</t>
  </si>
  <si>
    <t xml:space="preserve">Vilato Chishi</t>
  </si>
  <si>
    <t xml:space="preserve">Emp1031</t>
  </si>
  <si>
    <t xml:space="preserve">Hiranya Das</t>
  </si>
  <si>
    <t xml:space="preserve">Emp1451</t>
  </si>
  <si>
    <t xml:space="preserve">Shiva Hegde</t>
  </si>
  <si>
    <t xml:space="preserve">Emp1438</t>
  </si>
  <si>
    <t xml:space="preserve">Naslen Goofer</t>
  </si>
  <si>
    <t xml:space="preserve">Emp1346</t>
  </si>
  <si>
    <t xml:space="preserve">Madhuri Tiwari</t>
  </si>
  <si>
    <t xml:space="preserve">Emp1325</t>
  </si>
  <si>
    <t xml:space="preserve">Clara Mathew</t>
  </si>
  <si>
    <t xml:space="preserve">Emp1214</t>
  </si>
  <si>
    <t xml:space="preserve">Emp1413</t>
  </si>
  <si>
    <t xml:space="preserve">Emp1351</t>
  </si>
  <si>
    <t xml:space="preserve">Prasanta Mochahari</t>
  </si>
  <si>
    <t xml:space="preserve">Emp1322</t>
  </si>
  <si>
    <t xml:space="preserve">Nyage Pertin</t>
  </si>
  <si>
    <t xml:space="preserve">Emp1252</t>
  </si>
  <si>
    <t xml:space="preserve">Maryam Pathan</t>
  </si>
  <si>
    <t xml:space="preserve">Emp1427</t>
  </si>
  <si>
    <t xml:space="preserve">Aisha Baig</t>
  </si>
  <si>
    <t xml:space="preserve">Emp1174</t>
  </si>
  <si>
    <t xml:space="preserve">Imnala Yanthan</t>
  </si>
  <si>
    <t xml:space="preserve">Emp1445</t>
  </si>
  <si>
    <t xml:space="preserve">Harjeet Kang</t>
  </si>
  <si>
    <t xml:space="preserve">Emp1025</t>
  </si>
  <si>
    <t xml:space="preserve">Emp1053</t>
  </si>
  <si>
    <t xml:space="preserve">Seema Varma</t>
  </si>
  <si>
    <t xml:space="preserve">Emp1258</t>
  </si>
  <si>
    <t xml:space="preserve">Damari Lyngwa</t>
  </si>
  <si>
    <t xml:space="preserve">Emp1156</t>
  </si>
  <si>
    <t xml:space="preserve">Silloo Panthaki</t>
  </si>
  <si>
    <t xml:space="preserve">Emp1159</t>
  </si>
  <si>
    <t xml:space="preserve">Sathish Chettiar</t>
  </si>
  <si>
    <t xml:space="preserve">Emp1196</t>
  </si>
  <si>
    <t xml:space="preserve">Suresh Balan</t>
  </si>
  <si>
    <t xml:space="preserve">Emp1052</t>
  </si>
  <si>
    <t xml:space="preserve">Suresh Tiwari</t>
  </si>
  <si>
    <t xml:space="preserve">Emp1226</t>
  </si>
  <si>
    <t xml:space="preserve">Chandni Kushwaha</t>
  </si>
  <si>
    <t xml:space="preserve">Emp1384</t>
  </si>
  <si>
    <t xml:space="preserve">Dawa Zangmo Lama</t>
  </si>
  <si>
    <t xml:space="preserve">Emp1296</t>
  </si>
  <si>
    <t xml:space="preserve">Afsana Sayyed</t>
  </si>
  <si>
    <t xml:space="preserve">Emp1411</t>
  </si>
  <si>
    <t xml:space="preserve">Aasiya Mirza</t>
  </si>
  <si>
    <t xml:space="preserve">Emp1235</t>
  </si>
  <si>
    <t xml:space="preserve">Zohmingliani Vanlalvena</t>
  </si>
  <si>
    <t xml:space="preserve">Emp1139</t>
  </si>
  <si>
    <t xml:space="preserve">Gurpreet Bal</t>
  </si>
  <si>
    <t xml:space="preserve">Emp1197</t>
  </si>
  <si>
    <t xml:space="preserve">Mohit Kapoor</t>
  </si>
  <si>
    <t xml:space="preserve">Emp1104</t>
  </si>
  <si>
    <t xml:space="preserve">Trishna Neog</t>
  </si>
  <si>
    <t xml:space="preserve">Emp1055</t>
  </si>
  <si>
    <t xml:space="preserve">Peviyi Yepthomi</t>
  </si>
  <si>
    <t xml:space="preserve">Emp1408</t>
  </si>
  <si>
    <t xml:space="preserve">Zain Khan</t>
  </si>
  <si>
    <t xml:space="preserve">Emp1134</t>
  </si>
  <si>
    <t xml:space="preserve">Talom Loyi</t>
  </si>
  <si>
    <t xml:space="preserve">Emp1245</t>
  </si>
  <si>
    <t xml:space="preserve">Chetan Malhotra</t>
  </si>
  <si>
    <t xml:space="preserve">Emp1012</t>
  </si>
  <si>
    <t xml:space="preserve">Emp1461</t>
  </si>
  <si>
    <t xml:space="preserve">Sameera Baig</t>
  </si>
  <si>
    <t xml:space="preserve">Emp1193</t>
  </si>
  <si>
    <t xml:space="preserve">Emp1228</t>
  </si>
  <si>
    <t xml:space="preserve">Mahmood Rizvi</t>
  </si>
  <si>
    <t xml:space="preserve">Emp1420</t>
  </si>
  <si>
    <t xml:space="preserve">Margaret Rodrigues</t>
  </si>
  <si>
    <t xml:space="preserve">Emp1114</t>
  </si>
  <si>
    <t xml:space="preserve">Wanphrang Pariat</t>
  </si>
  <si>
    <t xml:space="preserve">Emp1305</t>
  </si>
  <si>
    <t xml:space="preserve">Emp1009</t>
  </si>
  <si>
    <t xml:space="preserve">Mangala Reddy</t>
  </si>
  <si>
    <t xml:space="preserve">Emp1191</t>
  </si>
  <si>
    <t xml:space="preserve">Emp1403</t>
  </si>
  <si>
    <t xml:space="preserve">Seema Sharma</t>
  </si>
  <si>
    <t xml:space="preserve">Emp1003</t>
  </si>
  <si>
    <t xml:space="preserve">Pema Chettri</t>
  </si>
  <si>
    <t xml:space="preserve">Emp1116</t>
  </si>
  <si>
    <t xml:space="preserve">Framroze Cama</t>
  </si>
  <si>
    <t xml:space="preserve">Emp1165</t>
  </si>
  <si>
    <t xml:space="preserve">Indu Shetty</t>
  </si>
  <si>
    <t xml:space="preserve">Emp1157</t>
  </si>
  <si>
    <t xml:space="preserve">Lamyanba Devi</t>
  </si>
  <si>
    <t xml:space="preserve">Emp1467</t>
  </si>
  <si>
    <t xml:space="preserve">Emp1140</t>
  </si>
  <si>
    <t xml:space="preserve">Dorendri Devi</t>
  </si>
  <si>
    <t xml:space="preserve">Emp1488</t>
  </si>
  <si>
    <t xml:space="preserve">Srividya Iyer</t>
  </si>
  <si>
    <t xml:space="preserve">Emp1030</t>
  </si>
  <si>
    <t xml:space="preserve">Emp1221</t>
  </si>
  <si>
    <t xml:space="preserve">Bijoy Dutta</t>
  </si>
  <si>
    <t xml:space="preserve">Emp1161</t>
  </si>
  <si>
    <t xml:space="preserve">Chaoba Konthoujam</t>
  </si>
  <si>
    <t xml:space="preserve">Emp1277</t>
  </si>
  <si>
    <t xml:space="preserve">Javed Baig</t>
  </si>
  <si>
    <t xml:space="preserve">Emp1388</t>
  </si>
  <si>
    <t xml:space="preserve">Emp1257</t>
  </si>
  <si>
    <t xml:space="preserve">Charanjit Randhawa</t>
  </si>
  <si>
    <t xml:space="preserve">Emp1418</t>
  </si>
  <si>
    <t xml:space="preserve">Emp1373</t>
  </si>
  <si>
    <t xml:space="preserve">Emp1204</t>
  </si>
  <si>
    <t xml:space="preserve">Nagaraj Iyer</t>
  </si>
  <si>
    <t xml:space="preserve">Emp1278</t>
  </si>
  <si>
    <t xml:space="preserve">Emp1178</t>
  </si>
  <si>
    <t xml:space="preserve">Emp1367</t>
  </si>
  <si>
    <t xml:space="preserve">Zothanmawia Chhangte</t>
  </si>
  <si>
    <t xml:space="preserve">Emp1218</t>
  </si>
  <si>
    <t xml:space="preserve">Wari Momin</t>
  </si>
  <si>
    <t xml:space="preserve">Emp1359</t>
  </si>
  <si>
    <t xml:space="preserve">Tashi Riba</t>
  </si>
  <si>
    <t xml:space="preserve">Emp1364</t>
  </si>
  <si>
    <t xml:space="preserve">Emp1483</t>
  </si>
  <si>
    <t xml:space="preserve">Firdaus Naqvi</t>
  </si>
  <si>
    <t xml:space="preserve">Emp1437</t>
  </si>
  <si>
    <t xml:space="preserve">Gurjeet Sodhi</t>
  </si>
  <si>
    <t xml:space="preserve">Emp1073</t>
  </si>
  <si>
    <t xml:space="preserve">Lalhriatpuii Chinzah</t>
  </si>
  <si>
    <t xml:space="preserve">Emp1081</t>
  </si>
  <si>
    <t xml:space="preserve">Emp1313</t>
  </si>
  <si>
    <t xml:space="preserve">Emp1412</t>
  </si>
  <si>
    <t xml:space="preserve">Ambika Reddy</t>
  </si>
  <si>
    <t xml:space="preserve">Emp1127</t>
  </si>
  <si>
    <t xml:space="preserve">Emp1444</t>
  </si>
  <si>
    <t xml:space="preserve">Kaling Nyodu</t>
  </si>
  <si>
    <t xml:space="preserve">Emp1091</t>
  </si>
  <si>
    <t xml:space="preserve">Emp1267</t>
  </si>
  <si>
    <t xml:space="preserve">Emp1260</t>
  </si>
  <si>
    <t xml:space="preserve">Lhamu Riba</t>
  </si>
  <si>
    <t xml:space="preserve">Emp1450</t>
  </si>
  <si>
    <t xml:space="preserve">Soli Bilimoria</t>
  </si>
  <si>
    <t xml:space="preserve">Emp1038</t>
  </si>
  <si>
    <t xml:space="preserve">Jeroo Vakil</t>
  </si>
  <si>
    <t xml:space="preserve">Emp1393</t>
  </si>
  <si>
    <t xml:space="preserve">Piroja Daruwala</t>
  </si>
  <si>
    <t xml:space="preserve">Emp1212</t>
  </si>
  <si>
    <t xml:space="preserve">Basanta Halam</t>
  </si>
  <si>
    <t xml:space="preserve">Emp1272</t>
  </si>
  <si>
    <t xml:space="preserve">Murali Pathan</t>
  </si>
  <si>
    <t xml:space="preserve">Emp1001</t>
  </si>
  <si>
    <t xml:space="preserve">Kunzang Kevin</t>
  </si>
  <si>
    <t xml:space="preserve">Emp1069</t>
  </si>
  <si>
    <t xml:space="preserve">Chetan Pippli</t>
  </si>
  <si>
    <t xml:space="preserve">Emp1170</t>
  </si>
  <si>
    <t xml:space="preserve">Peter Ao Sangtam</t>
  </si>
  <si>
    <t xml:space="preserve">Emp1021</t>
  </si>
  <si>
    <t xml:space="preserve">Irfan Shakir</t>
  </si>
  <si>
    <t xml:space="preserve">Above 200k</t>
  </si>
  <si>
    <t xml:space="preserve">Emp1303</t>
  </si>
  <si>
    <t xml:space="preserve">Hussain Ansari</t>
  </si>
  <si>
    <t xml:space="preserve">Emp1113</t>
  </si>
  <si>
    <t xml:space="preserve">Abdul Siddiqui</t>
  </si>
  <si>
    <t xml:space="preserve">Emp1310</t>
  </si>
  <si>
    <t xml:space="preserve">Veronica Mathew</t>
  </si>
  <si>
    <t xml:space="preserve">Emp1362</t>
  </si>
  <si>
    <t xml:space="preserve">Neikuolie Walling</t>
  </si>
  <si>
    <t xml:space="preserve">Emp1459</t>
  </si>
  <si>
    <t xml:space="preserve">Sheela Thomas</t>
  </si>
  <si>
    <t xml:space="preserve">Emp1103</t>
  </si>
  <si>
    <t xml:space="preserve">Tariq Sayyed</t>
  </si>
  <si>
    <t xml:space="preserve">Emp1163</t>
  </si>
  <si>
    <t xml:space="preserve">Emp1131</t>
  </si>
  <si>
    <t xml:space="preserve">Emp1284</t>
  </si>
  <si>
    <t xml:space="preserve">Emp1074</t>
  </si>
  <si>
    <t xml:space="preserve">Priya Saxena</t>
  </si>
  <si>
    <t xml:space="preserve">Emp1288</t>
  </si>
  <si>
    <t xml:space="preserve">Emp1194</t>
  </si>
  <si>
    <t xml:space="preserve">Kersi Vakil</t>
  </si>
  <si>
    <t xml:space="preserve">Emp1070</t>
  </si>
  <si>
    <t xml:space="preserve">Somendro Laishram</t>
  </si>
  <si>
    <t xml:space="preserve">Emp1243</t>
  </si>
  <si>
    <t xml:space="preserve">Emp1371</t>
  </si>
  <si>
    <t xml:space="preserve">Carmel Thomas</t>
  </si>
  <si>
    <t xml:space="preserve">Emp1275</t>
  </si>
  <si>
    <t xml:space="preserve">Sandeep Toor</t>
  </si>
  <si>
    <t xml:space="preserve">Emp1148</t>
  </si>
  <si>
    <t xml:space="preserve">Emp1063</t>
  </si>
  <si>
    <t xml:space="preserve">Mark D'Souza</t>
  </si>
  <si>
    <t xml:space="preserve">Emp1485</t>
  </si>
  <si>
    <t xml:space="preserve">Jonali Phukan</t>
  </si>
  <si>
    <t xml:space="preserve">Emp1244</t>
  </si>
  <si>
    <t xml:space="preserve">Navdeep Cheema</t>
  </si>
  <si>
    <t xml:space="preserve">Emp1466</t>
  </si>
  <si>
    <t xml:space="preserve">Ruth Mendes</t>
  </si>
  <si>
    <t xml:space="preserve">Emp1352</t>
  </si>
  <si>
    <t xml:space="preserve">Mridula Chaliha</t>
  </si>
  <si>
    <t xml:space="preserve">Emp1492</t>
  </si>
  <si>
    <t xml:space="preserve">Xavier Mondal</t>
  </si>
  <si>
    <t xml:space="preserve">Emp1209</t>
  </si>
  <si>
    <t xml:space="preserve">Abhinav Rajesh</t>
  </si>
  <si>
    <t xml:space="preserve">Emp1356</t>
  </si>
  <si>
    <t xml:space="preserve">Khalid Hashmi</t>
  </si>
  <si>
    <t xml:space="preserve">Emp1126</t>
  </si>
  <si>
    <t xml:space="preserve">Zubin Irani</t>
  </si>
  <si>
    <t xml:space="preserve">Emp1323</t>
  </si>
  <si>
    <t xml:space="preserve">Emp1015</t>
  </si>
  <si>
    <t xml:space="preserve">Emp1046</t>
  </si>
  <si>
    <t xml:space="preserve">Aravind Iyer</t>
  </si>
  <si>
    <t xml:space="preserve">Emp1273</t>
  </si>
  <si>
    <t xml:space="preserve">Emp1102</t>
  </si>
  <si>
    <t xml:space="preserve">Rafiq Naqvi</t>
  </si>
  <si>
    <t xml:space="preserve">Emp1239</t>
  </si>
  <si>
    <t xml:space="preserve">Lucy Pereira</t>
  </si>
  <si>
    <t xml:space="preserve">Emp1292</t>
  </si>
  <si>
    <t xml:space="preserve">Coomi Panthaki</t>
  </si>
  <si>
    <t xml:space="preserve">Emp1442</t>
  </si>
  <si>
    <t xml:space="preserve">Emp1443</t>
  </si>
  <si>
    <t xml:space="preserve">Meenakshi Pillai</t>
  </si>
  <si>
    <t xml:space="preserve">Emp1075</t>
  </si>
  <si>
    <t xml:space="preserve">Ashok Rathore</t>
  </si>
  <si>
    <t xml:space="preserve">Emp1117</t>
  </si>
  <si>
    <t xml:space="preserve">Divya Bhatia</t>
  </si>
  <si>
    <t xml:space="preserve">Emp1478</t>
  </si>
  <si>
    <t xml:space="preserve">Bineswar Ramchiary</t>
  </si>
  <si>
    <t xml:space="preserve">Emp1211</t>
  </si>
  <si>
    <t xml:space="preserve">Emp1088</t>
  </si>
  <si>
    <t xml:space="preserve">Milind Panday</t>
  </si>
  <si>
    <t xml:space="preserve">Emp1186</t>
  </si>
  <si>
    <t xml:space="preserve">Anita Fernandez</t>
  </si>
  <si>
    <t xml:space="preserve">Emp1354</t>
  </si>
  <si>
    <t xml:space="preserve">Emp1086</t>
  </si>
  <si>
    <t xml:space="preserve">Nish Kapoor</t>
  </si>
  <si>
    <t xml:space="preserve">Emp1160</t>
  </si>
  <si>
    <t xml:space="preserve">Saurabh Agarwal</t>
  </si>
  <si>
    <t xml:space="preserve">Emp1326</t>
  </si>
  <si>
    <t xml:space="preserve">Usha Subramaniam</t>
  </si>
  <si>
    <t xml:space="preserve">Emp1050</t>
  </si>
  <si>
    <t xml:space="preserve">Navdeep Mann</t>
  </si>
  <si>
    <t xml:space="preserve">Emp1095</t>
  </si>
  <si>
    <t xml:space="preserve">Emp1397</t>
  </si>
  <si>
    <t xml:space="preserve">Lamyanbi Laishram</t>
  </si>
  <si>
    <t xml:space="preserve">Emp1237</t>
  </si>
  <si>
    <t xml:space="preserve">Kabita Dutta</t>
  </si>
  <si>
    <t xml:space="preserve">Emp1270</t>
  </si>
  <si>
    <t xml:space="preserve">Ganapathy Yadav</t>
  </si>
  <si>
    <t xml:space="preserve">Emp1430</t>
  </si>
  <si>
    <t xml:space="preserve">Emp1361</t>
  </si>
  <si>
    <t xml:space="preserve">Dhanush Rao</t>
  </si>
  <si>
    <t xml:space="preserve">Emp1473</t>
  </si>
  <si>
    <t xml:space="preserve">Lalthanzara Ralte</t>
  </si>
  <si>
    <t xml:space="preserve">Emp1083</t>
  </si>
  <si>
    <t xml:space="preserve">Emp1146</t>
  </si>
  <si>
    <t xml:space="preserve">Emp1424</t>
  </si>
  <si>
    <t xml:space="preserve">Emp1057</t>
  </si>
  <si>
    <t xml:space="preserve">Emp1203</t>
  </si>
  <si>
    <t xml:space="preserve">Tashi Doma Dorjee</t>
  </si>
  <si>
    <t xml:space="preserve">Emp1087</t>
  </si>
  <si>
    <t xml:space="preserve">Emp1250</t>
  </si>
  <si>
    <t xml:space="preserve">Emp1338</t>
  </si>
  <si>
    <t xml:space="preserve">Asha Rathore</t>
  </si>
  <si>
    <t xml:space="preserve">Emp1460</t>
  </si>
  <si>
    <t xml:space="preserve">Emp1162</t>
  </si>
  <si>
    <t xml:space="preserve">Aarti Agarwal</t>
  </si>
  <si>
    <t xml:space="preserve">Emp1334</t>
  </si>
  <si>
    <t xml:space="preserve">Emp1124</t>
  </si>
  <si>
    <t xml:space="preserve">Emp1217</t>
  </si>
  <si>
    <t xml:space="preserve">Emp1383</t>
  </si>
  <si>
    <t xml:space="preserve">Ibarilin Kharshiing</t>
  </si>
  <si>
    <t xml:space="preserve">Under 50k</t>
  </si>
  <si>
    <t xml:space="preserve">Emp1093</t>
  </si>
  <si>
    <t xml:space="preserve">Angela Dias</t>
  </si>
  <si>
    <t xml:space="preserve">Emp1246</t>
  </si>
  <si>
    <t xml:space="preserve">Dwmsri Islary</t>
  </si>
  <si>
    <t xml:space="preserve">Emp1458</t>
  </si>
  <si>
    <t xml:space="preserve">Marbom Rina</t>
  </si>
  <si>
    <t xml:space="preserve">Emp1151</t>
  </si>
  <si>
    <t xml:space="preserve">Ambreen Malik</t>
  </si>
  <si>
    <t xml:space="preserve">Emp1028</t>
  </si>
  <si>
    <t xml:space="preserve">Kannan Singhal</t>
  </si>
  <si>
    <t xml:space="preserve">Emp1138</t>
  </si>
  <si>
    <t xml:space="preserve">Emp1201</t>
  </si>
  <si>
    <t xml:space="preserve">Tara Yadav</t>
  </si>
  <si>
    <t xml:space="preserve">Emp1121</t>
  </si>
  <si>
    <t xml:space="preserve">Shirin Elavia</t>
  </si>
  <si>
    <t xml:space="preserve">Emp1129</t>
  </si>
  <si>
    <t xml:space="preserve">Emp1216</t>
  </si>
  <si>
    <t xml:space="preserve">Pinki Gujjar</t>
  </si>
  <si>
    <t xml:space="preserve">Emp1392</t>
  </si>
  <si>
    <t xml:space="preserve">Wandik Manda</t>
  </si>
  <si>
    <t xml:space="preserve">Emp1431</t>
  </si>
  <si>
    <t xml:space="preserve">Emp1496</t>
  </si>
  <si>
    <t xml:space="preserve">Katayun Dalal</t>
  </si>
  <si>
    <t xml:space="preserve">Emp1342</t>
  </si>
  <si>
    <t xml:space="preserve">Sonram Areng</t>
  </si>
  <si>
    <t xml:space="preserve">Emp1026</t>
  </si>
  <si>
    <t xml:space="preserve">Gongdik Sibrang</t>
  </si>
  <si>
    <t xml:space="preserve">Emp1372</t>
  </si>
  <si>
    <t xml:space="preserve">Emp1416</t>
  </si>
  <si>
    <t xml:space="preserve">Aloo Engineer</t>
  </si>
  <si>
    <t xml:space="preserve">Emp1343</t>
  </si>
  <si>
    <t xml:space="preserve">Emp1002</t>
  </si>
  <si>
    <t xml:space="preserve">Aadya .</t>
  </si>
  <si>
    <t xml:space="preserve">Emp1378</t>
  </si>
  <si>
    <t xml:space="preserve">Rabindra Molsom</t>
  </si>
  <si>
    <t xml:space="preserve">Emp1101</t>
  </si>
  <si>
    <t xml:space="preserve">Kamal Sanggam</t>
  </si>
  <si>
    <t xml:space="preserve">Emp1306</t>
  </si>
  <si>
    <t xml:space="preserve">Himangshu Mahanta</t>
  </si>
  <si>
    <t xml:space="preserve">Emp1043</t>
  </si>
  <si>
    <t xml:space="preserve">Emp1024</t>
  </si>
  <si>
    <t xml:space="preserve">Pemba Rai</t>
  </si>
  <si>
    <t xml:space="preserve">Emp1171</t>
  </si>
  <si>
    <t xml:space="preserve">Kishore Mishra</t>
  </si>
  <si>
    <t xml:space="preserve">Emp1058</t>
  </si>
  <si>
    <t xml:space="preserve">Chuba Jamir</t>
  </si>
  <si>
    <t xml:space="preserve">Emp1188</t>
  </si>
  <si>
    <t xml:space="preserve">Emp1213</t>
  </si>
  <si>
    <t xml:space="preserve">Dhananjoy Uchoi</t>
  </si>
  <si>
    <t xml:space="preserve">Emp1295</t>
  </si>
  <si>
    <t xml:space="preserve">Sentila Angami</t>
  </si>
  <si>
    <t xml:space="preserve">Emp1137</t>
  </si>
  <si>
    <t xml:space="preserve">Emp1495</t>
  </si>
  <si>
    <t xml:space="preserve">Tanaz Irani</t>
  </si>
  <si>
    <t xml:space="preserve">Emp1231</t>
  </si>
  <si>
    <t xml:space="preserve">Yamuna Shetty</t>
  </si>
  <si>
    <t xml:space="preserve">Emp1128</t>
  </si>
  <si>
    <t xml:space="preserve">Emp1290</t>
  </si>
  <si>
    <t xml:space="preserve">Hormuz Dastur</t>
  </si>
  <si>
    <t xml:space="preserve">Emp1365</t>
  </si>
  <si>
    <t xml:space="preserve">Haiyer Kang</t>
  </si>
  <si>
    <t xml:space="preserve">Emp1154</t>
  </si>
  <si>
    <t xml:space="preserve">Emp1414</t>
  </si>
  <si>
    <t xml:space="preserve">Pulin Tripura</t>
  </si>
  <si>
    <t xml:space="preserve">Emp1499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</si>
</sst>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\₹#,##0"/>
    <numFmt numFmtId="167" formatCode="0.0%"/>
    <numFmt numFmtId="168" formatCode="General"/>
    <numFmt numFmtId="169" formatCode="\₹#,##0;&quot;₹-&quot;#,##0"/>
    <numFmt numFmtId="170" formatCode="0%"/>
    <numFmt numFmtId="171" formatCode="&quot;₹ &quot;#,##0.00"/>
    <numFmt numFmtId="172" formatCode="\$#,##0.###############;&quot;($&quot;#,##0.###############\);\$#,##0.###############"/>
  </numFmts>
  <fonts count="3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"/>
      <family val="2"/>
      <charset val="1"/>
    </font>
    <font>
      <b val="true"/>
      <sz val="20"/>
      <color rgb="FFFFFFFF"/>
      <name val="Aptos Narrow"/>
      <family val="2"/>
      <charset val="1"/>
    </font>
    <font>
      <i val="true"/>
      <sz val="11"/>
      <color rgb="FFAAB4C3"/>
      <name val="Aptos Narrow"/>
      <family val="2"/>
      <charset val="1"/>
    </font>
    <font>
      <b val="true"/>
      <sz val="11"/>
      <color rgb="FFFFFFFF"/>
      <name val="Aptos"/>
      <family val="2"/>
      <charset val="1"/>
    </font>
    <font>
      <b val="true"/>
      <sz val="11"/>
      <color rgb="FF7DB5FF"/>
      <name val="Aptos"/>
      <family val="2"/>
      <charset val="1"/>
    </font>
    <font>
      <sz val="11"/>
      <color rgb="FFD7DEE8"/>
      <name val="Aptos"/>
      <family val="2"/>
      <charset val="1"/>
    </font>
    <font>
      <sz val="11"/>
      <color rgb="FFE8EEF7"/>
      <name val="Aptos"/>
      <family val="2"/>
      <charset val="1"/>
    </font>
    <font>
      <b val="true"/>
      <sz val="22"/>
      <color rgb="FFFFFFFF"/>
      <name val="Aptos"/>
      <family val="2"/>
      <charset val="1"/>
    </font>
    <font>
      <i val="true"/>
      <sz val="11"/>
      <color rgb="FFAAB4C3"/>
      <name val="Aptos"/>
      <family val="2"/>
      <charset val="1"/>
    </font>
    <font>
      <b val="true"/>
      <sz val="11"/>
      <color rgb="FFAAB4C3"/>
      <name val="Aptos"/>
      <family val="2"/>
      <charset val="1"/>
    </font>
    <font>
      <sz val="11"/>
      <color rgb="FFFFFFFF"/>
      <name val="Aptos"/>
      <family val="2"/>
      <charset val="1"/>
    </font>
    <font>
      <b val="true"/>
      <sz val="14"/>
      <color rgb="FFAAB4C3"/>
      <name val="Aptos"/>
      <family val="2"/>
      <charset val="1"/>
    </font>
    <font>
      <sz val="12"/>
      <color rgb="FFE8EEF7"/>
      <name val="Aptos"/>
      <family val="2"/>
      <charset val="1"/>
    </font>
    <font>
      <sz val="10"/>
      <color rgb="FFD7DEE8"/>
      <name val="Aptos"/>
      <family val="2"/>
      <charset val="1"/>
    </font>
    <font>
      <sz val="11"/>
      <color rgb="FFAAB4C3"/>
      <name val="Aptos"/>
      <family val="2"/>
      <charset val="1"/>
    </font>
    <font>
      <sz val="14"/>
      <color rgb="FF595959"/>
      <name val="Aptos Narrow"/>
      <family val="2"/>
    </font>
    <font>
      <sz val="9"/>
      <color rgb="FF595959"/>
      <name val="Aptos Narrow"/>
      <family val="2"/>
    </font>
    <font>
      <sz val="10"/>
      <color rgb="FF595959"/>
      <name val="Aptos Narrow"/>
      <family val="2"/>
    </font>
    <font>
      <b val="true"/>
      <sz val="14"/>
      <color rgb="FF595959"/>
      <name val="Aptos Narrow"/>
      <family val="2"/>
    </font>
    <font>
      <b val="true"/>
      <sz val="9"/>
      <color rgb="FFFFFFFF"/>
      <name val="Aptos Narrow"/>
      <family val="2"/>
    </font>
    <font>
      <b val="true"/>
      <sz val="16"/>
      <color rgb="FFF2F2F2"/>
      <name val="Aptos Narrow"/>
      <family val="2"/>
    </font>
    <font>
      <sz val="9"/>
      <color rgb="FFD9D9D9"/>
      <name val="Aptos Narrow"/>
      <family val="2"/>
    </font>
    <font>
      <sz val="9"/>
      <color rgb="FF404040"/>
      <name val="Aptos Narrow"/>
      <family val="2"/>
    </font>
    <font>
      <sz val="13"/>
      <color rgb="FF595959"/>
      <name val="Aptos Narrow"/>
      <family val="2"/>
    </font>
    <font>
      <b val="true"/>
      <sz val="9"/>
      <color rgb="FF404040"/>
      <name val="Aptos Narrow"/>
      <family val="2"/>
    </font>
    <font>
      <b val="true"/>
      <sz val="9"/>
      <color rgb="FF262626"/>
      <name val="Aptos Narrow"/>
      <family val="2"/>
    </font>
    <font>
      <b val="true"/>
      <sz val="10"/>
      <color rgb="FF0D0D0D"/>
      <name val="Aptos Narrow"/>
      <family val="2"/>
    </font>
    <font>
      <b val="true"/>
      <sz val="10"/>
      <color rgb="FF262626"/>
      <name val="Aptos Narrow"/>
      <family val="2"/>
    </font>
    <font>
      <sz val="18"/>
      <color theme="1" tint="0.15"/>
      <name val="Aptos Narrow"/>
      <family val="0"/>
    </font>
    <font>
      <b val="true"/>
      <sz val="11"/>
      <color theme="1"/>
      <name val="Aptos Narrow"/>
      <family val="2"/>
      <charset val="1"/>
    </font>
    <font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11827"/>
        <bgColor rgb="FF151A24"/>
      </patternFill>
    </fill>
    <fill>
      <patternFill patternType="solid">
        <fgColor rgb="FF0E1117"/>
        <bgColor rgb="FF0D0D0D"/>
      </patternFill>
    </fill>
    <fill>
      <patternFill patternType="solid">
        <fgColor rgb="FF2F80ED"/>
        <bgColor rgb="FF0F9ED5"/>
      </patternFill>
    </fill>
    <fill>
      <patternFill patternType="solid">
        <fgColor rgb="FF1D2430"/>
        <bgColor rgb="FF262626"/>
      </patternFill>
    </fill>
    <fill>
      <patternFill patternType="solid">
        <fgColor rgb="FF151A24"/>
        <bgColor rgb="FF111827"/>
      </patternFill>
    </fill>
    <fill>
      <patternFill patternType="solid">
        <fgColor rgb="FF243041"/>
        <bgColor rgb="FF2B3442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2B3442"/>
      </bottom>
      <diagonal/>
    </border>
    <border diagonalUp="false" diagonalDown="false">
      <left/>
      <right/>
      <top style="thin">
        <color rgb="FF2B3442"/>
      </top>
      <bottom style="thin">
        <color rgb="FF2B3442"/>
      </bottom>
      <diagonal/>
    </border>
    <border diagonalUp="false" diagonalDown="false">
      <left/>
      <right/>
      <top/>
      <bottom style="thin">
        <color rgb="FF2F80ED"/>
      </bottom>
      <diagonal/>
    </border>
    <border diagonalUp="false" diagonalDown="false">
      <left/>
      <right/>
      <top style="thin">
        <color rgb="FF2B3442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6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6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6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6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6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6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D0D0D"/>
      <rgbColor rgb="FF008000"/>
      <rgbColor rgb="FF111827"/>
      <rgbColor rgb="FFA59417"/>
      <rgbColor rgb="FF800080"/>
      <rgbColor rgb="FF0F9ED5"/>
      <rgbColor rgb="FFAAB4C3"/>
      <rgbColor rgb="FF808080"/>
      <rgbColor rgb="FF9999FF"/>
      <rgbColor rgb="FF9B51E0"/>
      <rgbColor rgb="FFF2F2F2"/>
      <rgbColor rgb="FFE8EEF7"/>
      <rgbColor rgb="FF151A24"/>
      <rgbColor rgb="FFFF8080"/>
      <rgbColor rgb="FF0066CC"/>
      <rgbColor rgb="FFD7DEE8"/>
      <rgbColor rgb="FF0E1117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7DB5FF"/>
      <rgbColor rgb="FFFF99CC"/>
      <rgbColor rgb="FFCC99FF"/>
      <rgbColor rgb="FFFFCC99"/>
      <rgbColor rgb="FF2F80ED"/>
      <rgbColor rgb="FF56CCF2"/>
      <rgbColor rgb="FF99CC00"/>
      <rgbColor rgb="FFFFCC00"/>
      <rgbColor rgb="FFFF9900"/>
      <rgbColor rgb="FFFF6600"/>
      <rgbColor rgb="FF595959"/>
      <rgbColor rgb="FF969696"/>
      <rgbColor rgb="FF0E2841"/>
      <rgbColor rgb="FF27AE60"/>
      <rgbColor rgb="FF1D2430"/>
      <rgbColor rgb="FF262626"/>
      <rgbColor rgb="FF993300"/>
      <rgbColor rgb="FF404040"/>
      <rgbColor rgb="FF243041"/>
      <rgbColor rgb="FF2B34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Avg premium by department x location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'Helper Sheet'!$I$1:$I$2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2f80e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'Helper Sheet'!$H$3:$H$8</c:f>
              <c:strCache>
                <c:ptCount val="6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</c:strCache>
            </c:strRef>
          </c:cat>
          <c:val>
            <c:numRef>
              <c:f>'Helper Sheet'!$I$3:$I$8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'Helper Sheet'!$J$1:$J$2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56ccf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'Helper Sheet'!$H$3:$H$8</c:f>
              <c:strCache>
                <c:ptCount val="6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</c:strCache>
            </c:strRef>
          </c:cat>
          <c:val>
            <c:numRef>
              <c:f>'Helper Sheet'!$J$3:$J$8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'Helper Sheet'!$K$1:$K$2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b51e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'Helper Sheet'!$H$3:$H$8</c:f>
              <c:strCache>
                <c:ptCount val="6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</c:strCache>
            </c:strRef>
          </c:cat>
          <c:val>
            <c:numRef>
              <c:f>'Helper Sheet'!$K$3:$K$8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'Helper Sheet'!$L$1:$L$2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27ae6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'Helper Sheet'!$H$3:$H$8</c:f>
              <c:strCache>
                <c:ptCount val="6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</c:strCache>
            </c:strRef>
          </c:cat>
          <c:val>
            <c:numRef>
              <c:f>'Helper Sheet'!$L$3:$L$8</c:f>
              <c:numCache>
                <c:formatCode>General</c:formatCode>
                <c:ptCount val="6"/>
              </c:numCache>
            </c:numRef>
          </c:val>
        </c:ser>
        <c:gapWidth val="219"/>
        <c:overlap val="-27"/>
        <c:axId val="31172062"/>
        <c:axId val="28393115"/>
      </c:barChart>
      <c:catAx>
        <c:axId val="3117206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28393115"/>
        <c:crosses val="autoZero"/>
        <c:auto val="1"/>
        <c:lblAlgn val="ctr"/>
        <c:lblOffset val="100"/>
        <c:noMultiLvlLbl val="0"/>
      </c:catAx>
      <c:valAx>
        <c:axId val="2839311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IN" sz="1000" spc="-1" strike="noStrike">
                    <a:solidFill>
                      <a:srgbClr val="595959"/>
                    </a:solidFill>
                    <a:latin typeface="Aptos Narrow"/>
                  </a:defRPr>
                </a:pPr>
                <a:r>
                  <a:rPr b="0" lang="en-IN" sz="1000" spc="-1" strike="noStrike">
                    <a:solidFill>
                      <a:srgbClr val="595959"/>
                    </a:solidFill>
                    <a:latin typeface="Aptos Narrow"/>
                  </a:rPr>
                  <a:t>Avg monthly premium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31172062"/>
        <c:crosses val="autoZero"/>
        <c:crossBetween val="between"/>
      </c:valAx>
      <c:spPr>
        <a:solidFill>
          <a:srgbClr val="151a24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0"/>
    <c:dispBlanksAs val="gap"/>
  </c:chart>
  <c:spPr>
    <a:solidFill>
      <a:srgbClr val="151a24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IN" sz="1400" spc="49" strike="noStrike">
                <a:solidFill>
                  <a:srgbClr val="595959"/>
                </a:solidFill>
                <a:latin typeface="Aptos Narrow"/>
              </a:defRPr>
            </a:pPr>
            <a:r>
              <a:rPr b="1" lang="en-IN" sz="1400" spc="49" strike="noStrike">
                <a:solidFill>
                  <a:srgbClr val="595959"/>
                </a:solidFill>
                <a:latin typeface="Aptos Narrow"/>
              </a:rPr>
              <a:t>Insurance Portfolio Mix by Tier</a:t>
            </a:r>
          </a:p>
        </c:rich>
      </c:tx>
      <c:layout>
        <c:manualLayout>
          <c:xMode val="edge"/>
          <c:yMode val="edge"/>
          <c:x val="0.244688522771398"/>
          <c:y val="0.0256991685563114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70039385366395"/>
          <c:y val="0.204711514235324"/>
          <c:w val="0.44549841903811"/>
          <c:h val="0.758755353993449"/>
        </c:manualLayout>
      </c:layout>
      <c:doughnutChart>
        <c:varyColors val="1"/>
        <c:ser>
          <c:idx val="0"/>
          <c:order val="0"/>
          <c:tx>
            <c:strRef>
              <c:f>'Helper Sheet'!$B$20:$B$20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2f80e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f80e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56ccf2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51e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0f9ed5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fffff"/>
                      </a:solidFill>
                      <a:latin typeface="Aptos Narrow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fffff"/>
                      </a:solidFill>
                      <a:latin typeface="Aptos Narrow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fffff"/>
                      </a:solidFill>
                      <a:latin typeface="Aptos Narrow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fffff"/>
                      </a:solidFill>
                      <a:latin typeface="Aptos Narrow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; </c:separator>
            </c:dLbl>
            <c:txPr>
              <a:bodyPr wrap="square"/>
              <a:lstStyle/>
              <a:p>
                <a:pPr>
                  <a:defRPr b="1" sz="900" spc="-1" strike="noStrike">
                    <a:solidFill>
                      <a:srgbClr val="ffffff"/>
                    </a:solidFill>
                    <a:latin typeface="Aptos Narrow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; </c:separator>
            <c:showLeaderLines val="1"/>
          </c:dLbls>
          <c:cat>
            <c:strRef>
              <c:f>'Helper Sheet'!$A$21:$A$24</c:f>
              <c:strCache>
                <c:ptCount val="4"/>
                <c:pt idx="0">
                  <c:v>Insurance tier</c:v>
                </c:pt>
                <c:pt idx="1">
                  <c:v>Bronze</c:v>
                </c:pt>
                <c:pt idx="2">
                  <c:v>Silver</c:v>
                </c:pt>
                <c:pt idx="3">
                  <c:v>Gold</c:v>
                </c:pt>
              </c:strCache>
            </c:strRef>
          </c:cat>
          <c:val>
            <c:numRef>
              <c:f>'Helper Sheet'!$B$21:$B$24</c:f>
              <c:numCache>
                <c:formatCode>General</c:formatCode>
                <c:ptCount val="4"/>
                <c:pt idx="1">
                  <c:v>59</c:v>
                </c:pt>
                <c:pt idx="2">
                  <c:v>217</c:v>
                </c:pt>
                <c:pt idx="3">
                  <c:v>216</c:v>
                </c:pt>
              </c:numCache>
            </c:numRef>
          </c:val>
        </c:ser>
        <c:firstSliceAng val="0"/>
        <c:holeSize val="50"/>
      </c:doughnutChart>
      <c:spPr>
        <a:solidFill>
          <a:srgbClr val="151a24"/>
        </a:solidFill>
        <a:ln w="0">
          <a:noFill/>
        </a:ln>
      </c:spPr>
    </c:plotArea>
    <c:legend>
      <c:legendPos val="r"/>
      <c:overlay val="0"/>
      <c:spPr>
        <a:noFill/>
        <a:ln w="6480">
          <a:solidFill>
            <a:srgbClr val="404040"/>
          </a:solidFill>
          <a:round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0"/>
    <c:dispBlanksAs val="gap"/>
  </c:chart>
  <c:spPr>
    <a:solidFill>
      <a:srgbClr val="151a24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600" spc="97" strike="noStrike">
                <a:solidFill>
                  <a:srgbClr val="f2f2f2"/>
                </a:solidFill>
                <a:latin typeface="Aptos Narrow"/>
              </a:defRPr>
            </a:pPr>
            <a:r>
              <a:rPr b="1" lang="en-US" sz="1600" spc="97" strike="noStrike">
                <a:solidFill>
                  <a:srgbClr val="f2f2f2"/>
                </a:solidFill>
                <a:latin typeface="Aptos Narrow"/>
              </a:rPr>
              <a:t>Headcount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'Helper Sheet'!$B$29</c:f>
              <c:strCache>
                <c:ptCount val="1"/>
                <c:pt idx="0">
                  <c:v>Headcount</c:v>
                </c:pt>
              </c:strCache>
            </c:strRef>
          </c:tx>
          <c:spPr>
            <a:solidFill>
              <a:srgbClr val="2f80ed"/>
            </a:solidFill>
            <a:ln w="0">
              <a:noFill/>
            </a:ln>
          </c:spPr>
          <c:invertIfNegative val="0"/>
          <c:dLbls>
            <c:numFmt formatCode="#,##0" sourceLinked="0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d9d9d9"/>
                    </a:solidFill>
                    <a:latin typeface="Aptos Narrow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'Helper Sheet'!$A$30:$A$34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Operations</c:v>
                </c:pt>
                <c:pt idx="3">
                  <c:v>Sales</c:v>
                </c:pt>
                <c:pt idx="4">
                  <c:v>Tech</c:v>
                </c:pt>
              </c:strCache>
            </c:strRef>
          </c:cat>
          <c:val>
            <c:numRef>
              <c:f>'Helper Sheet'!$B$30:$B$34</c:f>
              <c:numCache>
                <c:formatCode>General</c:formatCode>
                <c:ptCount val="5"/>
                <c:pt idx="0">
                  <c:v>97</c:v>
                </c:pt>
                <c:pt idx="1">
                  <c:v>88</c:v>
                </c:pt>
                <c:pt idx="2">
                  <c:v>97</c:v>
                </c:pt>
                <c:pt idx="3">
                  <c:v>109</c:v>
                </c:pt>
                <c:pt idx="4">
                  <c:v>101</c:v>
                </c:pt>
              </c:numCache>
            </c:numRef>
          </c:val>
        </c:ser>
        <c:gapWidth val="115"/>
        <c:overlap val="-20"/>
        <c:axId val="29962008"/>
        <c:axId val="37853040"/>
      </c:barChart>
      <c:catAx>
        <c:axId val="299620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>
                <a:alpha val="54000"/>
              </a:srgbClr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d9d9d9"/>
                </a:solidFill>
                <a:latin typeface="Aptos Narrow"/>
              </a:defRPr>
            </a:pPr>
          </a:p>
        </c:txPr>
        <c:crossAx val="37853040"/>
        <c:crosses val="autoZero"/>
        <c:auto val="1"/>
        <c:lblAlgn val="ctr"/>
        <c:lblOffset val="100"/>
        <c:noMultiLvlLbl val="0"/>
      </c:catAx>
      <c:valAx>
        <c:axId val="37853040"/>
        <c:scaling>
          <c:orientation val="minMax"/>
        </c:scaling>
        <c:delete val="0"/>
        <c:axPos val="l"/>
        <c:majorGridlines>
          <c:spPr>
            <a:ln w="9360">
              <a:solidFill>
                <a:srgbClr val="f2f2f2">
                  <a:alpha val="10000"/>
                </a:srgbClr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d9d9d9"/>
                </a:solidFill>
                <a:latin typeface="Aptos Narrow"/>
              </a:defRPr>
            </a:pPr>
          </a:p>
        </c:txPr>
        <c:crossAx val="29962008"/>
        <c:crosses val="autoZero"/>
        <c:crossBetween val="between"/>
      </c:valAx>
      <c:spPr>
        <a:solidFill>
          <a:srgbClr val="151a24"/>
        </a:solidFill>
        <a:ln w="0">
          <a:noFill/>
        </a:ln>
      </c:spPr>
    </c:plotArea>
    <c:plotVisOnly val="0"/>
    <c:dispBlanksAs val="gap"/>
  </c:chart>
  <c:spPr>
    <a:solidFill>
      <a:srgbClr val="151a24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Gender pay gap by salary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'Helper Sheet'!$B$39</c:f>
              <c:strCache>
                <c:ptCount val="1"/>
                <c:pt idx="0">
                  <c:v>Gap (M-F)</c:v>
                </c:pt>
              </c:strCache>
            </c:strRef>
          </c:tx>
          <c:spPr>
            <a:solidFill>
              <a:srgbClr val="2f80ed"/>
            </a:solidFill>
            <a:ln w="0">
              <a:noFill/>
            </a:ln>
          </c:spPr>
          <c:invertIfNegative val="0"/>
          <c:dLbls>
            <c:numFmt formatCode="\₹#,##0;&quot;₹-&quot;#,##0" sourceLinked="0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'Helper Sheet'!$A$40:$A$43</c:f>
              <c:strCache>
                <c:ptCount val="4"/>
                <c:pt idx="0">
                  <c:v>Junior</c:v>
                </c:pt>
                <c:pt idx="1">
                  <c:v>Lead</c:v>
                </c:pt>
                <c:pt idx="2">
                  <c:v>Mid</c:v>
                </c:pt>
                <c:pt idx="3">
                  <c:v>Senior</c:v>
                </c:pt>
              </c:strCache>
            </c:strRef>
          </c:cat>
          <c:val>
            <c:numRef>
              <c:f>'Helper Sheet'!$B$40:$B$43</c:f>
              <c:numCache>
                <c:formatCode>General</c:formatCode>
                <c:ptCount val="4"/>
                <c:pt idx="0">
                  <c:v>2229.54786096256</c:v>
                </c:pt>
                <c:pt idx="1">
                  <c:v>-2672.55150510909</c:v>
                </c:pt>
                <c:pt idx="2">
                  <c:v>2277.37320954907</c:v>
                </c:pt>
                <c:pt idx="3">
                  <c:v>1553.54945355191</c:v>
                </c:pt>
              </c:numCache>
            </c:numRef>
          </c:val>
        </c:ser>
        <c:gapWidth val="219"/>
        <c:overlap val="-27"/>
        <c:axId val="39368190"/>
        <c:axId val="40427590"/>
      </c:barChart>
      <c:catAx>
        <c:axId val="3936819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40427590"/>
        <c:crosses val="autoZero"/>
        <c:auto val="1"/>
        <c:lblAlgn val="ctr"/>
        <c:lblOffset val="100"/>
        <c:noMultiLvlLbl val="0"/>
      </c:catAx>
      <c:valAx>
        <c:axId val="4042759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\₹#,##0;&quot;₹-&quot;#,##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39368190"/>
        <c:crosses val="autoZero"/>
        <c:crossBetween val="between"/>
      </c:valAx>
      <c:spPr>
        <a:solidFill>
          <a:srgbClr val="151a24"/>
        </a:solidFill>
        <a:ln w="0">
          <a:noFill/>
        </a:ln>
      </c:spPr>
    </c:plotArea>
    <c:plotVisOnly val="0"/>
    <c:dispBlanksAs val="gap"/>
  </c:chart>
  <c:spPr>
    <a:solidFill>
      <a:srgbClr val="151a24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300" spc="-1" strike="noStrike">
                <a:solidFill>
                  <a:srgbClr val="595959"/>
                </a:solidFill>
                <a:latin typeface="Aptos Narrow"/>
                <a:ea typeface="Calibri"/>
              </a:defRPr>
            </a:pPr>
            <a:r>
              <a:rPr b="0" lang="en-US" sz="1300" spc="-1" strike="noStrike">
                <a:solidFill>
                  <a:srgbClr val="595959"/>
                </a:solidFill>
                <a:latin typeface="Aptos Narrow"/>
                <a:ea typeface="Calibri"/>
              </a:rPr>
              <a:t>Gap shrinks further once controlled for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6051100430053"/>
          <c:y val="0.152879936630078"/>
          <c:w val="0.853339236023273"/>
          <c:h val="0.8089849496435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'Helper Sheet'!$B$45:$B$45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0e2841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0e2841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a59417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0e2841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a59417"/>
              </a:solidFill>
              <a:ln w="0">
                <a:noFill/>
              </a:ln>
            </c:spPr>
          </c:dPt>
          <c:dLbls>
            <c:numFmt formatCode="0.0%" sourceLinked="1"/>
            <c:dLbl>
              <c:idx val="0"/>
              <c:numFmt formatCode="0.0%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404040"/>
                      </a:solidFill>
                      <a:latin typeface="Aptos Narrow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.0%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404040"/>
                      </a:solidFill>
                      <a:latin typeface="Aptos Narrow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0.0%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404040"/>
                      </a:solidFill>
                      <a:latin typeface="Aptos Narrow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numFmt formatCode="0.0%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404040"/>
                      </a:solidFill>
                      <a:latin typeface="Aptos Narrow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1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'Helper Sheet'!$A$46:$A$50</c:f>
              <c:strCache>
                <c:ptCount val="5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>Department</c:v>
                </c:pt>
                <c:pt idx="4">
                  <c:v>Finance</c:v>
                </c:pt>
              </c:strCache>
            </c:strRef>
          </c:cat>
          <c:val>
            <c:numRef>
              <c:f>'Helper Sheet'!$B$46:$B$50</c:f>
              <c:numCache>
                <c:formatCode>General</c:formatCode>
                <c:ptCount val="5"/>
              </c:numCache>
            </c:numRef>
          </c:val>
        </c:ser>
        <c:gapWidth val="50"/>
        <c:overlap val="0"/>
        <c:axId val="91320446"/>
        <c:axId val="99026109"/>
      </c:barChart>
      <c:catAx>
        <c:axId val="9132044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IN" sz="1000" spc="-1" strike="noStrike">
                    <a:solidFill>
                      <a:srgbClr val="0d0d0d"/>
                    </a:solidFill>
                    <a:latin typeface="Aptos Narrow"/>
                  </a:defRPr>
                </a:pPr>
                <a:r>
                  <a:rPr b="1" lang="en-IN" sz="1000" spc="-1" strike="noStrike">
                    <a:solidFill>
                      <a:srgbClr val="0d0d0d"/>
                    </a:solidFill>
                    <a:latin typeface="Aptos Narrow"/>
                  </a:rPr>
                  <a:t>Salary Band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1" sz="900" spc="-1" strike="noStrike">
                <a:solidFill>
                  <a:srgbClr val="262626"/>
                </a:solidFill>
                <a:latin typeface="Aptos Narrow"/>
              </a:defRPr>
            </a:pPr>
          </a:p>
        </c:txPr>
        <c:crossAx val="99026109"/>
        <c:crosses val="autoZero"/>
        <c:auto val="1"/>
        <c:lblAlgn val="ctr"/>
        <c:lblOffset val="100"/>
        <c:noMultiLvlLbl val="0"/>
      </c:catAx>
      <c:valAx>
        <c:axId val="99026109"/>
        <c:scaling>
          <c:orientation val="minMax"/>
          <c:max val="0.11"/>
          <c:min val="-0.03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lang="en-IN" sz="1000" spc="-1" strike="noStrike">
                    <a:solidFill>
                      <a:srgbClr val="262626"/>
                    </a:solidFill>
                    <a:latin typeface="Aptos Narrow"/>
                  </a:defRPr>
                </a:pPr>
                <a:r>
                  <a:rPr b="1" lang="en-IN" sz="1000" spc="-1" strike="noStrike">
                    <a:solidFill>
                      <a:srgbClr val="262626"/>
                    </a:solidFill>
                    <a:latin typeface="Aptos Narrow"/>
                  </a:rPr>
                  <a:t>Gap (Male - Female), % of Male avg Salary</a:t>
                </a:r>
              </a:p>
            </c:rich>
          </c:tx>
          <c:layout>
            <c:manualLayout>
              <c:xMode val="edge"/>
              <c:yMode val="edge"/>
              <c:x val="0.0166961801163673"/>
              <c:y val="0.251103315604843"/>
            </c:manualLayout>
          </c:layout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913204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IN" sz="1300" spc="-1" strike="noStrike">
                <a:solidFill>
                  <a:srgbClr val="595959"/>
                </a:solidFill>
                <a:latin typeface="Aptos Narrow"/>
                <a:ea typeface="Calibri"/>
              </a:defRPr>
            </a:pPr>
            <a:r>
              <a:rPr b="0" lang="en-IN" sz="1300" spc="-1" strike="noStrike">
                <a:solidFill>
                  <a:srgbClr val="595959"/>
                </a:solidFill>
                <a:latin typeface="Aptos Narrow"/>
                <a:ea typeface="Calibri"/>
              </a:rPr>
              <a:t>Workforce composition by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"Female"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a59417"/>
            </a:solidFill>
            <a:ln w="0">
              <a:noFill/>
            </a:ln>
          </c:spPr>
          <c:invertIfNegative val="0"/>
          <c:dLbls>
            <c:numFmt formatCode="0%" sourceLinked="0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ffffff"/>
                    </a:solidFill>
                    <a:latin typeface="Aptos Narrow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'Helper Sheet'!$A$47:$A$50</c:f>
              <c:strCache>
                <c:ptCount val="4"/>
                <c:pt idx="0">
                  <c:v/>
                </c:pt>
                <c:pt idx="1">
                  <c:v/>
                </c:pt>
                <c:pt idx="2">
                  <c:v>Department</c:v>
                </c:pt>
                <c:pt idx="3">
                  <c:v>Finance</c:v>
                </c:pt>
              </c:strCache>
            </c:strRef>
          </c:cat>
          <c:val>
            <c:numRef>
              <c:f>'Helper Sheet'!$C$47:$C$50</c:f>
              <c:numCache>
                <c:formatCode>General</c:formatCode>
                <c:ptCount val="4"/>
                <c:pt idx="3">
                  <c:v>121773.863636364</c:v>
                </c:pt>
              </c:numCache>
            </c:numRef>
          </c:val>
        </c:ser>
        <c:ser>
          <c:idx val="1"/>
          <c:order val="1"/>
          <c:tx>
            <c:strRef>
              <c:f>"Male"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0e284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'Helper Sheet'!$A$47:$A$50</c:f>
              <c:strCache>
                <c:ptCount val="4"/>
                <c:pt idx="0">
                  <c:v/>
                </c:pt>
                <c:pt idx="1">
                  <c:v/>
                </c:pt>
                <c:pt idx="2">
                  <c:v>Department</c:v>
                </c:pt>
                <c:pt idx="3">
                  <c:v>Finance</c:v>
                </c:pt>
              </c:strCache>
            </c:strRef>
          </c:cat>
          <c:val>
            <c:numRef>
              <c:f>'Helper Sheet'!$D$47:$D$50</c:f>
              <c:numCache>
                <c:formatCode>General</c:formatCode>
                <c:ptCount val="4"/>
                <c:pt idx="3">
                  <c:v>4927.27272727273</c:v>
                </c:pt>
              </c:numCache>
            </c:numRef>
          </c:val>
        </c:ser>
        <c:gapWidth val="150"/>
        <c:overlap val="100"/>
        <c:axId val="41835722"/>
        <c:axId val="68724763"/>
      </c:barChart>
      <c:catAx>
        <c:axId val="4183572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1" lang="en-US" sz="900" spc="-1" strike="noStrike">
                <a:solidFill>
                  <a:srgbClr val="262626"/>
                </a:solidFill>
                <a:latin typeface="Aptos Narrow"/>
              </a:defRPr>
            </a:pPr>
          </a:p>
        </c:txPr>
        <c:crossAx val="68724763"/>
        <c:crosses val="autoZero"/>
        <c:auto val="1"/>
        <c:lblAlgn val="ctr"/>
        <c:lblOffset val="100"/>
        <c:noMultiLvlLbl val="0"/>
      </c:catAx>
      <c:valAx>
        <c:axId val="68724763"/>
        <c:scaling>
          <c:orientation val="minMax"/>
          <c:max val="1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lang="en-IN" sz="1000" spc="-1" strike="noStrike">
                    <a:solidFill>
                      <a:srgbClr val="262626"/>
                    </a:solidFill>
                    <a:latin typeface="Aptos Narrow"/>
                  </a:defRPr>
                </a:pPr>
                <a:r>
                  <a:rPr b="1" lang="en-IN" sz="1000" spc="-1" strike="noStrike">
                    <a:solidFill>
                      <a:srgbClr val="262626"/>
                    </a:solidFill>
                    <a:latin typeface="Aptos Narrow"/>
                  </a:rPr>
                  <a:t>Share of Headcount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41835722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393494531933508"/>
          <c:y val="0.894096675415573"/>
          <c:w val="0.37967738407699"/>
          <c:h val="0.078125546806649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39240</xdr:rowOff>
    </xdr:from>
    <xdr:to>
      <xdr:col>6</xdr:col>
      <xdr:colOff>926640</xdr:colOff>
      <xdr:row>25</xdr:row>
      <xdr:rowOff>39240</xdr:rowOff>
    </xdr:to>
    <xdr:graphicFrame>
      <xdr:nvGraphicFramePr>
        <xdr:cNvPr id="0" name="Avg Premium by Department x Location"/>
        <xdr:cNvGraphicFramePr/>
      </xdr:nvGraphicFramePr>
      <xdr:xfrm>
        <a:off x="0" y="2124000"/>
        <a:ext cx="6489360" cy="2857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10</xdr:row>
      <xdr:rowOff>39240</xdr:rowOff>
    </xdr:from>
    <xdr:to>
      <xdr:col>13</xdr:col>
      <xdr:colOff>926640</xdr:colOff>
      <xdr:row>25</xdr:row>
      <xdr:rowOff>39240</xdr:rowOff>
    </xdr:to>
    <xdr:graphicFrame>
      <xdr:nvGraphicFramePr>
        <xdr:cNvPr id="1" name="Plan Mix by Tier"/>
        <xdr:cNvGraphicFramePr/>
      </xdr:nvGraphicFramePr>
      <xdr:xfrm>
        <a:off x="6489720" y="2124000"/>
        <a:ext cx="6489360" cy="2857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27</xdr:row>
      <xdr:rowOff>39240</xdr:rowOff>
    </xdr:from>
    <xdr:to>
      <xdr:col>6</xdr:col>
      <xdr:colOff>926640</xdr:colOff>
      <xdr:row>42</xdr:row>
      <xdr:rowOff>39240</xdr:rowOff>
    </xdr:to>
    <xdr:graphicFrame>
      <xdr:nvGraphicFramePr>
        <xdr:cNvPr id="2" name="Headcount by Department"/>
        <xdr:cNvGraphicFramePr/>
      </xdr:nvGraphicFramePr>
      <xdr:xfrm>
        <a:off x="0" y="5362560"/>
        <a:ext cx="6489360" cy="2857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27</xdr:row>
      <xdr:rowOff>39240</xdr:rowOff>
    </xdr:from>
    <xdr:to>
      <xdr:col>13</xdr:col>
      <xdr:colOff>926640</xdr:colOff>
      <xdr:row>42</xdr:row>
      <xdr:rowOff>39240</xdr:rowOff>
    </xdr:to>
    <xdr:graphicFrame>
      <xdr:nvGraphicFramePr>
        <xdr:cNvPr id="3" name="Gender Pay Gap by Salary Band"/>
        <xdr:cNvGraphicFramePr/>
      </xdr:nvGraphicFramePr>
      <xdr:xfrm>
        <a:off x="6489720" y="5362560"/>
        <a:ext cx="6489360" cy="2857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twoCell">
    <xdr:from>
      <xdr:col>14</xdr:col>
      <xdr:colOff>285840</xdr:colOff>
      <xdr:row>0</xdr:row>
      <xdr:rowOff>142920</xdr:rowOff>
    </xdr:from>
    <xdr:to>
      <xdr:col>29</xdr:col>
      <xdr:colOff>275760</xdr:colOff>
      <xdr:row>18</xdr:row>
      <xdr:rowOff>115200</xdr:rowOff>
    </xdr:to>
    <xdr:grpSp>
      <xdr:nvGrpSpPr>
        <xdr:cNvPr id="4" name="Group 11"/>
        <xdr:cNvGrpSpPr/>
      </xdr:nvGrpSpPr>
      <xdr:grpSpPr>
        <a:xfrm>
          <a:off x="13265280" y="142920"/>
          <a:ext cx="11372400" cy="3580920"/>
          <a:chOff x="13265280" y="142920"/>
          <a:chExt cx="11372400" cy="3580920"/>
        </a:xfrm>
      </xdr:grpSpPr>
      <xdr:grpSp>
        <xdr:nvGrpSpPr>
          <xdr:cNvPr id="5" name="Group 5"/>
          <xdr:cNvGrpSpPr/>
        </xdr:nvGrpSpPr>
        <xdr:grpSpPr>
          <a:xfrm>
            <a:off x="13265280" y="533520"/>
            <a:ext cx="11372400" cy="3190320"/>
            <a:chOff x="13265280" y="533520"/>
            <a:chExt cx="11372400" cy="3190320"/>
          </a:xfrm>
        </xdr:grpSpPr>
        <xdr:graphicFrame>
          <xdr:nvGraphicFramePr>
            <xdr:cNvPr id="6" name="Chart 6"/>
            <xdr:cNvGraphicFramePr/>
          </xdr:nvGraphicFramePr>
          <xdr:xfrm>
            <a:off x="13265280" y="542880"/>
            <a:ext cx="5691960" cy="318096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  <xdr:graphicFrame>
          <xdr:nvGraphicFramePr>
            <xdr:cNvPr id="7" name="Chart 7"/>
            <xdr:cNvGraphicFramePr/>
          </xdr:nvGraphicFramePr>
          <xdr:xfrm>
            <a:off x="18945720" y="533520"/>
            <a:ext cx="5691960" cy="31716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>
        <xdr:nvSpPr>
          <xdr:cNvPr id="8" name="Rectangle 8"/>
          <xdr:cNvSpPr/>
        </xdr:nvSpPr>
        <xdr:spPr>
          <a:xfrm>
            <a:off x="13300920" y="142920"/>
            <a:ext cx="11313360" cy="361440"/>
          </a:xfrm>
          <a:prstGeom prst="rect">
            <a:avLst/>
          </a:prstGeom>
          <a:solidFill>
            <a:srgbClr val="ffffff"/>
          </a:solidFill>
          <a:ln w="19050">
            <a:solidFill>
              <a:srgbClr val="e8e8e8">
                <a:lumMod val="75000"/>
              </a:srgbClr>
            </a:solidFill>
            <a:miter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xdr:style>
        <xdr:txBody>
          <a:bodyPr horzOverflow="clip" vertOverflow="clip" lIns="90000" rIns="90000" tIns="45000" bIns="45000" anchor="ctr">
            <a:noAutofit/>
          </a:bodyPr>
          <a:p>
            <a:pPr algn="ctr">
              <a:lnSpc>
                <a:spcPct val="100000"/>
              </a:lnSpc>
            </a:pPr>
            <a:r>
              <a:rPr b="0" lang="en-IN" sz="1800" spc="-1" strike="noStrike">
                <a:solidFill>
                  <a:schemeClr val="dk1">
                    <a:lumMod val="85000"/>
                    <a:lumOff val="15000"/>
                  </a:schemeClr>
                </a:solidFill>
                <a:latin typeface="Aptos Narrow"/>
              </a:rPr>
              <a:t>Gender pay gap - Raw vs Band-Controlled</a:t>
            </a:r>
            <a:endParaRPr b="0" lang="en-US" sz="1800" spc="-1" strike="noStrike">
              <a:latin typeface="Times New Roman"/>
            </a:endParaRP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id="1" name="Indian_Employee_Data" displayName="Indian_Employee_Data" ref="A1:M494" headerRowCount="1" totalsRowCount="1" totalsRowShown="1">
  <tableColumns count="13">
    <tableColumn id="1" name="Employee ID"/>
    <tableColumn id="2" name="Full Name"/>
    <tableColumn id="3" name="Gender"/>
    <tableColumn id="4" name="Department"/>
    <tableColumn id="5" name="Location"/>
    <tableColumn id="6" name="Monthly Base Salary (INR)"/>
    <tableColumn id="7" name="Corporate Benefit Plan"/>
    <tableColumn id="8" name="Insurance tier"/>
    <tableColumn id="9" name="Monthly Premiums"/>
    <tableColumn id="10" name="Salary Bracket"/>
    <tableColumn id="11" name="Salary Tier"/>
    <tableColumn id="12" name="Vendor Survey Job Code"/>
    <tableColumn id="13" name="Vendor Global Group Nam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K1048576" activeCellId="0" sqref="K1048576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8.14"/>
    <col collapsed="false" customWidth="true" hidden="false" outlineLevel="0" max="2" min="2" style="1" width="66.72"/>
    <col collapsed="false" customWidth="true" hidden="false" outlineLevel="0" max="8" min="3" style="1" width="9.57"/>
  </cols>
  <sheetData>
    <row r="1" customFormat="false" ht="33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24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  <c r="H3" s="4"/>
    </row>
    <row r="4" customFormat="false" ht="15" hidden="false" customHeight="false" outlineLevel="0" collapsed="false">
      <c r="A4" s="5" t="s">
        <v>2</v>
      </c>
      <c r="B4" s="5" t="s">
        <v>3</v>
      </c>
      <c r="C4" s="4"/>
      <c r="D4" s="4"/>
      <c r="E4" s="4"/>
      <c r="F4" s="4"/>
      <c r="G4" s="4"/>
      <c r="H4" s="4"/>
    </row>
    <row r="5" customFormat="false" ht="28.35" hidden="false" customHeight="false" outlineLevel="0" collapsed="false">
      <c r="A5" s="6" t="s">
        <v>4</v>
      </c>
      <c r="B5" s="7" t="s">
        <v>5</v>
      </c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6" t="s">
        <v>6</v>
      </c>
      <c r="B6" s="7" t="s">
        <v>7</v>
      </c>
      <c r="C6" s="4"/>
      <c r="D6" s="4"/>
      <c r="E6" s="4"/>
      <c r="F6" s="4"/>
      <c r="G6" s="4"/>
      <c r="H6" s="4"/>
    </row>
    <row r="7" customFormat="false" ht="28.35" hidden="false" customHeight="false" outlineLevel="0" collapsed="false">
      <c r="A7" s="6" t="s">
        <v>8</v>
      </c>
      <c r="B7" s="7" t="s">
        <v>9</v>
      </c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A8" s="6" t="s">
        <v>10</v>
      </c>
      <c r="B8" s="7" t="s">
        <v>11</v>
      </c>
      <c r="C8" s="4"/>
      <c r="D8" s="4"/>
      <c r="E8" s="4"/>
      <c r="F8" s="4"/>
      <c r="G8" s="4"/>
      <c r="H8" s="4"/>
    </row>
    <row r="9" customFormat="false" ht="15" hidden="false" customHeight="false" outlineLevel="0" collapsed="false">
      <c r="A9" s="6" t="s">
        <v>12</v>
      </c>
      <c r="B9" s="7" t="s">
        <v>13</v>
      </c>
      <c r="C9" s="4"/>
      <c r="D9" s="4"/>
      <c r="E9" s="4"/>
      <c r="F9" s="4"/>
      <c r="G9" s="4"/>
      <c r="H9" s="4"/>
    </row>
    <row r="10" customFormat="false" ht="15" hidden="false" customHeight="false" outlineLevel="0" collapsed="false">
      <c r="A10" s="6" t="s">
        <v>14</v>
      </c>
      <c r="B10" s="7" t="s">
        <v>15</v>
      </c>
      <c r="C10" s="4"/>
      <c r="D10" s="4"/>
      <c r="E10" s="4"/>
      <c r="F10" s="4"/>
      <c r="G10" s="4"/>
      <c r="H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  <c r="H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4"/>
      <c r="H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  <c r="H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/>
      <c r="H29" s="4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4"/>
      <c r="H30" s="4"/>
    </row>
  </sheetData>
  <mergeCells count="2">
    <mergeCell ref="A1:H1"/>
    <mergeCell ref="A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0"/>
  <sheetViews>
    <sheetView showFormulas="false" showGridLines="fals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AF6" activeCellId="0" sqref="AF6"/>
    </sheetView>
  </sheetViews>
  <sheetFormatPr defaultColWidth="8.5390625" defaultRowHeight="15" zeroHeight="false" outlineLevelRow="0" outlineLevelCol="0"/>
  <cols>
    <col collapsed="false" customWidth="true" hidden="false" outlineLevel="0" max="14" min="1" style="8" width="10.43"/>
  </cols>
  <sheetData>
    <row r="1" customFormat="false" ht="26.8" hidden="false" customHeight="false" outlineLevel="0" collapsed="false">
      <c r="A1" s="9" t="s">
        <v>16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customFormat="false" ht="15" hidden="false" customHeight="false" outlineLevel="0" collapsed="false">
      <c r="A2" s="10" t="s">
        <v>17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customFormat="false" ht="15" hidden="false" customHeight="false" outlineLevel="0" collapsed="false">
      <c r="A3" s="11" t="s">
        <v>18</v>
      </c>
      <c r="B3" s="12" t="s">
        <v>19</v>
      </c>
      <c r="C3" s="11" t="s">
        <v>20</v>
      </c>
      <c r="D3" s="12" t="s">
        <v>19</v>
      </c>
      <c r="E3" s="11" t="s">
        <v>21</v>
      </c>
      <c r="F3" s="12" t="s">
        <v>19</v>
      </c>
      <c r="G3" s="13"/>
      <c r="H3" s="13" t="s">
        <v>22</v>
      </c>
      <c r="I3" s="13"/>
      <c r="J3" s="10" t="s">
        <v>22</v>
      </c>
      <c r="K3" s="10"/>
      <c r="L3" s="10"/>
      <c r="M3" s="10"/>
      <c r="N3" s="10"/>
    </row>
    <row r="4" customFormat="false" ht="15" hidden="false" customHeight="false" outlineLevel="0" collapsed="false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5" customFormat="false" ht="17.35" hidden="false" customHeight="false" outlineLevel="0" collapsed="false">
      <c r="A5" s="14" t="s">
        <v>23</v>
      </c>
      <c r="B5" s="14"/>
      <c r="C5" s="14"/>
      <c r="D5" s="14" t="s">
        <v>24</v>
      </c>
      <c r="E5" s="14"/>
      <c r="F5" s="14"/>
      <c r="G5" s="14" t="s">
        <v>25</v>
      </c>
      <c r="H5" s="14"/>
      <c r="I5" s="14"/>
      <c r="J5" s="14" t="s">
        <v>26</v>
      </c>
      <c r="K5" s="14"/>
      <c r="L5" s="14"/>
      <c r="M5" s="13"/>
      <c r="N5" s="13"/>
    </row>
    <row r="6" customFormat="false" ht="15" hidden="false" customHeight="false" outlineLevel="0" collapsed="false">
      <c r="A6" s="15" t="e">
        <f aca="false">GETPIVOTDATA("[Measures].[Headcount]",#REF!)</f>
        <v>#REF!</v>
      </c>
      <c r="B6" s="15"/>
      <c r="C6" s="15"/>
      <c r="D6" s="16" t="e">
        <f aca="false">GETPIVOTDATA("[Measures].[Average Salary]",#REF!)</f>
        <v>#REF!</v>
      </c>
      <c r="E6" s="16"/>
      <c r="F6" s="16"/>
      <c r="G6" s="16" t="e">
        <f aca="false">GETPIVOTDATA("[Measures].[Total Monthly Premium Cost]",#REF!)</f>
        <v>#REF!</v>
      </c>
      <c r="H6" s="16"/>
      <c r="I6" s="16"/>
      <c r="J6" s="17" t="e">
        <f aca="false">GETPIVOTDATA("[Measures].[High-Cost Employee %]",#REF!)</f>
        <v>#REF!</v>
      </c>
      <c r="K6" s="17"/>
      <c r="L6" s="17"/>
      <c r="M6" s="13"/>
      <c r="N6" s="13"/>
    </row>
    <row r="7" customFormat="false" ht="15" hidden="false" customHeight="false" outlineLevel="0" collapsed="false">
      <c r="A7" s="15"/>
      <c r="B7" s="15"/>
      <c r="C7" s="15"/>
      <c r="D7" s="16"/>
      <c r="E7" s="16"/>
      <c r="F7" s="16"/>
      <c r="G7" s="16"/>
      <c r="H7" s="16"/>
      <c r="I7" s="16"/>
      <c r="J7" s="17"/>
      <c r="K7" s="17"/>
      <c r="L7" s="17"/>
      <c r="M7" s="13"/>
      <c r="N7" s="13"/>
    </row>
    <row r="8" customFormat="false" ht="15" hidden="false" customHeight="false" outlineLevel="0" collapsed="false">
      <c r="A8" s="15"/>
      <c r="B8" s="15"/>
      <c r="C8" s="15"/>
      <c r="D8" s="16"/>
      <c r="E8" s="16"/>
      <c r="F8" s="16"/>
      <c r="G8" s="16"/>
      <c r="H8" s="16"/>
      <c r="I8" s="16"/>
      <c r="J8" s="17"/>
      <c r="K8" s="17"/>
      <c r="L8" s="17"/>
      <c r="M8" s="13"/>
      <c r="N8" s="13"/>
    </row>
    <row r="9" customFormat="false" ht="15" hidden="false" customHeight="false" outlineLevel="0" collapsed="false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customFormat="false" ht="15" hidden="false" customHeight="false" outlineLevel="0" collapsed="false">
      <c r="A10" s="18" t="s">
        <v>27</v>
      </c>
      <c r="B10" s="18"/>
      <c r="C10" s="18"/>
      <c r="D10" s="18"/>
      <c r="E10" s="18"/>
      <c r="F10" s="18"/>
      <c r="G10" s="18"/>
      <c r="H10" s="18" t="s">
        <v>28</v>
      </c>
      <c r="I10" s="18"/>
      <c r="J10" s="18"/>
      <c r="K10" s="18"/>
      <c r="L10" s="18"/>
      <c r="M10" s="18"/>
      <c r="N10" s="18"/>
    </row>
    <row r="11" customFormat="false" ht="15" hidden="false" customHeight="false" outlineLevel="0" collapsed="false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</row>
    <row r="12" customFormat="false" ht="15" hidden="false" customHeight="false" outlineLevel="0" collapsed="false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</row>
    <row r="13" customFormat="false" ht="15" hidden="false" customHeight="false" outlineLevel="0" collapsed="false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</row>
    <row r="14" customFormat="false" ht="15" hidden="false" customHeight="false" outlineLevel="0" collapsed="false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</row>
    <row r="15" customFormat="false" ht="15" hidden="false" customHeight="false" outlineLevel="0" collapsed="false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</row>
    <row r="16" customFormat="false" ht="15" hidden="false" customHeight="false" outlineLevel="0" collapsed="false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</row>
    <row r="17" customFormat="false" ht="15" hidden="false" customHeight="false" outlineLevel="0" collapsed="false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</row>
    <row r="18" customFormat="false" ht="15" hidden="false" customHeight="false" outlineLevel="0" collapsed="false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</row>
    <row r="19" customFormat="false" ht="15" hidden="false" customHeight="false" outlineLevel="0" collapsed="false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</row>
    <row r="20" customFormat="false" ht="15" hidden="false" customHeight="false" outlineLevel="0" collapsed="false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</row>
    <row r="21" customFormat="false" ht="15" hidden="false" customHeight="false" outlineLevel="0" collapsed="false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</row>
    <row r="22" customFormat="false" ht="15" hidden="false" customHeight="false" outlineLevel="0" collapsed="false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</row>
    <row r="24" customFormat="false" ht="15" hidden="false" customHeight="false" outlineLevel="0" collapsed="false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</row>
    <row r="25" customFormat="false" ht="15" hidden="false" customHeight="false" outlineLevel="0" collapsed="false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</row>
    <row r="26" customFormat="false" ht="15" hidden="false" customHeight="false" outlineLevel="0" collapsed="false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customFormat="false" ht="15" hidden="false" customHeight="false" outlineLevel="0" collapsed="false">
      <c r="A27" s="18" t="s">
        <v>29</v>
      </c>
      <c r="B27" s="18"/>
      <c r="C27" s="18"/>
      <c r="D27" s="18"/>
      <c r="E27" s="18"/>
      <c r="F27" s="18"/>
      <c r="G27" s="18"/>
      <c r="H27" s="18" t="s">
        <v>30</v>
      </c>
      <c r="I27" s="18"/>
      <c r="J27" s="18"/>
      <c r="K27" s="18"/>
      <c r="L27" s="18"/>
      <c r="M27" s="18"/>
      <c r="N27" s="18"/>
    </row>
    <row r="28" customFormat="false" ht="15" hidden="false" customHeight="false" outlineLevel="0" collapsed="false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</row>
    <row r="29" customFormat="false" ht="15" hidden="false" customHeight="false" outlineLevel="0" collapsed="false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</row>
    <row r="30" customFormat="false" ht="15" hidden="false" customHeight="false" outlineLevel="0" collapsed="false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</row>
    <row r="31" customFormat="false" ht="15" hidden="false" customHeight="false" outlineLevel="0" collapsed="false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</row>
    <row r="32" customFormat="false" ht="15" hidden="false" customHeight="false" outlineLevel="0" collapsed="false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</row>
    <row r="33" customFormat="false" ht="15" hidden="false" customHeight="false" outlineLevel="0" collapsed="false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</row>
    <row r="34" customFormat="false" ht="15" hidden="false" customHeight="false" outlineLevel="0" collapsed="false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</row>
    <row r="35" customFormat="false" ht="15" hidden="false" customHeight="false" outlineLevel="0" collapsed="false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</row>
    <row r="36" customFormat="false" ht="15" hidden="false" customHeight="false" outlineLevel="0" collapsed="false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</row>
    <row r="37" customFormat="false" ht="15" hidden="false" customHeight="false" outlineLevel="0" collapsed="false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</row>
    <row r="38" customFormat="false" ht="15" hidden="false" customHeight="false" outlineLevel="0" collapsed="false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</row>
    <row r="39" customFormat="false" ht="15" hidden="false" customHeight="false" outlineLevel="0" collapsed="false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</row>
    <row r="40" customFormat="false" ht="15" hidden="false" customHeight="false" outlineLevel="0" collapsed="false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</row>
    <row r="41" customFormat="false" ht="15" hidden="false" customHeight="false" outlineLevel="0" collapsed="false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</row>
    <row r="42" customFormat="false" ht="15" hidden="false" customHeight="false" outlineLevel="0" collapsed="false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</row>
    <row r="43" customFormat="false" ht="15" hidden="false" customHeight="false" outlineLevel="0" collapsed="false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</row>
    <row r="44" customFormat="false" ht="15" hidden="false" customHeight="false" outlineLevel="0" collapsed="false">
      <c r="A44" s="18" t="s">
        <v>31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customFormat="false" ht="15" hidden="false" customHeight="true" outlineLevel="0" collapsed="false">
      <c r="A45" s="21" t="s">
        <v>21</v>
      </c>
      <c r="B45" s="21" t="s">
        <v>18</v>
      </c>
      <c r="C45" s="21" t="s">
        <v>24</v>
      </c>
      <c r="D45" s="21" t="s">
        <v>32</v>
      </c>
      <c r="E45" s="21" t="s">
        <v>23</v>
      </c>
      <c r="F45" s="21" t="s">
        <v>26</v>
      </c>
      <c r="G45" s="22"/>
      <c r="H45" s="23" t="s">
        <v>33</v>
      </c>
      <c r="I45" s="23"/>
      <c r="J45" s="23"/>
      <c r="K45" s="23"/>
      <c r="L45" s="23"/>
      <c r="M45" s="23"/>
      <c r="N45" s="23"/>
    </row>
    <row r="46" customFormat="false" ht="15" hidden="false" customHeight="false" outlineLevel="0" collapsed="false">
      <c r="A46" s="24" t="e">
        <f aca="false">'Helper Sheet'!H50</f>
        <v>#NAME?</v>
      </c>
      <c r="B46" s="24" t="e">
        <f aca="false">'Helper Sheet'!I50</f>
        <v>#NAME?</v>
      </c>
      <c r="C46" s="25" t="e">
        <f aca="false">'Helper Sheet'!J50</f>
        <v>#NAME?</v>
      </c>
      <c r="D46" s="25" t="e">
        <f aca="false">'Helper Sheet'!K50</f>
        <v>#NAME?</v>
      </c>
      <c r="E46" s="26" t="e">
        <f aca="false">'Helper Sheet'!L50</f>
        <v>#NAME?</v>
      </c>
      <c r="F46" s="27" t="e">
        <f aca="false">'Helper Sheet'!M50</f>
        <v>#NAME?</v>
      </c>
      <c r="G46" s="22"/>
      <c r="H46" s="23"/>
      <c r="I46" s="23"/>
      <c r="J46" s="23"/>
      <c r="K46" s="23"/>
      <c r="L46" s="23"/>
      <c r="M46" s="23"/>
      <c r="N46" s="23"/>
    </row>
    <row r="47" customFormat="false" ht="15" hidden="false" customHeight="false" outlineLevel="0" collapsed="false">
      <c r="A47" s="24" t="e">
        <f aca="false">'Helper Sheet'!H51</f>
        <v>#NAME?</v>
      </c>
      <c r="B47" s="24" t="e">
        <f aca="false">'Helper Sheet'!I51</f>
        <v>#NAME?</v>
      </c>
      <c r="C47" s="25" t="e">
        <f aca="false">'Helper Sheet'!J51</f>
        <v>#NAME?</v>
      </c>
      <c r="D47" s="25" t="e">
        <f aca="false">'Helper Sheet'!K51</f>
        <v>#NAME?</v>
      </c>
      <c r="E47" s="26" t="e">
        <f aca="false">'Helper Sheet'!L51</f>
        <v>#NAME?</v>
      </c>
      <c r="F47" s="27" t="e">
        <f aca="false">'Helper Sheet'!M51</f>
        <v>#NAME?</v>
      </c>
      <c r="G47" s="22"/>
      <c r="H47" s="23"/>
      <c r="I47" s="23"/>
      <c r="J47" s="23"/>
      <c r="K47" s="23"/>
      <c r="L47" s="23"/>
      <c r="M47" s="23"/>
      <c r="N47" s="23"/>
    </row>
    <row r="48" customFormat="false" ht="15" hidden="false" customHeight="false" outlineLevel="0" collapsed="false">
      <c r="A48" s="24" t="e">
        <f aca="false">'Helper Sheet'!H52</f>
        <v>#NAME?</v>
      </c>
      <c r="B48" s="24" t="e">
        <f aca="false">'Helper Sheet'!I52</f>
        <v>#NAME?</v>
      </c>
      <c r="C48" s="25" t="e">
        <f aca="false">'Helper Sheet'!J52</f>
        <v>#NAME?</v>
      </c>
      <c r="D48" s="25" t="e">
        <f aca="false">'Helper Sheet'!K52</f>
        <v>#NAME?</v>
      </c>
      <c r="E48" s="26" t="e">
        <f aca="false">'Helper Sheet'!L52</f>
        <v>#NAME?</v>
      </c>
      <c r="F48" s="27" t="e">
        <f aca="false">'Helper Sheet'!M52</f>
        <v>#NAME?</v>
      </c>
      <c r="G48" s="22"/>
      <c r="H48" s="23"/>
      <c r="I48" s="23"/>
      <c r="J48" s="23"/>
      <c r="K48" s="23"/>
      <c r="L48" s="23"/>
      <c r="M48" s="23"/>
      <c r="N48" s="23"/>
    </row>
    <row r="49" customFormat="false" ht="15" hidden="false" customHeight="false" outlineLevel="0" collapsed="false">
      <c r="A49" s="24" t="e">
        <f aca="false">'Helper Sheet'!H53</f>
        <v>#NAME?</v>
      </c>
      <c r="B49" s="24" t="e">
        <f aca="false">'Helper Sheet'!I53</f>
        <v>#NAME?</v>
      </c>
      <c r="C49" s="25" t="e">
        <f aca="false">'Helper Sheet'!J53</f>
        <v>#NAME?</v>
      </c>
      <c r="D49" s="25" t="e">
        <f aca="false">'Helper Sheet'!K53</f>
        <v>#NAME?</v>
      </c>
      <c r="E49" s="26" t="e">
        <f aca="false">'Helper Sheet'!L53</f>
        <v>#NAME?</v>
      </c>
      <c r="F49" s="27" t="e">
        <f aca="false">'Helper Sheet'!M53</f>
        <v>#NAME?</v>
      </c>
      <c r="G49" s="22"/>
      <c r="H49" s="23"/>
      <c r="I49" s="23"/>
      <c r="J49" s="23"/>
      <c r="K49" s="23"/>
      <c r="L49" s="23"/>
      <c r="M49" s="23"/>
      <c r="N49" s="23"/>
    </row>
    <row r="50" customFormat="false" ht="15" hidden="false" customHeight="false" outlineLevel="0" collapsed="false">
      <c r="A50" s="24" t="e">
        <f aca="false">'Helper Sheet'!H54</f>
        <v>#NAME?</v>
      </c>
      <c r="B50" s="24" t="e">
        <f aca="false">'Helper Sheet'!I54</f>
        <v>#NAME?</v>
      </c>
      <c r="C50" s="25" t="e">
        <f aca="false">'Helper Sheet'!J54</f>
        <v>#NAME?</v>
      </c>
      <c r="D50" s="25" t="e">
        <f aca="false">'Helper Sheet'!K54</f>
        <v>#NAME?</v>
      </c>
      <c r="E50" s="26" t="e">
        <f aca="false">'Helper Sheet'!L54</f>
        <v>#NAME?</v>
      </c>
      <c r="F50" s="27" t="e">
        <f aca="false">'Helper Sheet'!M54</f>
        <v>#NAME?</v>
      </c>
      <c r="G50" s="22"/>
      <c r="H50" s="23"/>
      <c r="I50" s="23"/>
      <c r="J50" s="23"/>
      <c r="K50" s="23"/>
      <c r="L50" s="23"/>
      <c r="M50" s="23"/>
      <c r="N50" s="23"/>
    </row>
    <row r="51" customFormat="false" ht="15" hidden="false" customHeight="false" outlineLevel="0" collapsed="false">
      <c r="A51" s="28" t="e">
        <f aca="false">'Helper Sheet'!H55</f>
        <v>#NAME?</v>
      </c>
      <c r="B51" s="28" t="e">
        <f aca="false">'Helper Sheet'!I55</f>
        <v>#NAME?</v>
      </c>
      <c r="C51" s="29" t="e">
        <f aca="false">'Helper Sheet'!J55</f>
        <v>#NAME?</v>
      </c>
      <c r="D51" s="29" t="e">
        <f aca="false">'Helper Sheet'!K55</f>
        <v>#NAME?</v>
      </c>
      <c r="E51" s="30" t="e">
        <f aca="false">'Helper Sheet'!L55</f>
        <v>#NAME?</v>
      </c>
      <c r="F51" s="31" t="e">
        <f aca="false">'Helper Sheet'!M55</f>
        <v>#NAME?</v>
      </c>
      <c r="G51" s="22"/>
      <c r="H51" s="23"/>
      <c r="I51" s="23"/>
      <c r="J51" s="23"/>
      <c r="K51" s="23"/>
      <c r="L51" s="23"/>
      <c r="M51" s="23"/>
      <c r="N51" s="23"/>
    </row>
    <row r="52" customFormat="false" ht="15" hidden="false" customHeight="false" outlineLevel="0" collapsed="false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</row>
    <row r="53" customFormat="false" ht="15" hidden="false" customHeight="false" outlineLevel="0" collapsed="false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customFormat="false" ht="15" hidden="false" customHeight="false" outlineLevel="0" collapsed="false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</row>
    <row r="55" customFormat="false" ht="15" hidden="false" customHeight="false" outlineLevel="0" collapsed="false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</row>
    <row r="56" customFormat="false" ht="15" hidden="false" customHeight="false" outlineLevel="0" collapsed="false">
      <c r="A56" s="18" t="s">
        <v>34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customFormat="false" ht="15" hidden="false" customHeight="true" outlineLevel="0" collapsed="false">
      <c r="A57" s="32" t="s">
        <v>35</v>
      </c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</row>
    <row r="58" customFormat="false" ht="15" hidden="false" customHeight="false" outlineLevel="0" collapsed="false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</row>
    <row r="59" customFormat="false" ht="15" hidden="false" customHeight="false" outlineLevel="0" collapsed="false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</row>
    <row r="60" customFormat="false" ht="15" hidden="false" customHeight="false" outlineLevel="0" collapsed="false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</row>
  </sheetData>
  <mergeCells count="19">
    <mergeCell ref="A1:N1"/>
    <mergeCell ref="A2:N2"/>
    <mergeCell ref="J3:N3"/>
    <mergeCell ref="A5:C5"/>
    <mergeCell ref="D5:F5"/>
    <mergeCell ref="G5:I5"/>
    <mergeCell ref="J5:L5"/>
    <mergeCell ref="A6:C8"/>
    <mergeCell ref="D6:F8"/>
    <mergeCell ref="G6:I8"/>
    <mergeCell ref="J6:L8"/>
    <mergeCell ref="A10:G10"/>
    <mergeCell ref="H10:N10"/>
    <mergeCell ref="A27:G27"/>
    <mergeCell ref="H27:N27"/>
    <mergeCell ref="A44:N44"/>
    <mergeCell ref="H45:N51"/>
    <mergeCell ref="A56:N56"/>
    <mergeCell ref="A57:N59"/>
  </mergeCells>
  <dataValidations count="3">
    <dataValidation allowBlank="true" errorStyle="stop" operator="between" showDropDown="false" showErrorMessage="true" showInputMessage="true" sqref="B3" type="list">
      <formula1>"All,Bengaluru,Gurugram,Hyderabad,Noida"</formula1>
      <formula2>0</formula2>
    </dataValidation>
    <dataValidation allowBlank="true" errorStyle="stop" operator="between" showDropDown="false" showErrorMessage="true" showInputMessage="true" sqref="D3" type="list">
      <formula1>"All,Female,Male,Transgender"</formula1>
      <formula2>0</formula2>
    </dataValidation>
    <dataValidation allowBlank="true" errorStyle="stop" operator="between" showDropDown="false" showErrorMessage="true" showInputMessage="true" sqref="F3" type="list">
      <formula1>"All,Finance,HR,Operations,Sales,Tech"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" activeCellId="0" sqref="P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.29"/>
    <col collapsed="false" customWidth="true" hidden="false" outlineLevel="0" max="2" min="2" style="0" width="12.72"/>
    <col collapsed="false" customWidth="true" hidden="false" outlineLevel="0" max="3" min="3" style="0" width="12.29"/>
    <col collapsed="false" customWidth="true" hidden="false" outlineLevel="0" max="4" min="4" style="0" width="12.43"/>
    <col collapsed="false" customWidth="true" hidden="false" outlineLevel="0" max="5" min="5" style="0" width="16"/>
    <col collapsed="false" customWidth="true" hidden="false" outlineLevel="0" max="6" min="6" style="0" width="12.43"/>
    <col collapsed="false" customWidth="true" hidden="false" outlineLevel="0" max="8" min="8" style="0" width="11.29"/>
    <col collapsed="false" customWidth="true" hidden="false" outlineLevel="0" max="10" min="10" style="0" width="9.86"/>
    <col collapsed="false" customWidth="true" hidden="false" outlineLevel="0" max="11" min="11" style="0" width="12.43"/>
    <col collapsed="false" customWidth="true" hidden="false" outlineLevel="0" max="12" min="12" style="0" width="10.57"/>
    <col collapsed="false" customWidth="true" hidden="false" outlineLevel="0" max="13" min="13" style="0" width="11.43"/>
  </cols>
  <sheetData>
    <row r="1" customFormat="false" ht="15" hidden="false" customHeight="false" outlineLevel="0" collapsed="false">
      <c r="A1" s="0" t="s">
        <v>36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</row>
    <row r="2" customFormat="false" ht="15" hidden="false" customHeight="false" outlineLevel="0" collapsed="false">
      <c r="A2" s="0" t="s">
        <v>19</v>
      </c>
      <c r="B2" s="0" t="s">
        <v>19</v>
      </c>
      <c r="C2" s="0" t="s">
        <v>19</v>
      </c>
      <c r="D2" s="0" t="s">
        <v>42</v>
      </c>
      <c r="E2" s="0" t="s">
        <v>43</v>
      </c>
      <c r="F2" s="0" t="s">
        <v>44</v>
      </c>
    </row>
    <row r="3" customFormat="false" ht="15" hidden="false" customHeight="false" outlineLevel="0" collapsed="false">
      <c r="A3" s="0" t="s">
        <v>45</v>
      </c>
      <c r="B3" s="0" t="s">
        <v>46</v>
      </c>
      <c r="C3" s="0" t="s">
        <v>47</v>
      </c>
      <c r="D3" s="0" t="s">
        <v>48</v>
      </c>
      <c r="E3" s="0" t="s">
        <v>49</v>
      </c>
      <c r="F3" s="0" t="s">
        <v>50</v>
      </c>
    </row>
    <row r="4" customFormat="false" ht="15" hidden="false" customHeight="false" outlineLevel="0" collapsed="false">
      <c r="A4" s="0" t="s">
        <v>51</v>
      </c>
      <c r="B4" s="0" t="s">
        <v>52</v>
      </c>
      <c r="C4" s="0" t="s">
        <v>53</v>
      </c>
      <c r="D4" s="0" t="s">
        <v>54</v>
      </c>
      <c r="E4" s="0" t="s">
        <v>55</v>
      </c>
      <c r="F4" s="0" t="s">
        <v>56</v>
      </c>
    </row>
    <row r="5" customFormat="false" ht="15" hidden="false" customHeight="false" outlineLevel="0" collapsed="false">
      <c r="A5" s="0" t="s">
        <v>57</v>
      </c>
      <c r="B5" s="0" t="s">
        <v>58</v>
      </c>
      <c r="C5" s="0" t="s">
        <v>59</v>
      </c>
      <c r="F5" s="0" t="s">
        <v>60</v>
      </c>
    </row>
    <row r="6" customFormat="false" ht="15" hidden="false" customHeight="false" outlineLevel="0" collapsed="false">
      <c r="A6" s="0" t="s">
        <v>61</v>
      </c>
      <c r="C6" s="0" t="s">
        <v>62</v>
      </c>
    </row>
    <row r="7" customFormat="false" ht="15" hidden="false" customHeight="false" outlineLevel="0" collapsed="false">
      <c r="C7" s="0" t="s">
        <v>63</v>
      </c>
    </row>
    <row r="11" customFormat="false" ht="15" hidden="false" customHeight="false" outlineLevel="0" collapsed="false">
      <c r="A11" s="0" t="s">
        <v>21</v>
      </c>
      <c r="B11" s="0" t="s">
        <v>45</v>
      </c>
      <c r="C11" s="0" t="s">
        <v>51</v>
      </c>
      <c r="D11" s="0" t="s">
        <v>57</v>
      </c>
      <c r="E11" s="0" t="s">
        <v>61</v>
      </c>
    </row>
    <row r="12" customFormat="false" ht="15" hidden="false" customHeight="false" outlineLevel="0" collapsed="false">
      <c r="A12" s="0" t="s">
        <v>47</v>
      </c>
      <c r="B12" s="0" t="n">
        <f aca="false">IF(OR('Rewards Dashboard'!$B$3="All",'Rewards Dashboard'!$B$3=B$11),IF(OR('Rewards Dashboard'!$F$3="All",'Rewards Dashboard'!$F$3=$A12),IFERROR(AVERAGEIFS('Employee Data'!$I$2:$I$493,'Employee Data'!$D$2:$D$493,$A12,'Employee Data'!$E$2:$E$493,B$11,'Employee Data'!$C$2:$C$493,IF('Rewards Dashboard'!$D$3="All","*",'Rewards Dashboard'!$D$3)),NA()),NA()),NA())</f>
        <v>4927.27272727273</v>
      </c>
      <c r="C12" s="0" t="n">
        <f aca="false">IF(OR('Rewards Dashboard'!$B$3="All",'Rewards Dashboard'!$B$3=C$11),IF(OR('Rewards Dashboard'!$F$3="All",'Rewards Dashboard'!$F$3=$A12),IFERROR(AVERAGEIFS('Employee Data'!$I$2:$I$493,'Employee Data'!$D$2:$D$493,$A12,'Employee Data'!$E$2:$E$493,C$11,'Employee Data'!$C$2:$C$493,IF('Rewards Dashboard'!$D$3="All","*",'Rewards Dashboard'!$D$3)),NA()),NA()),NA())</f>
        <v>5190.90909090909</v>
      </c>
      <c r="D12" s="0" t="n">
        <f aca="false">IF(OR('Rewards Dashboard'!$B$3="All",'Rewards Dashboard'!$B$3=D$11),IF(OR('Rewards Dashboard'!$F$3="All",'Rewards Dashboard'!$F$3=$A12),IFERROR(AVERAGEIFS('Employee Data'!$I$2:$I$493,'Employee Data'!$D$2:$D$493,$A12,'Employee Data'!$E$2:$E$493,D$11,'Employee Data'!$C$2:$C$493,IF('Rewards Dashboard'!$D$3="All","*",'Rewards Dashboard'!$D$3)),NA()),NA()),NA())</f>
        <v>5944.8275862069</v>
      </c>
      <c r="E12" s="0" t="n">
        <f aca="false">IF(OR('Rewards Dashboard'!$B$3="All",'Rewards Dashboard'!$B$3=E$11),IF(OR('Rewards Dashboard'!$F$3="All",'Rewards Dashboard'!$F$3=$A12),IFERROR(AVERAGEIFS('Employee Data'!$I$2:$I$493,'Employee Data'!$D$2:$D$493,$A12,'Employee Data'!$E$2:$E$493,E$11,'Employee Data'!$C$2:$C$493,IF('Rewards Dashboard'!$D$3="All","*",'Rewards Dashboard'!$D$3)),NA()),NA()),NA())</f>
        <v>5785.41666666667</v>
      </c>
    </row>
    <row r="13" customFormat="false" ht="15" hidden="false" customHeight="false" outlineLevel="0" collapsed="false">
      <c r="A13" s="0" t="s">
        <v>53</v>
      </c>
      <c r="B13" s="0" t="n">
        <f aca="false">IF(OR('Rewards Dashboard'!$B$3="All",'Rewards Dashboard'!$B$3=B$11),IF(OR('Rewards Dashboard'!$F$3="All",'Rewards Dashboard'!$F$3=$A13),IFERROR(AVERAGEIFS('Employee Data'!$I$2:$I$493,'Employee Data'!$D$2:$D$493,$A13,'Employee Data'!$E$2:$E$493,B$11,'Employee Data'!$C$2:$C$493,IF('Rewards Dashboard'!$D$3="All","*",'Rewards Dashboard'!$D$3)),NA()),NA()),NA())</f>
        <v>5489.47368421053</v>
      </c>
      <c r="C13" s="0" t="n">
        <f aca="false">IF(OR('Rewards Dashboard'!$B$3="All",'Rewards Dashboard'!$B$3=C$11),IF(OR('Rewards Dashboard'!$F$3="All",'Rewards Dashboard'!$F$3=$A13),IFERROR(AVERAGEIFS('Employee Data'!$I$2:$I$493,'Employee Data'!$D$2:$D$493,$A13,'Employee Data'!$E$2:$E$493,C$11,'Employee Data'!$C$2:$C$493,IF('Rewards Dashboard'!$D$3="All","*",'Rewards Dashboard'!$D$3)),NA()),NA()),NA())</f>
        <v>5064.28571428572</v>
      </c>
      <c r="D13" s="0" t="n">
        <f aca="false">IF(OR('Rewards Dashboard'!$B$3="All",'Rewards Dashboard'!$B$3=D$11),IF(OR('Rewards Dashboard'!$F$3="All",'Rewards Dashboard'!$F$3=$A13),IFERROR(AVERAGEIFS('Employee Data'!$I$2:$I$493,'Employee Data'!$D$2:$D$493,$A13,'Employee Data'!$E$2:$E$493,D$11,'Employee Data'!$C$2:$C$493,IF('Rewards Dashboard'!$D$3="All","*",'Rewards Dashboard'!$D$3)),NA()),NA()),NA())</f>
        <v>4819.23076923077</v>
      </c>
      <c r="E13" s="0" t="n">
        <f aca="false">IF(OR('Rewards Dashboard'!$B$3="All",'Rewards Dashboard'!$B$3=E$11),IF(OR('Rewards Dashboard'!$F$3="All",'Rewards Dashboard'!$F$3=$A13),IFERROR(AVERAGEIFS('Employee Data'!$I$2:$I$493,'Employee Data'!$D$2:$D$493,$A13,'Employee Data'!$E$2:$E$493,E$11,'Employee Data'!$C$2:$C$493,IF('Rewards Dashboard'!$D$3="All","*",'Rewards Dashboard'!$D$3)),NA()),NA()),NA())</f>
        <v>4577.27272727273</v>
      </c>
    </row>
    <row r="14" customFormat="false" ht="15" hidden="false" customHeight="false" outlineLevel="0" collapsed="false">
      <c r="A14" s="0" t="s">
        <v>59</v>
      </c>
      <c r="B14" s="0" t="n">
        <f aca="false">IF(OR('Rewards Dashboard'!$B$3="All",'Rewards Dashboard'!$B$3=B$11),IF(OR('Rewards Dashboard'!$F$3="All",'Rewards Dashboard'!$F$3=$A14),IFERROR(AVERAGEIFS('Employee Data'!$I$2:$I$493,'Employee Data'!$D$2:$D$493,$A14,'Employee Data'!$E$2:$E$493,B$11,'Employee Data'!$C$2:$C$493,IF('Rewards Dashboard'!$D$3="All","*",'Rewards Dashboard'!$D$3)),NA()),NA()),NA())</f>
        <v>4192.1052631579</v>
      </c>
      <c r="C14" s="0" t="n">
        <f aca="false">IF(OR('Rewards Dashboard'!$B$3="All",'Rewards Dashboard'!$B$3=C$11),IF(OR('Rewards Dashboard'!$F$3="All",'Rewards Dashboard'!$F$3=$A14),IFERROR(AVERAGEIFS('Employee Data'!$I$2:$I$493,'Employee Data'!$D$2:$D$493,$A14,'Employee Data'!$E$2:$E$493,C$11,'Employee Data'!$C$2:$C$493,IF('Rewards Dashboard'!$D$3="All","*",'Rewards Dashboard'!$D$3)),NA()),NA()),NA())</f>
        <v>5490.74074074074</v>
      </c>
      <c r="D14" s="0" t="n">
        <f aca="false">IF(OR('Rewards Dashboard'!$B$3="All",'Rewards Dashboard'!$B$3=D$11),IF(OR('Rewards Dashboard'!$F$3="All",'Rewards Dashboard'!$F$3=$A14),IFERROR(AVERAGEIFS('Employee Data'!$I$2:$I$493,'Employee Data'!$D$2:$D$493,$A14,'Employee Data'!$E$2:$E$493,D$11,'Employee Data'!$C$2:$C$493,IF('Rewards Dashboard'!$D$3="All","*",'Rewards Dashboard'!$D$3)),NA()),NA()),NA())</f>
        <v>5475</v>
      </c>
      <c r="E14" s="0" t="n">
        <f aca="false">IF(OR('Rewards Dashboard'!$B$3="All",'Rewards Dashboard'!$B$3=E$11),IF(OR('Rewards Dashboard'!$F$3="All",'Rewards Dashboard'!$F$3=$A14),IFERROR(AVERAGEIFS('Employee Data'!$I$2:$I$493,'Employee Data'!$D$2:$D$493,$A14,'Employee Data'!$E$2:$E$493,E$11,'Employee Data'!$C$2:$C$493,IF('Rewards Dashboard'!$D$3="All","*",'Rewards Dashboard'!$D$3)),NA()),NA()),NA())</f>
        <v>5140</v>
      </c>
    </row>
    <row r="15" customFormat="false" ht="15" hidden="false" customHeight="false" outlineLevel="0" collapsed="false">
      <c r="A15" s="0" t="s">
        <v>62</v>
      </c>
      <c r="B15" s="0" t="n">
        <f aca="false">IF(OR('Rewards Dashboard'!$B$3="All",'Rewards Dashboard'!$B$3=B$11),IF(OR('Rewards Dashboard'!$F$3="All",'Rewards Dashboard'!$F$3=$A15),IFERROR(AVERAGEIFS('Employee Data'!$I$2:$I$493,'Employee Data'!$D$2:$D$493,$A15,'Employee Data'!$E$2:$E$493,B$11,'Employee Data'!$C$2:$C$493,IF('Rewards Dashboard'!$D$3="All","*",'Rewards Dashboard'!$D$3)),NA()),NA()),NA())</f>
        <v>5430</v>
      </c>
      <c r="C15" s="0" t="n">
        <f aca="false">IF(OR('Rewards Dashboard'!$B$3="All",'Rewards Dashboard'!$B$3=C$11),IF(OR('Rewards Dashboard'!$F$3="All",'Rewards Dashboard'!$F$3=$A15),IFERROR(AVERAGEIFS('Employee Data'!$I$2:$I$493,'Employee Data'!$D$2:$D$493,$A15,'Employee Data'!$E$2:$E$493,C$11,'Employee Data'!$C$2:$C$493,IF('Rewards Dashboard'!$D$3="All","*",'Rewards Dashboard'!$D$3)),NA()),NA()),NA())</f>
        <v>6062</v>
      </c>
      <c r="D15" s="0" t="n">
        <f aca="false">IF(OR('Rewards Dashboard'!$B$3="All",'Rewards Dashboard'!$B$3=D$11),IF(OR('Rewards Dashboard'!$F$3="All",'Rewards Dashboard'!$F$3=$A15),IFERROR(AVERAGEIFS('Employee Data'!$I$2:$I$493,'Employee Data'!$D$2:$D$493,$A15,'Employee Data'!$E$2:$E$493,D$11,'Employee Data'!$C$2:$C$493,IF('Rewards Dashboard'!$D$3="All","*",'Rewards Dashboard'!$D$3)),NA()),NA()),NA())</f>
        <v>5268.57142857143</v>
      </c>
      <c r="E15" s="0" t="n">
        <f aca="false">IF(OR('Rewards Dashboard'!$B$3="All",'Rewards Dashboard'!$B$3=E$11),IF(OR('Rewards Dashboard'!$F$3="All",'Rewards Dashboard'!$F$3=$A15),IFERROR(AVERAGEIFS('Employee Data'!$I$2:$I$493,'Employee Data'!$D$2:$D$493,$A15,'Employee Data'!$E$2:$E$493,E$11,'Employee Data'!$C$2:$C$493,IF('Rewards Dashboard'!$D$3="All","*",'Rewards Dashboard'!$D$3)),NA()),NA()),NA())</f>
        <v>5293.75</v>
      </c>
    </row>
    <row r="16" customFormat="false" ht="15" hidden="false" customHeight="false" outlineLevel="0" collapsed="false">
      <c r="A16" s="0" t="s">
        <v>63</v>
      </c>
      <c r="B16" s="0" t="n">
        <f aca="false">IF(OR('Rewards Dashboard'!$B$3="All",'Rewards Dashboard'!$B$3=B$11),IF(OR('Rewards Dashboard'!$F$3="All",'Rewards Dashboard'!$F$3=$A16),IFERROR(AVERAGEIFS('Employee Data'!$I$2:$I$493,'Employee Data'!$D$2:$D$493,$A16,'Employee Data'!$E$2:$E$493,B$11,'Employee Data'!$C$2:$C$493,IF('Rewards Dashboard'!$D$3="All","*",'Rewards Dashboard'!$D$3)),NA()),NA()),NA())</f>
        <v>5174</v>
      </c>
      <c r="C16" s="0" t="n">
        <f aca="false">IF(OR('Rewards Dashboard'!$B$3="All",'Rewards Dashboard'!$B$3=C$11),IF(OR('Rewards Dashboard'!$F$3="All",'Rewards Dashboard'!$F$3=$A16),IFERROR(AVERAGEIFS('Employee Data'!$I$2:$I$493,'Employee Data'!$D$2:$D$493,$A16,'Employee Data'!$E$2:$E$493,C$11,'Employee Data'!$C$2:$C$493,IF('Rewards Dashboard'!$D$3="All","*",'Rewards Dashboard'!$D$3)),NA()),NA()),NA())</f>
        <v>5066</v>
      </c>
      <c r="D16" s="0" t="n">
        <f aca="false">IF(OR('Rewards Dashboard'!$B$3="All",'Rewards Dashboard'!$B$3=D$11),IF(OR('Rewards Dashboard'!$F$3="All",'Rewards Dashboard'!$F$3=$A16),IFERROR(AVERAGEIFS('Employee Data'!$I$2:$I$493,'Employee Data'!$D$2:$D$493,$A16,'Employee Data'!$E$2:$E$493,D$11,'Employee Data'!$C$2:$C$493,IF('Rewards Dashboard'!$D$3="All","*",'Rewards Dashboard'!$D$3)),NA()),NA()),NA())</f>
        <v>4591.66666666667</v>
      </c>
      <c r="E16" s="0" t="n">
        <f aca="false">IF(OR('Rewards Dashboard'!$B$3="All",'Rewards Dashboard'!$B$3=E$11),IF(OR('Rewards Dashboard'!$F$3="All",'Rewards Dashboard'!$F$3=$A16),IFERROR(AVERAGEIFS('Employee Data'!$I$2:$I$493,'Employee Data'!$D$2:$D$493,$A16,'Employee Data'!$E$2:$E$493,E$11,'Employee Data'!$C$2:$C$493,IF('Rewards Dashboard'!$D$3="All","*",'Rewards Dashboard'!$D$3)),NA()),NA()),NA())</f>
        <v>5511.11111111111</v>
      </c>
    </row>
    <row r="21" customFormat="false" ht="15" hidden="false" customHeight="false" outlineLevel="0" collapsed="false">
      <c r="A21" s="0" t="s">
        <v>64</v>
      </c>
      <c r="B21" s="0" t="s">
        <v>23</v>
      </c>
    </row>
    <row r="22" customFormat="false" ht="15" hidden="false" customHeight="false" outlineLevel="0" collapsed="false">
      <c r="A22" s="0" t="s">
        <v>42</v>
      </c>
      <c r="B22" s="0" t="n">
        <f aca="false" t="array" ref="B22:B22">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Data'!$H$2:$H$493=A22))</f>
        <v>59</v>
      </c>
    </row>
    <row r="23" customFormat="false" ht="15" hidden="false" customHeight="false" outlineLevel="0" collapsed="false">
      <c r="A23" s="0" t="s">
        <v>48</v>
      </c>
      <c r="B23" s="0" t="n">
        <f aca="false" t="array" ref="B23:B23">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Data'!$H$2:$H$493=A23))</f>
        <v>217</v>
      </c>
    </row>
    <row r="24" customFormat="false" ht="15" hidden="false" customHeight="false" outlineLevel="0" collapsed="false">
      <c r="A24" s="0" t="s">
        <v>54</v>
      </c>
      <c r="B24" s="0" t="n">
        <f aca="false" t="array" ref="B24:B24">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Data'!$H$2:$H$493=A24))</f>
        <v>216</v>
      </c>
    </row>
    <row r="29" customFormat="false" ht="15" hidden="false" customHeight="false" outlineLevel="0" collapsed="false">
      <c r="A29" s="0" t="s">
        <v>21</v>
      </c>
      <c r="B29" s="0" t="s">
        <v>23</v>
      </c>
    </row>
    <row r="30" customFormat="false" ht="15" hidden="false" customHeight="false" outlineLevel="0" collapsed="false">
      <c r="A30" s="0" t="s">
        <v>47</v>
      </c>
      <c r="B30" s="0" t="n">
        <f aca="false" t="array" ref="B30:B30">IF(OR('Rewards Dashboard'!$F$3="All",'Rewards Dashboard'!$F$3=A30),SUMPRODUCT(--('Employee Data'!$A$2:$A$493&lt;&gt;""),--(('Rewards Dashboard'!$B$3="All")+('Employee Data'!$E$2:$E$493='Rewards Dashboard'!$B$3)&gt;0),--(('Rewards Dashboard'!$D$3="All")+('Employee Data'!$C$2:$C$493='Rewards Dashboard'!$D$3)&gt;0),--('Employee Data'!$D$2:$D$493=A30)),NA())</f>
        <v>97</v>
      </c>
    </row>
    <row r="31" customFormat="false" ht="15" hidden="false" customHeight="false" outlineLevel="0" collapsed="false">
      <c r="A31" s="0" t="s">
        <v>53</v>
      </c>
      <c r="B31" s="0" t="n">
        <f aca="false" t="array" ref="B31:B31">IF(OR('Rewards Dashboard'!$F$3="All",'Rewards Dashboard'!$F$3=A31),SUMPRODUCT(--('Employee Data'!$A$2:$A$493&lt;&gt;""),--(('Rewards Dashboard'!$B$3="All")+('Employee Data'!$E$2:$E$493='Rewards Dashboard'!$B$3)&gt;0),--(('Rewards Dashboard'!$D$3="All")+('Employee Data'!$C$2:$C$493='Rewards Dashboard'!$D$3)&gt;0),--('Employee Data'!$D$2:$D$493=A31)),NA())</f>
        <v>88</v>
      </c>
    </row>
    <row r="32" customFormat="false" ht="15" hidden="false" customHeight="false" outlineLevel="0" collapsed="false">
      <c r="A32" s="0" t="s">
        <v>59</v>
      </c>
      <c r="B32" s="0" t="n">
        <f aca="false" t="array" ref="B32:B32">IF(OR('Rewards Dashboard'!$F$3="All",'Rewards Dashboard'!$F$3=A32),SUMPRODUCT(--('Employee Data'!$A$2:$A$493&lt;&gt;""),--(('Rewards Dashboard'!$B$3="All")+('Employee Data'!$E$2:$E$493='Rewards Dashboard'!$B$3)&gt;0),--(('Rewards Dashboard'!$D$3="All")+('Employee Data'!$C$2:$C$493='Rewards Dashboard'!$D$3)&gt;0),--('Employee Data'!$D$2:$D$493=A32)),NA())</f>
        <v>97</v>
      </c>
    </row>
    <row r="33" customFormat="false" ht="15" hidden="false" customHeight="false" outlineLevel="0" collapsed="false">
      <c r="A33" s="0" t="s">
        <v>62</v>
      </c>
      <c r="B33" s="0" t="n">
        <f aca="false" t="array" ref="B33:B33">IF(OR('Rewards Dashboard'!$F$3="All",'Rewards Dashboard'!$F$3=A33),SUMPRODUCT(--('Employee Data'!$A$2:$A$493&lt;&gt;""),--(('Rewards Dashboard'!$B$3="All")+('Employee Data'!$E$2:$E$493='Rewards Dashboard'!$B$3)&gt;0),--(('Rewards Dashboard'!$D$3="All")+('Employee Data'!$C$2:$C$493='Rewards Dashboard'!$D$3)&gt;0),--('Employee Data'!$D$2:$D$493=A33)),NA())</f>
        <v>109</v>
      </c>
    </row>
    <row r="34" customFormat="false" ht="15" hidden="false" customHeight="false" outlineLevel="0" collapsed="false">
      <c r="A34" s="0" t="s">
        <v>63</v>
      </c>
      <c r="B34" s="0" t="n">
        <f aca="false" t="array" ref="B34:B34">IF(OR('Rewards Dashboard'!$F$3="All",'Rewards Dashboard'!$F$3=A34),SUMPRODUCT(--('Employee Data'!$A$2:$A$493&lt;&gt;""),--(('Rewards Dashboard'!$B$3="All")+('Employee Data'!$E$2:$E$493='Rewards Dashboard'!$B$3)&gt;0),--(('Rewards Dashboard'!$D$3="All")+('Employee Data'!$C$2:$C$493='Rewards Dashboard'!$D$3)&gt;0),--('Employee Data'!$D$2:$D$493=A34)),NA())</f>
        <v>101</v>
      </c>
    </row>
    <row r="39" customFormat="false" ht="15" hidden="false" customHeight="false" outlineLevel="0" collapsed="false">
      <c r="A39" s="0" t="s">
        <v>65</v>
      </c>
      <c r="B39" s="0" t="s">
        <v>66</v>
      </c>
    </row>
    <row r="40" customFormat="false" ht="15" hidden="false" customHeight="false" outlineLevel="0" collapsed="false">
      <c r="A40" s="0" t="e">
        <f aca="false">#REF!</f>
        <v>#REF!</v>
      </c>
      <c r="B40" s="0" t="e">
        <f aca="false">#REF!</f>
        <v>#REF!</v>
      </c>
    </row>
    <row r="41" customFormat="false" ht="15" hidden="false" customHeight="false" outlineLevel="0" collapsed="false">
      <c r="A41" s="0" t="e">
        <f aca="false">#REF!</f>
        <v>#REF!</v>
      </c>
      <c r="B41" s="0" t="e">
        <f aca="false">#REF!</f>
        <v>#REF!</v>
      </c>
    </row>
    <row r="42" customFormat="false" ht="15" hidden="false" customHeight="false" outlineLevel="0" collapsed="false">
      <c r="A42" s="0" t="e">
        <f aca="false">#REF!</f>
        <v>#REF!</v>
      </c>
      <c r="B42" s="0" t="e">
        <f aca="false">#REF!</f>
        <v>#REF!</v>
      </c>
    </row>
    <row r="43" customFormat="false" ht="15" hidden="false" customHeight="false" outlineLevel="0" collapsed="false">
      <c r="A43" s="0" t="e">
        <f aca="false">#REF!</f>
        <v>#REF!</v>
      </c>
      <c r="B43" s="0" t="e">
        <f aca="false">#REF!</f>
        <v>#REF!</v>
      </c>
    </row>
    <row r="49" customFormat="false" ht="15" hidden="false" customHeight="false" outlineLevel="0" collapsed="false">
      <c r="A49" s="0" t="s">
        <v>21</v>
      </c>
      <c r="B49" s="0" t="s">
        <v>18</v>
      </c>
      <c r="C49" s="0" t="s">
        <v>24</v>
      </c>
      <c r="D49" s="0" t="s">
        <v>32</v>
      </c>
      <c r="E49" s="0" t="s">
        <v>23</v>
      </c>
      <c r="F49" s="0" t="s">
        <v>26</v>
      </c>
      <c r="H49" s="0" t="s">
        <v>21</v>
      </c>
      <c r="I49" s="0" t="s">
        <v>18</v>
      </c>
      <c r="J49" s="0" t="s">
        <v>24</v>
      </c>
      <c r="K49" s="0" t="s">
        <v>32</v>
      </c>
      <c r="L49" s="0" t="s">
        <v>23</v>
      </c>
      <c r="M49" s="0" t="s">
        <v>26</v>
      </c>
    </row>
    <row r="50" customFormat="false" ht="15" hidden="false" customHeight="false" outlineLevel="0" collapsed="false">
      <c r="A50" s="0" t="s">
        <v>47</v>
      </c>
      <c r="B50" s="0" t="s">
        <v>45</v>
      </c>
      <c r="C50" s="0" t="n">
        <f aca="false" t="array" ref="C50:C50">IFERROR(SUMPRODUCT('Employee Data'!$F$2:$F$493,--('Employee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Data'!$D$2:$D$493=A50),--('Employee Data'!$E$2:$E$493=B50))/SUMPRODUCT(--('Employee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Data'!$D$2:$D$493=A50),--('Employee Data'!$E$2:$E$493=B50)),0)</f>
        <v>121773.863636364</v>
      </c>
      <c r="D50" s="0" t="n">
        <f aca="false" t="array" ref="D50:D50">IFERROR(SUMPRODUCT('Employee Data'!$I$2:$I$493,--('Employee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Data'!$D$2:$D$493=A50),--('Employee Data'!$E$2:$E$493=B50))/SUMPRODUCT(--('Employee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Data'!$D$2:$D$493=A50),--('Employee Data'!$E$2:$E$493=B50)),0)</f>
        <v>4927.27272727273</v>
      </c>
      <c r="E50" s="0" t="n">
        <f aca="false" t="array" ref="E50:E50">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Data'!$D$2:$D$493=A50),--('Employee Data'!$E$2:$E$493=B50))</f>
        <v>22</v>
      </c>
      <c r="F50" s="0" t="n">
        <f aca="false" t="array" ref="F50:F50">IFERROR(SUMPRODUCT(--('Employee Data'!$I$2:$I$493&gt;7000),--('Employee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Data'!$D$2:$D$493=A50),--('Employee Data'!$E$2:$E$493=B50))/E50,0)</f>
        <v>0.181818181818182</v>
      </c>
      <c r="H50" s="0" t="e">
        <f aca="false" t="array" ref="H50:M55">_xlfn.take(_xlfn.sortby(_xlfn._xlws.filter($A$50:$F$69,$E$50:$E$69&gt;0),_xlfn._xlws.filter($F$50:$F$69,$E$50:$E$69&gt;0),-1,_xlfn._xlws.filter($D$50:$D$69,$E$50:$E$69&gt;0),-1),6)</f>
        <v>#NAME?</v>
      </c>
      <c r="I50" s="0" t="e">
        <v>#NAME?</v>
      </c>
      <c r="J50" s="0" t="e">
        <v>#NAME?</v>
      </c>
      <c r="K50" s="0" t="e">
        <v>#NAME?</v>
      </c>
      <c r="L50" s="0" t="e">
        <v>#NAME?</v>
      </c>
      <c r="M50" s="0" t="e">
        <v>#NAME?</v>
      </c>
    </row>
    <row r="51" customFormat="false" ht="15" hidden="false" customHeight="false" outlineLevel="0" collapsed="false">
      <c r="A51" s="0" t="s">
        <v>53</v>
      </c>
      <c r="B51" s="0" t="s">
        <v>45</v>
      </c>
      <c r="C51" s="0" t="n">
        <f aca="false" t="array" ref="C51:C51">IFERROR(SUMPRODUCT('Employee Data'!$F$2:$F$493,--('Employee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Data'!$D$2:$D$493=A51),--('Employee Data'!$E$2:$E$493=B51))/SUMPRODUCT(--('Employee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Data'!$D$2:$D$493=A51),--('Employee Data'!$E$2:$E$493=B51)),0)</f>
        <v>137245.473684211</v>
      </c>
      <c r="D51" s="0" t="n">
        <f aca="false" t="array" ref="D51:D51">IFERROR(SUMPRODUCT('Employee Data'!$I$2:$I$493,--('Employee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Data'!$D$2:$D$493=A51),--('Employee Data'!$E$2:$E$493=B51))/SUMPRODUCT(--('Employee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Data'!$D$2:$D$493=A51),--('Employee Data'!$E$2:$E$493=B51)),0)</f>
        <v>5489.47368421053</v>
      </c>
      <c r="E51" s="0" t="n">
        <f aca="false" t="array" ref="E51:E51">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Data'!$D$2:$D$493=A51),--('Employee Data'!$E$2:$E$493=B51))</f>
        <v>19</v>
      </c>
      <c r="F51" s="0" t="n">
        <f aca="false" t="array" ref="F51:F51">IFERROR(SUMPRODUCT(--('Employee Data'!$I$2:$I$493&gt;7000),--('Employee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Data'!$D$2:$D$493=A51),--('Employee Data'!$E$2:$E$493=B51))/E51,0)</f>
        <v>0.263157894736842</v>
      </c>
      <c r="H51" s="0" t="e">
        <v>#NAME?</v>
      </c>
      <c r="I51" s="0" t="e">
        <v>#NAME?</v>
      </c>
      <c r="J51" s="0" t="e">
        <v>#NAME?</v>
      </c>
      <c r="K51" s="0" t="e">
        <v>#NAME?</v>
      </c>
      <c r="L51" s="0" t="e">
        <v>#NAME?</v>
      </c>
      <c r="M51" s="0" t="e">
        <v>#NAME?</v>
      </c>
    </row>
    <row r="52" customFormat="false" ht="15" hidden="false" customHeight="false" outlineLevel="0" collapsed="false">
      <c r="A52" s="0" t="s">
        <v>59</v>
      </c>
      <c r="B52" s="0" t="s">
        <v>45</v>
      </c>
      <c r="C52" s="0" t="n">
        <f aca="false" t="array" ref="C52:C52">IFERROR(SUMPRODUCT('Employee Data'!$F$2:$F$493,--('Employee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Data'!$D$2:$D$493=A52),--('Employee Data'!$E$2:$E$493=B52))/SUMPRODUCT(--('Employee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Data'!$D$2:$D$493=A52),--('Employee Data'!$E$2:$E$493=B52)),0)</f>
        <v>148077.736842105</v>
      </c>
      <c r="D52" s="0" t="n">
        <f aca="false" t="array" ref="D52:D52">IFERROR(SUMPRODUCT('Employee Data'!$I$2:$I$493,--('Employee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Data'!$D$2:$D$493=A52),--('Employee Data'!$E$2:$E$493=B52))/SUMPRODUCT(--('Employee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Data'!$D$2:$D$493=A52),--('Employee Data'!$E$2:$E$493=B52)),0)</f>
        <v>4192.1052631579</v>
      </c>
      <c r="E52" s="0" t="n">
        <f aca="false" t="array" ref="E52:E52">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Data'!$D$2:$D$493=A52),--('Employee Data'!$E$2:$E$493=B52))</f>
        <v>19</v>
      </c>
      <c r="F52" s="0" t="n">
        <f aca="false" t="array" ref="F52:F52">IFERROR(SUMPRODUCT(--('Employee Data'!$I$2:$I$493&gt;7000),--('Employee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Data'!$D$2:$D$493=A52),--('Employee Data'!$E$2:$E$493=B52))/E52,0)</f>
        <v>0.210526315789474</v>
      </c>
      <c r="H52" s="0" t="e">
        <v>#NAME?</v>
      </c>
      <c r="I52" s="0" t="e">
        <v>#NAME?</v>
      </c>
      <c r="J52" s="0" t="e">
        <v>#NAME?</v>
      </c>
      <c r="K52" s="0" t="e">
        <v>#NAME?</v>
      </c>
      <c r="L52" s="0" t="e">
        <v>#NAME?</v>
      </c>
      <c r="M52" s="0" t="e">
        <v>#NAME?</v>
      </c>
    </row>
    <row r="53" customFormat="false" ht="15" hidden="false" customHeight="false" outlineLevel="0" collapsed="false">
      <c r="A53" s="0" t="s">
        <v>62</v>
      </c>
      <c r="B53" s="0" t="s">
        <v>45</v>
      </c>
      <c r="C53" s="0" t="n">
        <f aca="false" t="array" ref="C53:C53">IFERROR(SUMPRODUCT('Employee Data'!$F$2:$F$493,--('Employee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Data'!$D$2:$D$493=A53),--('Employee Data'!$E$2:$E$493=B53))/SUMPRODUCT(--('Employee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Data'!$D$2:$D$493=A53),--('Employee Data'!$E$2:$E$493=B53)),0)</f>
        <v>125504.2</v>
      </c>
      <c r="D53" s="0" t="n">
        <f aca="false" t="array" ref="D53:D53">IFERROR(SUMPRODUCT('Employee Data'!$I$2:$I$493,--('Employee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Data'!$D$2:$D$493=A53),--('Employee Data'!$E$2:$E$493=B53))/SUMPRODUCT(--('Employee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Data'!$D$2:$D$493=A53),--('Employee Data'!$E$2:$E$493=B53)),0)</f>
        <v>5430</v>
      </c>
      <c r="E53" s="0" t="n">
        <f aca="false" t="array" ref="E53:E53">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Data'!$D$2:$D$493=A53),--('Employee Data'!$E$2:$E$493=B53))</f>
        <v>25</v>
      </c>
      <c r="F53" s="0" t="n">
        <f aca="false" t="array" ref="F53:F53">IFERROR(SUMPRODUCT(--('Employee Data'!$I$2:$I$493&gt;7000),--('Employee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Data'!$D$2:$D$493=A53),--('Employee Data'!$E$2:$E$493=B53))/E53,0)</f>
        <v>0.2</v>
      </c>
      <c r="H53" s="0" t="e">
        <v>#NAME?</v>
      </c>
      <c r="I53" s="0" t="e">
        <v>#NAME?</v>
      </c>
      <c r="J53" s="0" t="e">
        <v>#NAME?</v>
      </c>
      <c r="K53" s="0" t="e">
        <v>#NAME?</v>
      </c>
      <c r="L53" s="0" t="e">
        <v>#NAME?</v>
      </c>
      <c r="M53" s="0" t="e">
        <v>#NAME?</v>
      </c>
    </row>
    <row r="54" customFormat="false" ht="15" hidden="false" customHeight="false" outlineLevel="0" collapsed="false">
      <c r="A54" s="0" t="s">
        <v>63</v>
      </c>
      <c r="B54" s="0" t="s">
        <v>45</v>
      </c>
      <c r="C54" s="0" t="n">
        <f aca="false" t="array" ref="C54:C54">IFERROR(SUMPRODUCT('Employee Data'!$F$2:$F$493,--('Employee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Data'!$D$2:$D$493=A54),--('Employee Data'!$E$2:$E$493=B54))/SUMPRODUCT(--('Employee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Data'!$D$2:$D$493=A54),--('Employee Data'!$E$2:$E$493=B54)),0)</f>
        <v>128991.12</v>
      </c>
      <c r="D54" s="0" t="n">
        <f aca="false" t="array" ref="D54:D54">IFERROR(SUMPRODUCT('Employee Data'!$I$2:$I$493,--('Employee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Data'!$D$2:$D$493=A54),--('Employee Data'!$E$2:$E$493=B54))/SUMPRODUCT(--('Employee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Data'!$D$2:$D$493=A54),--('Employee Data'!$E$2:$E$493=B54)),0)</f>
        <v>5174</v>
      </c>
      <c r="E54" s="0" t="n">
        <f aca="false" t="array" ref="E54:E54">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Data'!$D$2:$D$493=A54),--('Employee Data'!$E$2:$E$493=B54))</f>
        <v>25</v>
      </c>
      <c r="F54" s="0" t="n">
        <f aca="false" t="array" ref="F54:F54">IFERROR(SUMPRODUCT(--('Employee Data'!$I$2:$I$493&gt;7000),--('Employee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Data'!$D$2:$D$493=A54),--('Employee Data'!$E$2:$E$493=B54))/E54,0)</f>
        <v>0.16</v>
      </c>
      <c r="H54" s="0" t="e">
        <v>#NAME?</v>
      </c>
      <c r="I54" s="0" t="e">
        <v>#NAME?</v>
      </c>
      <c r="J54" s="0" t="e">
        <v>#NAME?</v>
      </c>
      <c r="K54" s="0" t="e">
        <v>#NAME?</v>
      </c>
      <c r="L54" s="0" t="e">
        <v>#NAME?</v>
      </c>
      <c r="M54" s="0" t="e">
        <v>#NAME?</v>
      </c>
    </row>
    <row r="55" customFormat="false" ht="15" hidden="false" customHeight="false" outlineLevel="0" collapsed="false">
      <c r="A55" s="0" t="s">
        <v>47</v>
      </c>
      <c r="B55" s="0" t="s">
        <v>51</v>
      </c>
      <c r="C55" s="0" t="n">
        <f aca="false" t="array" ref="C55:C55">IFERROR(SUMPRODUCT('Employee Data'!$F$2:$F$493,--('Employee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Data'!$D$2:$D$493=A55),--('Employee Data'!$E$2:$E$493=B55))/SUMPRODUCT(--('Employee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Data'!$D$2:$D$493=A55),--('Employee Data'!$E$2:$E$493=B55)),0)</f>
        <v>118022.5</v>
      </c>
      <c r="D55" s="0" t="n">
        <f aca="false" t="array" ref="D55:D55">IFERROR(SUMPRODUCT('Employee Data'!$I$2:$I$493,--('Employee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Data'!$D$2:$D$493=A55),--('Employee Data'!$E$2:$E$493=B55))/SUMPRODUCT(--('Employee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Data'!$D$2:$D$493=A55),--('Employee Data'!$E$2:$E$493=B55)),0)</f>
        <v>5190.90909090909</v>
      </c>
      <c r="E55" s="0" t="n">
        <f aca="false" t="array" ref="E55:E55">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Data'!$D$2:$D$493=A55),--('Employee Data'!$E$2:$E$493=B55))</f>
        <v>22</v>
      </c>
      <c r="F55" s="0" t="n">
        <f aca="false" t="array" ref="F55:F55">IFERROR(SUMPRODUCT(--('Employee Data'!$I$2:$I$493&gt;7000),--('Employee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Data'!$D$2:$D$493=A55),--('Employee Data'!$E$2:$E$493=B55))/E55,0)</f>
        <v>0.227272727272727</v>
      </c>
      <c r="H55" s="0" t="e">
        <v>#NAME?</v>
      </c>
      <c r="I55" s="0" t="e">
        <v>#NAME?</v>
      </c>
      <c r="J55" s="0" t="e">
        <v>#NAME?</v>
      </c>
      <c r="K55" s="0" t="e">
        <v>#NAME?</v>
      </c>
      <c r="L55" s="0" t="e">
        <v>#NAME?</v>
      </c>
      <c r="M55" s="0" t="e">
        <v>#NAME?</v>
      </c>
    </row>
    <row r="56" customFormat="false" ht="15" hidden="false" customHeight="false" outlineLevel="0" collapsed="false">
      <c r="A56" s="0" t="s">
        <v>53</v>
      </c>
      <c r="B56" s="0" t="s">
        <v>51</v>
      </c>
      <c r="C56" s="0" t="n">
        <f aca="false" t="array" ref="C56:C56">IFERROR(SUMPRODUCT('Employee Data'!$F$2:$F$493,--('Employee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Data'!$D$2:$D$493=A56),--('Employee Data'!$E$2:$E$493=B56))/SUMPRODUCT(--('Employee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Data'!$D$2:$D$493=A56),--('Employee Data'!$E$2:$E$493=B56)),0)</f>
        <v>139907.285714286</v>
      </c>
      <c r="D56" s="0" t="n">
        <f aca="false" t="array" ref="D56:D56">IFERROR(SUMPRODUCT('Employee Data'!$I$2:$I$493,--('Employee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Data'!$D$2:$D$493=A56),--('Employee Data'!$E$2:$E$493=B56))/SUMPRODUCT(--('Employee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Data'!$D$2:$D$493=A56),--('Employee Data'!$E$2:$E$493=B56)),0)</f>
        <v>5064.28571428572</v>
      </c>
      <c r="E56" s="0" t="n">
        <f aca="false" t="array" ref="E56:E56">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Data'!$D$2:$D$493=A56),--('Employee Data'!$E$2:$E$493=B56))</f>
        <v>21</v>
      </c>
      <c r="F56" s="0" t="n">
        <f aca="false" t="array" ref="F56:F56">IFERROR(SUMPRODUCT(--('Employee Data'!$I$2:$I$493&gt;7000),--('Employee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Data'!$D$2:$D$493=A56),--('Employee Data'!$E$2:$E$493=B56))/E56,0)</f>
        <v>0.19047619047619</v>
      </c>
    </row>
    <row r="57" customFormat="false" ht="15" hidden="false" customHeight="false" outlineLevel="0" collapsed="false">
      <c r="A57" s="0" t="s">
        <v>59</v>
      </c>
      <c r="B57" s="0" t="s">
        <v>51</v>
      </c>
      <c r="C57" s="0" t="n">
        <f aca="false" t="array" ref="C57:C57">IFERROR(SUMPRODUCT('Employee Data'!$F$2:$F$493,--('Employee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Data'!$D$2:$D$493=A57),--('Employee Data'!$E$2:$E$493=B57))/SUMPRODUCT(--('Employee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Data'!$D$2:$D$493=A57),--('Employee Data'!$E$2:$E$493=B57)),0)</f>
        <v>129313.888888889</v>
      </c>
      <c r="D57" s="0" t="n">
        <f aca="false" t="array" ref="D57:D57">IFERROR(SUMPRODUCT('Employee Data'!$I$2:$I$493,--('Employee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Data'!$D$2:$D$493=A57),--('Employee Data'!$E$2:$E$493=B57))/SUMPRODUCT(--('Employee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Data'!$D$2:$D$493=A57),--('Employee Data'!$E$2:$E$493=B57)),0)</f>
        <v>5490.74074074074</v>
      </c>
      <c r="E57" s="0" t="n">
        <f aca="false" t="array" ref="E57:E57">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Data'!$D$2:$D$493=A57),--('Employee Data'!$E$2:$E$493=B57))</f>
        <v>27</v>
      </c>
      <c r="F57" s="0" t="n">
        <f aca="false" t="array" ref="F57:F57">IFERROR(SUMPRODUCT(--('Employee Data'!$I$2:$I$493&gt;7000),--('Employee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Data'!$D$2:$D$493=A57),--('Employee Data'!$E$2:$E$493=B57))/E57,0)</f>
        <v>0.259259259259259</v>
      </c>
    </row>
    <row r="58" customFormat="false" ht="15" hidden="false" customHeight="false" outlineLevel="0" collapsed="false">
      <c r="A58" s="0" t="s">
        <v>62</v>
      </c>
      <c r="B58" s="0" t="s">
        <v>51</v>
      </c>
      <c r="C58" s="0" t="n">
        <f aca="false" t="array" ref="C58:C58">IFERROR(SUMPRODUCT('Employee Data'!$F$2:$F$493,--('Employee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Data'!$D$2:$D$493=A58),--('Employee Data'!$E$2:$E$493=B58))/SUMPRODUCT(--('Employee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Data'!$D$2:$D$493=A58),--('Employee Data'!$E$2:$E$493=B58)),0)</f>
        <v>113461.64</v>
      </c>
      <c r="D58" s="0" t="n">
        <f aca="false" t="array" ref="D58:D58">IFERROR(SUMPRODUCT('Employee Data'!$I$2:$I$493,--('Employee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Data'!$D$2:$D$493=A58),--('Employee Data'!$E$2:$E$493=B58))/SUMPRODUCT(--('Employee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Data'!$D$2:$D$493=A58),--('Employee Data'!$E$2:$E$493=B58)),0)</f>
        <v>6062</v>
      </c>
      <c r="E58" s="0" t="n">
        <f aca="false" t="array" ref="E58:E58">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Data'!$D$2:$D$493=A58),--('Employee Data'!$E$2:$E$493=B58))</f>
        <v>25</v>
      </c>
      <c r="F58" s="0" t="n">
        <f aca="false" t="array" ref="F58:F58">IFERROR(SUMPRODUCT(--('Employee Data'!$I$2:$I$493&gt;7000),--('Employee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Data'!$D$2:$D$493=A58),--('Employee Data'!$E$2:$E$493=B58))/E58,0)</f>
        <v>0.32</v>
      </c>
    </row>
    <row r="59" customFormat="false" ht="15" hidden="false" customHeight="false" outlineLevel="0" collapsed="false">
      <c r="A59" s="0" t="s">
        <v>63</v>
      </c>
      <c r="B59" s="0" t="s">
        <v>51</v>
      </c>
      <c r="C59" s="0" t="n">
        <f aca="false" t="array" ref="C59:C59">IFERROR(SUMPRODUCT('Employee Data'!$F$2:$F$493,--('Employee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Data'!$D$2:$D$493=A59),--('Employee Data'!$E$2:$E$493=B59))/SUMPRODUCT(--('Employee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Data'!$D$2:$D$493=A59),--('Employee Data'!$E$2:$E$493=B59)),0)</f>
        <v>131479.08</v>
      </c>
      <c r="D59" s="0" t="n">
        <f aca="false" t="array" ref="D59:D59">IFERROR(SUMPRODUCT('Employee Data'!$I$2:$I$493,--('Employee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Data'!$D$2:$D$493=A59),--('Employee Data'!$E$2:$E$493=B59))/SUMPRODUCT(--('Employee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Data'!$D$2:$D$493=A59),--('Employee Data'!$E$2:$E$493=B59)),0)</f>
        <v>5066</v>
      </c>
      <c r="E59" s="0" t="n">
        <f aca="false" t="array" ref="E59:E59">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Data'!$D$2:$D$493=A59),--('Employee Data'!$E$2:$E$493=B59))</f>
        <v>25</v>
      </c>
      <c r="F59" s="0" t="n">
        <f aca="false" t="array" ref="F59:F59">IFERROR(SUMPRODUCT(--('Employee Data'!$I$2:$I$493&gt;7000),--('Employee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Data'!$D$2:$D$493=A59),--('Employee Data'!$E$2:$E$493=B59))/E59,0)</f>
        <v>0.2</v>
      </c>
    </row>
    <row r="60" customFormat="false" ht="15" hidden="false" customHeight="false" outlineLevel="0" collapsed="false">
      <c r="A60" s="0" t="s">
        <v>47</v>
      </c>
      <c r="B60" s="0" t="s">
        <v>57</v>
      </c>
      <c r="C60" s="0" t="n">
        <f aca="false" t="array" ref="C60:C60">IFERROR(SUMPRODUCT('Employee Data'!$F$2:$F$493,--('Employee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Data'!$D$2:$D$493=A60),--('Employee Data'!$E$2:$E$493=B60))/SUMPRODUCT(--('Employee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Data'!$D$2:$D$493=A60),--('Employee Data'!$E$2:$E$493=B60)),0)</f>
        <v>132462.275862069</v>
      </c>
      <c r="D60" s="0" t="n">
        <f aca="false" t="array" ref="D60:D60">IFERROR(SUMPRODUCT('Employee Data'!$I$2:$I$493,--('Employee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Data'!$D$2:$D$493=A60),--('Employee Data'!$E$2:$E$493=B60))/SUMPRODUCT(--('Employee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Data'!$D$2:$D$493=A60),--('Employee Data'!$E$2:$E$493=B60)),0)</f>
        <v>5944.8275862069</v>
      </c>
      <c r="E60" s="0" t="n">
        <f aca="false" t="array" ref="E60:E60">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Data'!$D$2:$D$493=A60),--('Employee Data'!$E$2:$E$493=B60))</f>
        <v>29</v>
      </c>
      <c r="F60" s="0" t="n">
        <f aca="false" t="array" ref="F60:F60">IFERROR(SUMPRODUCT(--('Employee Data'!$I$2:$I$493&gt;7000),--('Employee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Data'!$D$2:$D$493=A60),--('Employee Data'!$E$2:$E$493=B60))/E60,0)</f>
        <v>0.344827586206897</v>
      </c>
    </row>
    <row r="61" customFormat="false" ht="15" hidden="false" customHeight="false" outlineLevel="0" collapsed="false">
      <c r="A61" s="0" t="s">
        <v>53</v>
      </c>
      <c r="B61" s="0" t="s">
        <v>57</v>
      </c>
      <c r="C61" s="0" t="n">
        <f aca="false" t="array" ref="C61:C61">IFERROR(SUMPRODUCT('Employee Data'!$F$2:$F$493,--('Employee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Data'!$D$2:$D$493=A61),--('Employee Data'!$E$2:$E$493=B61))/SUMPRODUCT(--('Employee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Data'!$D$2:$D$493=A61),--('Employee Data'!$E$2:$E$493=B61)),0)</f>
        <v>130150.076923077</v>
      </c>
      <c r="D61" s="0" t="n">
        <f aca="false" t="array" ref="D61:D61">IFERROR(SUMPRODUCT('Employee Data'!$I$2:$I$493,--('Employee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Data'!$D$2:$D$493=A61),--('Employee Data'!$E$2:$E$493=B61))/SUMPRODUCT(--('Employee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Data'!$D$2:$D$493=A61),--('Employee Data'!$E$2:$E$493=B61)),0)</f>
        <v>4819.23076923077</v>
      </c>
      <c r="E61" s="0" t="n">
        <f aca="false" t="array" ref="E61:E61">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Data'!$D$2:$D$493=A61),--('Employee Data'!$E$2:$E$493=B61))</f>
        <v>26</v>
      </c>
      <c r="F61" s="0" t="n">
        <f aca="false" t="array" ref="F61:F61">IFERROR(SUMPRODUCT(--('Employee Data'!$I$2:$I$493&gt;7000),--('Employee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Data'!$D$2:$D$493=A61),--('Employee Data'!$E$2:$E$493=B61))/E61,0)</f>
        <v>0.192307692307692</v>
      </c>
    </row>
    <row r="62" customFormat="false" ht="15" hidden="false" customHeight="false" outlineLevel="0" collapsed="false">
      <c r="A62" s="0" t="s">
        <v>59</v>
      </c>
      <c r="B62" s="0" t="s">
        <v>57</v>
      </c>
      <c r="C62" s="0" t="n">
        <f aca="false" t="array" ref="C62:C62">IFERROR(SUMPRODUCT('Employee Data'!$F$2:$F$493,--('Employee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Data'!$D$2:$D$493=A62),--('Employee Data'!$E$2:$E$493=B62))/SUMPRODUCT(--('Employee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Data'!$D$2:$D$493=A62),--('Employee Data'!$E$2:$E$493=B62)),0)</f>
        <v>116854.307692308</v>
      </c>
      <c r="D62" s="0" t="n">
        <f aca="false" t="array" ref="D62:D62">IFERROR(SUMPRODUCT('Employee Data'!$I$2:$I$493,--('Employee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Data'!$D$2:$D$493=A62),--('Employee Data'!$E$2:$E$493=B62))/SUMPRODUCT(--('Employee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Data'!$D$2:$D$493=A62),--('Employee Data'!$E$2:$E$493=B62)),0)</f>
        <v>5475</v>
      </c>
      <c r="E62" s="0" t="n">
        <f aca="false" t="array" ref="E62:E62">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Data'!$D$2:$D$493=A62),--('Employee Data'!$E$2:$E$493=B62))</f>
        <v>26</v>
      </c>
      <c r="F62" s="0" t="n">
        <f aca="false" t="array" ref="F62:F62">IFERROR(SUMPRODUCT(--('Employee Data'!$I$2:$I$493&gt;7000),--('Employee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Data'!$D$2:$D$493=A62),--('Employee Data'!$E$2:$E$493=B62))/E62,0)</f>
        <v>0.307692307692308</v>
      </c>
    </row>
    <row r="63" customFormat="false" ht="15" hidden="false" customHeight="false" outlineLevel="0" collapsed="false">
      <c r="A63" s="0" t="s">
        <v>62</v>
      </c>
      <c r="B63" s="0" t="s">
        <v>57</v>
      </c>
      <c r="C63" s="0" t="n">
        <f aca="false" t="array" ref="C63:C63">IFERROR(SUMPRODUCT('Employee Data'!$F$2:$F$493,--('Employee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Data'!$D$2:$D$493=A63),--('Employee Data'!$E$2:$E$493=B63))/SUMPRODUCT(--('Employee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Data'!$D$2:$D$493=A63),--('Employee Data'!$E$2:$E$493=B63)),0)</f>
        <v>110408.228571429</v>
      </c>
      <c r="D63" s="0" t="n">
        <f aca="false" t="array" ref="D63:D63">IFERROR(SUMPRODUCT('Employee Data'!$I$2:$I$493,--('Employee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Data'!$D$2:$D$493=A63),--('Employee Data'!$E$2:$E$493=B63))/SUMPRODUCT(--('Employee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Data'!$D$2:$D$493=A63),--('Employee Data'!$E$2:$E$493=B63)),0)</f>
        <v>5268.57142857143</v>
      </c>
      <c r="E63" s="0" t="n">
        <f aca="false" t="array" ref="E63:E63">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Data'!$D$2:$D$493=A63),--('Employee Data'!$E$2:$E$493=B63))</f>
        <v>35</v>
      </c>
      <c r="F63" s="0" t="n">
        <f aca="false" t="array" ref="F63:F63">IFERROR(SUMPRODUCT(--('Employee Data'!$I$2:$I$493&gt;7000),--('Employee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Data'!$D$2:$D$493=A63),--('Employee Data'!$E$2:$E$493=B63))/E63,0)</f>
        <v>0.228571428571429</v>
      </c>
    </row>
    <row r="64" customFormat="false" ht="15" hidden="false" customHeight="false" outlineLevel="0" collapsed="false">
      <c r="A64" s="0" t="s">
        <v>63</v>
      </c>
      <c r="B64" s="0" t="s">
        <v>57</v>
      </c>
      <c r="C64" s="0" t="n">
        <f aca="false" t="array" ref="C64:C64">IFERROR(SUMPRODUCT('Employee Data'!$F$2:$F$493,--('Employee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Data'!$D$2:$D$493=A64),--('Employee Data'!$E$2:$E$493=B64))/SUMPRODUCT(--('Employee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Data'!$D$2:$D$493=A64),--('Employee Data'!$E$2:$E$493=B64)),0)</f>
        <v>130166.625</v>
      </c>
      <c r="D64" s="0" t="n">
        <f aca="false" t="array" ref="D64:D64">IFERROR(SUMPRODUCT('Employee Data'!$I$2:$I$493,--('Employee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Data'!$D$2:$D$493=A64),--('Employee Data'!$E$2:$E$493=B64))/SUMPRODUCT(--('Employee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Data'!$D$2:$D$493=A64),--('Employee Data'!$E$2:$E$493=B64)),0)</f>
        <v>4591.66666666667</v>
      </c>
      <c r="E64" s="0" t="n">
        <f aca="false" t="array" ref="E64:E64">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Data'!$D$2:$D$493=A64),--('Employee Data'!$E$2:$E$493=B64))</f>
        <v>24</v>
      </c>
      <c r="F64" s="0" t="n">
        <f aca="false" t="array" ref="F64:F64">IFERROR(SUMPRODUCT(--('Employee Data'!$I$2:$I$493&gt;7000),--('Employee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Data'!$D$2:$D$493=A64),--('Employee Data'!$E$2:$E$493=B64))/E64,0)</f>
        <v>0.25</v>
      </c>
    </row>
    <row r="65" customFormat="false" ht="15" hidden="false" customHeight="false" outlineLevel="0" collapsed="false">
      <c r="A65" s="0" t="s">
        <v>47</v>
      </c>
      <c r="B65" s="0" t="s">
        <v>61</v>
      </c>
      <c r="C65" s="0" t="n">
        <f aca="false" t="array" ref="C65:C65">IFERROR(SUMPRODUCT('Employee Data'!$F$2:$F$493,--('Employee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Data'!$D$2:$D$493=A65),--('Employee Data'!$E$2:$E$493=B65))/SUMPRODUCT(--('Employee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Data'!$D$2:$D$493=A65),--('Employee Data'!$E$2:$E$493=B65)),0)</f>
        <v>157452.208333333</v>
      </c>
      <c r="D65" s="0" t="n">
        <f aca="false" t="array" ref="D65:D65">IFERROR(SUMPRODUCT('Employee Data'!$I$2:$I$493,--('Employee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Data'!$D$2:$D$493=A65),--('Employee Data'!$E$2:$E$493=B65))/SUMPRODUCT(--('Employee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Data'!$D$2:$D$493=A65),--('Employee Data'!$E$2:$E$493=B65)),0)</f>
        <v>5785.41666666667</v>
      </c>
      <c r="E65" s="0" t="n">
        <f aca="false" t="array" ref="E65:E65">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Data'!$D$2:$D$493=A65),--('Employee Data'!$E$2:$E$493=B65))</f>
        <v>24</v>
      </c>
      <c r="F65" s="0" t="n">
        <f aca="false" t="array" ref="F65:F65">IFERROR(SUMPRODUCT(--('Employee Data'!$I$2:$I$493&gt;7000),--('Employee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Data'!$D$2:$D$493=A65),--('Employee Data'!$E$2:$E$493=B65))/E65,0)</f>
        <v>0.25</v>
      </c>
    </row>
    <row r="66" customFormat="false" ht="15" hidden="false" customHeight="false" outlineLevel="0" collapsed="false">
      <c r="A66" s="0" t="s">
        <v>53</v>
      </c>
      <c r="B66" s="0" t="s">
        <v>61</v>
      </c>
      <c r="C66" s="0" t="n">
        <f aca="false" t="array" ref="C66:C66">IFERROR(SUMPRODUCT('Employee Data'!$F$2:$F$493,--('Employee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Data'!$D$2:$D$493=A66),--('Employee Data'!$E$2:$E$493=B66))/SUMPRODUCT(--('Employee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Data'!$D$2:$D$493=A66),--('Employee Data'!$E$2:$E$493=B66)),0)</f>
        <v>147247.772727273</v>
      </c>
      <c r="D66" s="0" t="n">
        <f aca="false" t="array" ref="D66:D66">IFERROR(SUMPRODUCT('Employee Data'!$I$2:$I$493,--('Employee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Data'!$D$2:$D$493=A66),--('Employee Data'!$E$2:$E$493=B66))/SUMPRODUCT(--('Employee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Data'!$D$2:$D$493=A66),--('Employee Data'!$E$2:$E$493=B66)),0)</f>
        <v>4577.27272727273</v>
      </c>
      <c r="E66" s="0" t="n">
        <f aca="false" t="array" ref="E66:E66">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Data'!$D$2:$D$493=A66),--('Employee Data'!$E$2:$E$493=B66))</f>
        <v>22</v>
      </c>
      <c r="F66" s="0" t="n">
        <f aca="false" t="array" ref="F66:F66">IFERROR(SUMPRODUCT(--('Employee Data'!$I$2:$I$493&gt;7000),--('Employee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Data'!$D$2:$D$493=A66),--('Employee Data'!$E$2:$E$493=B66))/E66,0)</f>
        <v>0.181818181818182</v>
      </c>
    </row>
    <row r="67" customFormat="false" ht="15" hidden="false" customHeight="false" outlineLevel="0" collapsed="false">
      <c r="A67" s="0" t="s">
        <v>59</v>
      </c>
      <c r="B67" s="0" t="s">
        <v>61</v>
      </c>
      <c r="C67" s="0" t="n">
        <f aca="false" t="array" ref="C67:C67">IFERROR(SUMPRODUCT('Employee Data'!$F$2:$F$493,--('Employee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Data'!$D$2:$D$493=A67),--('Employee Data'!$E$2:$E$493=B67))/SUMPRODUCT(--('Employee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Data'!$D$2:$D$493=A67),--('Employee Data'!$E$2:$E$493=B67)),0)</f>
        <v>132747.92</v>
      </c>
      <c r="D67" s="0" t="n">
        <f aca="false" t="array" ref="D67:D67">IFERROR(SUMPRODUCT('Employee Data'!$I$2:$I$493,--('Employee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Data'!$D$2:$D$493=A67),--('Employee Data'!$E$2:$E$493=B67))/SUMPRODUCT(--('Employee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Data'!$D$2:$D$493=A67),--('Employee Data'!$E$2:$E$493=B67)),0)</f>
        <v>5140</v>
      </c>
      <c r="E67" s="0" t="n">
        <f aca="false" t="array" ref="E67:E67">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Data'!$D$2:$D$493=A67),--('Employee Data'!$E$2:$E$493=B67))</f>
        <v>25</v>
      </c>
      <c r="F67" s="0" t="n">
        <f aca="false" t="array" ref="F67:F67">IFERROR(SUMPRODUCT(--('Employee Data'!$I$2:$I$493&gt;7000),--('Employee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Data'!$D$2:$D$493=A67),--('Employee Data'!$E$2:$E$493=B67))/E67,0)</f>
        <v>0.16</v>
      </c>
    </row>
    <row r="68" customFormat="false" ht="15" hidden="false" customHeight="false" outlineLevel="0" collapsed="false">
      <c r="A68" s="0" t="s">
        <v>62</v>
      </c>
      <c r="B68" s="0" t="s">
        <v>61</v>
      </c>
      <c r="C68" s="0" t="n">
        <f aca="false" t="array" ref="C68:C68">IFERROR(SUMPRODUCT('Employee Data'!$F$2:$F$493,--('Employee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Data'!$D$2:$D$493=A68),--('Employee Data'!$E$2:$E$493=B68))/SUMPRODUCT(--('Employee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Data'!$D$2:$D$493=A68),--('Employee Data'!$E$2:$E$493=B68)),0)</f>
        <v>141647.958333333</v>
      </c>
      <c r="D68" s="0" t="n">
        <f aca="false" t="array" ref="D68:D68">IFERROR(SUMPRODUCT('Employee Data'!$I$2:$I$493,--('Employee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Data'!$D$2:$D$493=A68),--('Employee Data'!$E$2:$E$493=B68))/SUMPRODUCT(--('Employee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Data'!$D$2:$D$493=A68),--('Employee Data'!$E$2:$E$493=B68)),0)</f>
        <v>5293.75</v>
      </c>
      <c r="E68" s="0" t="n">
        <f aca="false" t="array" ref="E68:E68">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Data'!$D$2:$D$493=A68),--('Employee Data'!$E$2:$E$493=B68))</f>
        <v>24</v>
      </c>
      <c r="F68" s="0" t="n">
        <f aca="false" t="array" ref="F68:F68">IFERROR(SUMPRODUCT(--('Employee Data'!$I$2:$I$493&gt;7000),--('Employee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Data'!$D$2:$D$493=A68),--('Employee Data'!$E$2:$E$493=B68))/E68,0)</f>
        <v>0.291666666666667</v>
      </c>
    </row>
    <row r="69" customFormat="false" ht="15" hidden="false" customHeight="false" outlineLevel="0" collapsed="false">
      <c r="A69" s="0" t="s">
        <v>63</v>
      </c>
      <c r="B69" s="0" t="s">
        <v>61</v>
      </c>
      <c r="C69" s="0" t="n">
        <f aca="false" t="array" ref="C69:C69">IFERROR(SUMPRODUCT('Employee Data'!$F$2:$F$493,--('Employee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Data'!$D$2:$D$493=A69),--('Employee Data'!$E$2:$E$493=B69))/SUMPRODUCT(--('Employee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Data'!$D$2:$D$493=A69),--('Employee Data'!$E$2:$E$493=B69)),0)</f>
        <v>136706.888888889</v>
      </c>
      <c r="D69" s="0" t="n">
        <f aca="false" t="array" ref="D69:D69">IFERROR(SUMPRODUCT('Employee Data'!$I$2:$I$493,--('Employee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Data'!$D$2:$D$493=A69),--('Employee Data'!$E$2:$E$493=B69))/SUMPRODUCT(--('Employee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Data'!$D$2:$D$493=A69),--('Employee Data'!$E$2:$E$493=B69)),0)</f>
        <v>5511.11111111111</v>
      </c>
      <c r="E69" s="0" t="n">
        <f aca="false" t="array" ref="E69:E69">SUMPRODUCT(--('Employee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Data'!$D$2:$D$493=A69),--('Employee Data'!$E$2:$E$493=B69))</f>
        <v>27</v>
      </c>
      <c r="F69" s="0" t="n">
        <f aca="false" t="array" ref="F69:F69">IFERROR(SUMPRODUCT(--('Employee Data'!$I$2:$I$493&gt;7000),--('Employee Data'!$A$2:$A$493&lt;&gt;""),--(('Rewards Dashboard'!$B$3="All")+('Employee Data'!$E$2:$E$493='Rewards Dashboard'!$B$3)&gt;0),--(('Rewards Dashboard'!$D$3="All")+('Employee Data'!$C$2:$C$493='Rewards Dashboard'!$D$3)&gt;0),--(('Rewards Dashboard'!$F$3="All")+('Employee Data'!$D$2:$D$493='Rewards Dashboard'!$F$3)&gt;0),--('Employee Data'!$D$2:$D$493=A69),--('Employee Data'!$E$2:$E$493=B69))/E69,0)</f>
        <v>0.222222222222222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94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Q10" activeCellId="0" sqref="Q10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.72"/>
    <col collapsed="false" customWidth="true" hidden="false" outlineLevel="0" max="2" min="2" style="0" width="28.57"/>
    <col collapsed="false" customWidth="true" hidden="false" outlineLevel="0" max="3" min="3" style="0" width="12"/>
    <col collapsed="false" customWidth="true" hidden="false" outlineLevel="0" max="4" min="4" style="0" width="14.14"/>
    <col collapsed="false" customWidth="true" hidden="false" outlineLevel="0" max="5" min="5" style="0" width="11"/>
    <col collapsed="false" customWidth="true" hidden="false" outlineLevel="0" max="6" min="6" style="33" width="26.71"/>
    <col collapsed="false" customWidth="true" hidden="false" outlineLevel="0" max="7" min="7" style="0" width="24.14"/>
    <col collapsed="false" customWidth="true" hidden="false" outlineLevel="0" max="8" min="8" style="0" width="15.86"/>
    <col collapsed="false" customWidth="true" hidden="false" outlineLevel="0" max="9" min="9" style="0" width="20.43"/>
    <col collapsed="false" customWidth="true" hidden="false" outlineLevel="0" max="10" min="10" style="0" width="20.28"/>
    <col collapsed="false" customWidth="true" hidden="false" outlineLevel="0" max="11" min="11" style="0" width="12.57"/>
    <col collapsed="false" customWidth="true" hidden="false" outlineLevel="0" max="12" min="12" style="0" width="25.43"/>
    <col collapsed="false" customWidth="true" hidden="false" outlineLevel="0" max="13" min="13" style="0" width="28.29"/>
    <col collapsed="false" customWidth="true" hidden="false" outlineLevel="0" max="14" min="14" style="0" width="20.28"/>
    <col collapsed="false" customWidth="true" hidden="false" outlineLevel="0" max="15" min="15" style="0" width="14.57"/>
    <col collapsed="false" customWidth="true" hidden="false" outlineLevel="0" max="16" min="16" style="0" width="15.43"/>
    <col collapsed="false" customWidth="true" hidden="false" outlineLevel="0" max="17" min="17" style="0" width="18"/>
    <col collapsed="false" customWidth="true" hidden="false" outlineLevel="0" max="18" min="18" style="0" width="12.14"/>
    <col collapsed="false" customWidth="true" hidden="false" outlineLevel="0" max="20" min="20" style="0" width="24.14"/>
  </cols>
  <sheetData>
    <row r="1" customFormat="false" ht="15" hidden="false" customHeight="false" outlineLevel="0" collapsed="false">
      <c r="A1" s="0" t="s">
        <v>67</v>
      </c>
      <c r="B1" s="0" t="s">
        <v>68</v>
      </c>
      <c r="C1" s="0" t="s">
        <v>20</v>
      </c>
      <c r="D1" s="0" t="s">
        <v>21</v>
      </c>
      <c r="E1" s="0" t="s">
        <v>18</v>
      </c>
      <c r="F1" s="33" t="s">
        <v>69</v>
      </c>
      <c r="G1" s="34" t="s">
        <v>70</v>
      </c>
      <c r="H1" s="34" t="s">
        <v>64</v>
      </c>
      <c r="I1" s="34" t="s">
        <v>71</v>
      </c>
      <c r="J1" s="34" t="s">
        <v>72</v>
      </c>
      <c r="K1" s="34" t="s">
        <v>73</v>
      </c>
      <c r="L1" s="34" t="s">
        <v>74</v>
      </c>
      <c r="M1" s="34" t="s">
        <v>75</v>
      </c>
      <c r="O1" s="35" t="s">
        <v>76</v>
      </c>
      <c r="P1" s="36" t="n">
        <f aca="false">MIN(F:F)</f>
        <v>37116</v>
      </c>
      <c r="Q1" s="35" t="s">
        <v>77</v>
      </c>
      <c r="R1" s="36" t="n">
        <f aca="false">MAX(F:F)</f>
        <v>233215</v>
      </c>
      <c r="T1" s="37"/>
    </row>
    <row r="2" customFormat="false" ht="15" hidden="false" customHeight="false" outlineLevel="0" collapsed="false">
      <c r="A2" s="0" t="s">
        <v>78</v>
      </c>
      <c r="B2" s="0" t="s">
        <v>79</v>
      </c>
      <c r="C2" s="34" t="s">
        <v>52</v>
      </c>
      <c r="D2" s="34" t="s">
        <v>59</v>
      </c>
      <c r="E2" s="34" t="s">
        <v>57</v>
      </c>
      <c r="F2" s="33" t="n">
        <v>99610</v>
      </c>
      <c r="G2" s="34" t="s">
        <v>49</v>
      </c>
      <c r="H2" s="34" t="s">
        <v>54</v>
      </c>
      <c r="I2" s="33" t="n">
        <v>6750</v>
      </c>
      <c r="J2" s="34" t="s">
        <v>80</v>
      </c>
      <c r="K2" s="34" t="s">
        <v>50</v>
      </c>
      <c r="L2" s="34" t="s">
        <v>81</v>
      </c>
      <c r="M2" s="34" t="s">
        <v>82</v>
      </c>
      <c r="O2" s="34" t="s">
        <v>83</v>
      </c>
      <c r="P2" s="36" t="n">
        <f aca="false">R1-P1</f>
        <v>196099</v>
      </c>
      <c r="T2" s="38"/>
    </row>
    <row r="3" customFormat="false" ht="15" hidden="false" customHeight="false" outlineLevel="0" collapsed="false">
      <c r="A3" s="0" t="s">
        <v>84</v>
      </c>
      <c r="B3" s="0" t="s">
        <v>85</v>
      </c>
      <c r="C3" s="34" t="s">
        <v>52</v>
      </c>
      <c r="D3" s="34" t="s">
        <v>59</v>
      </c>
      <c r="E3" s="34" t="s">
        <v>51</v>
      </c>
      <c r="F3" s="33" t="n">
        <v>99367</v>
      </c>
      <c r="G3" s="34" t="s">
        <v>49</v>
      </c>
      <c r="H3" s="34" t="s">
        <v>54</v>
      </c>
      <c r="I3" s="33" t="n">
        <v>6750</v>
      </c>
      <c r="J3" s="34" t="s">
        <v>80</v>
      </c>
      <c r="K3" s="34" t="s">
        <v>50</v>
      </c>
      <c r="L3" s="34" t="s">
        <v>81</v>
      </c>
      <c r="M3" s="34" t="s">
        <v>82</v>
      </c>
      <c r="O3" s="34" t="s">
        <v>86</v>
      </c>
      <c r="P3" s="36" t="n">
        <f aca="false">_xlfn.QUARTILE.INC(Indian_Employee_Data[Monthly Base Salary (INR)],1) - _xlfn.QUARTILE.INC(Indian_Employee_Data[Monthly Base Salary (INR)],)</f>
        <v>45195.5</v>
      </c>
      <c r="T3" s="38"/>
    </row>
    <row r="4" customFormat="false" ht="15" hidden="false" customHeight="false" outlineLevel="0" collapsed="false">
      <c r="A4" s="0" t="s">
        <v>87</v>
      </c>
      <c r="B4" s="0" t="s">
        <v>88</v>
      </c>
      <c r="C4" s="34" t="s">
        <v>52</v>
      </c>
      <c r="D4" s="34" t="s">
        <v>59</v>
      </c>
      <c r="E4" s="34" t="s">
        <v>57</v>
      </c>
      <c r="F4" s="33" t="n">
        <v>96746</v>
      </c>
      <c r="G4" s="34" t="s">
        <v>55</v>
      </c>
      <c r="H4" s="34" t="s">
        <v>54</v>
      </c>
      <c r="I4" s="33" t="n">
        <v>9000</v>
      </c>
      <c r="J4" s="34" t="s">
        <v>80</v>
      </c>
      <c r="K4" s="34" t="s">
        <v>50</v>
      </c>
      <c r="L4" s="34" t="s">
        <v>81</v>
      </c>
      <c r="M4" s="34" t="s">
        <v>82</v>
      </c>
      <c r="O4" s="35" t="s">
        <v>89</v>
      </c>
      <c r="P4" s="35" t="s">
        <v>90</v>
      </c>
      <c r="Q4" s="35" t="s">
        <v>91</v>
      </c>
      <c r="T4" s="38"/>
    </row>
    <row r="5" customFormat="false" ht="15" hidden="false" customHeight="false" outlineLevel="0" collapsed="false">
      <c r="A5" s="0" t="s">
        <v>92</v>
      </c>
      <c r="B5" s="0" t="s">
        <v>93</v>
      </c>
      <c r="C5" s="34" t="s">
        <v>52</v>
      </c>
      <c r="D5" s="34" t="s">
        <v>59</v>
      </c>
      <c r="E5" s="34" t="s">
        <v>61</v>
      </c>
      <c r="F5" s="33" t="n">
        <v>98251</v>
      </c>
      <c r="G5" s="34" t="s">
        <v>55</v>
      </c>
      <c r="H5" s="34" t="s">
        <v>54</v>
      </c>
      <c r="I5" s="33" t="n">
        <v>9000</v>
      </c>
      <c r="J5" s="34" t="s">
        <v>80</v>
      </c>
      <c r="K5" s="34" t="s">
        <v>50</v>
      </c>
      <c r="L5" s="34" t="s">
        <v>81</v>
      </c>
      <c r="M5" s="34" t="s">
        <v>82</v>
      </c>
      <c r="P5" s="33" t="n">
        <f aca="false">_xlfn.QUARTILE.INC(Indian_Employee_Data[Monthly Base Salary (INR)],1) - (1.5*$P$3)</f>
        <v>14518.25</v>
      </c>
      <c r="Q5" s="33" t="n">
        <f aca="false">_xlfn.QUARTILE.INC(Indian_Employee_Data[Monthly Base Salary (INR)],3) - (1.5*$P$3)</f>
        <v>110957.25</v>
      </c>
      <c r="T5" s="38"/>
    </row>
    <row r="6" customFormat="false" ht="15" hidden="false" customHeight="false" outlineLevel="0" collapsed="false">
      <c r="A6" s="0" t="s">
        <v>94</v>
      </c>
      <c r="B6" s="0" t="s">
        <v>95</v>
      </c>
      <c r="C6" s="34" t="s">
        <v>52</v>
      </c>
      <c r="D6" s="34" t="s">
        <v>62</v>
      </c>
      <c r="E6" s="34" t="s">
        <v>45</v>
      </c>
      <c r="F6" s="33" t="n">
        <v>101272</v>
      </c>
      <c r="G6" s="34" t="s">
        <v>49</v>
      </c>
      <c r="H6" s="34" t="s">
        <v>54</v>
      </c>
      <c r="I6" s="33" t="n">
        <v>6750</v>
      </c>
      <c r="J6" s="34" t="s">
        <v>80</v>
      </c>
      <c r="K6" s="34" t="s">
        <v>50</v>
      </c>
      <c r="L6" s="34" t="s">
        <v>96</v>
      </c>
      <c r="M6" s="34" t="s">
        <v>97</v>
      </c>
      <c r="P6" s="35" t="s">
        <v>98</v>
      </c>
      <c r="Q6" s="35" t="s">
        <v>99</v>
      </c>
      <c r="T6" s="38"/>
    </row>
    <row r="7" customFormat="false" ht="15" hidden="false" customHeight="false" outlineLevel="0" collapsed="false">
      <c r="A7" s="0" t="s">
        <v>100</v>
      </c>
      <c r="B7" s="0" t="s">
        <v>101</v>
      </c>
      <c r="C7" s="34" t="s">
        <v>52</v>
      </c>
      <c r="D7" s="34" t="s">
        <v>47</v>
      </c>
      <c r="E7" s="34" t="s">
        <v>61</v>
      </c>
      <c r="F7" s="33" t="n">
        <v>100499</v>
      </c>
      <c r="G7" s="34" t="s">
        <v>49</v>
      </c>
      <c r="H7" s="34" t="s">
        <v>54</v>
      </c>
      <c r="I7" s="33" t="n">
        <v>6750</v>
      </c>
      <c r="J7" s="34" t="s">
        <v>80</v>
      </c>
      <c r="K7" s="34" t="s">
        <v>50</v>
      </c>
      <c r="L7" s="34" t="s">
        <v>102</v>
      </c>
      <c r="M7" s="34" t="s">
        <v>103</v>
      </c>
      <c r="T7" s="38"/>
    </row>
    <row r="8" customFormat="false" ht="15" hidden="false" customHeight="false" outlineLevel="0" collapsed="false">
      <c r="A8" s="0" t="s">
        <v>104</v>
      </c>
      <c r="B8" s="0" t="s">
        <v>105</v>
      </c>
      <c r="C8" s="34" t="s">
        <v>52</v>
      </c>
      <c r="D8" s="34" t="s">
        <v>59</v>
      </c>
      <c r="E8" s="34" t="s">
        <v>57</v>
      </c>
      <c r="F8" s="33" t="n">
        <v>90404</v>
      </c>
      <c r="G8" s="34" t="s">
        <v>49</v>
      </c>
      <c r="H8" s="34" t="s">
        <v>54</v>
      </c>
      <c r="I8" s="33" t="n">
        <v>6750</v>
      </c>
      <c r="J8" s="34" t="s">
        <v>80</v>
      </c>
      <c r="K8" s="34" t="s">
        <v>50</v>
      </c>
      <c r="L8" s="34" t="s">
        <v>81</v>
      </c>
      <c r="M8" s="34" t="s">
        <v>82</v>
      </c>
      <c r="T8" s="38"/>
    </row>
    <row r="9" customFormat="false" ht="15" hidden="false" customHeight="false" outlineLevel="0" collapsed="false">
      <c r="A9" s="0" t="s">
        <v>106</v>
      </c>
      <c r="B9" s="0" t="s">
        <v>107</v>
      </c>
      <c r="C9" s="34" t="s">
        <v>52</v>
      </c>
      <c r="D9" s="34" t="s">
        <v>47</v>
      </c>
      <c r="E9" s="34" t="s">
        <v>51</v>
      </c>
      <c r="F9" s="33" t="n">
        <v>105546</v>
      </c>
      <c r="G9" s="34" t="s">
        <v>49</v>
      </c>
      <c r="H9" s="34" t="s">
        <v>54</v>
      </c>
      <c r="I9" s="33" t="n">
        <v>6750</v>
      </c>
      <c r="J9" s="34" t="s">
        <v>80</v>
      </c>
      <c r="K9" s="34" t="s">
        <v>50</v>
      </c>
      <c r="L9" s="34" t="s">
        <v>102</v>
      </c>
      <c r="M9" s="34" t="s">
        <v>103</v>
      </c>
      <c r="T9" s="38"/>
    </row>
    <row r="10" customFormat="false" ht="15" hidden="false" customHeight="false" outlineLevel="0" collapsed="false">
      <c r="A10" s="0" t="s">
        <v>108</v>
      </c>
      <c r="B10" s="0" t="s">
        <v>109</v>
      </c>
      <c r="C10" s="34" t="s">
        <v>52</v>
      </c>
      <c r="D10" s="34" t="s">
        <v>53</v>
      </c>
      <c r="E10" s="34" t="s">
        <v>57</v>
      </c>
      <c r="F10" s="33" t="n">
        <v>90364</v>
      </c>
      <c r="G10" s="34" t="s">
        <v>55</v>
      </c>
      <c r="H10" s="34" t="s">
        <v>54</v>
      </c>
      <c r="I10" s="33" t="n">
        <v>9000</v>
      </c>
      <c r="J10" s="34" t="s">
        <v>80</v>
      </c>
      <c r="K10" s="34" t="s">
        <v>50</v>
      </c>
      <c r="L10" s="34" t="s">
        <v>110</v>
      </c>
      <c r="M10" s="34" t="s">
        <v>111</v>
      </c>
      <c r="T10" s="38"/>
    </row>
    <row r="11" customFormat="false" ht="15" hidden="false" customHeight="false" outlineLevel="0" collapsed="false">
      <c r="A11" s="0" t="s">
        <v>112</v>
      </c>
      <c r="B11" s="0" t="s">
        <v>113</v>
      </c>
      <c r="C11" s="34" t="s">
        <v>52</v>
      </c>
      <c r="D11" s="34" t="s">
        <v>59</v>
      </c>
      <c r="E11" s="34" t="s">
        <v>57</v>
      </c>
      <c r="F11" s="33" t="n">
        <v>92434</v>
      </c>
      <c r="G11" s="34" t="s">
        <v>55</v>
      </c>
      <c r="H11" s="34" t="s">
        <v>54</v>
      </c>
      <c r="I11" s="33" t="n">
        <v>9000</v>
      </c>
      <c r="J11" s="34" t="s">
        <v>80</v>
      </c>
      <c r="K11" s="34" t="s">
        <v>50</v>
      </c>
      <c r="L11" s="34" t="s">
        <v>81</v>
      </c>
      <c r="M11" s="34" t="s">
        <v>82</v>
      </c>
      <c r="T11" s="38"/>
    </row>
    <row r="12" customFormat="false" ht="15" hidden="false" customHeight="false" outlineLevel="0" collapsed="false">
      <c r="A12" s="0" t="s">
        <v>114</v>
      </c>
      <c r="B12" s="0" t="s">
        <v>115</v>
      </c>
      <c r="C12" s="34" t="s">
        <v>52</v>
      </c>
      <c r="D12" s="34" t="s">
        <v>63</v>
      </c>
      <c r="E12" s="34" t="s">
        <v>57</v>
      </c>
      <c r="F12" s="33" t="n">
        <v>92813</v>
      </c>
      <c r="G12" s="34" t="s">
        <v>55</v>
      </c>
      <c r="H12" s="34" t="s">
        <v>54</v>
      </c>
      <c r="I12" s="33" t="n">
        <v>9000</v>
      </c>
      <c r="J12" s="34" t="s">
        <v>80</v>
      </c>
      <c r="K12" s="34" t="s">
        <v>50</v>
      </c>
      <c r="L12" s="34" t="s">
        <v>116</v>
      </c>
      <c r="M12" s="34" t="s">
        <v>117</v>
      </c>
      <c r="T12" s="38"/>
    </row>
    <row r="13" customFormat="false" ht="15" hidden="false" customHeight="false" outlineLevel="0" collapsed="false">
      <c r="A13" s="0" t="s">
        <v>118</v>
      </c>
      <c r="B13" s="0" t="s">
        <v>119</v>
      </c>
      <c r="C13" s="34" t="s">
        <v>52</v>
      </c>
      <c r="D13" s="34" t="s">
        <v>53</v>
      </c>
      <c r="E13" s="34" t="s">
        <v>57</v>
      </c>
      <c r="F13" s="33" t="n">
        <v>106272</v>
      </c>
      <c r="G13" s="34" t="s">
        <v>49</v>
      </c>
      <c r="H13" s="34" t="s">
        <v>54</v>
      </c>
      <c r="I13" s="33" t="n">
        <v>6750</v>
      </c>
      <c r="J13" s="34" t="s">
        <v>80</v>
      </c>
      <c r="K13" s="34" t="s">
        <v>50</v>
      </c>
      <c r="L13" s="34" t="s">
        <v>110</v>
      </c>
      <c r="M13" s="34" t="s">
        <v>111</v>
      </c>
      <c r="T13" s="38"/>
    </row>
    <row r="14" customFormat="false" ht="15" hidden="false" customHeight="false" outlineLevel="0" collapsed="false">
      <c r="A14" s="0" t="s">
        <v>120</v>
      </c>
      <c r="B14" s="0" t="s">
        <v>121</v>
      </c>
      <c r="C14" s="34" t="s">
        <v>52</v>
      </c>
      <c r="D14" s="34" t="s">
        <v>62</v>
      </c>
      <c r="E14" s="34" t="s">
        <v>57</v>
      </c>
      <c r="F14" s="33" t="n">
        <v>116159</v>
      </c>
      <c r="G14" s="34" t="s">
        <v>49</v>
      </c>
      <c r="H14" s="34" t="s">
        <v>54</v>
      </c>
      <c r="I14" s="33" t="n">
        <v>6750</v>
      </c>
      <c r="J14" s="34" t="s">
        <v>80</v>
      </c>
      <c r="K14" s="34" t="s">
        <v>50</v>
      </c>
      <c r="L14" s="34" t="s">
        <v>96</v>
      </c>
      <c r="M14" s="34" t="s">
        <v>97</v>
      </c>
      <c r="T14" s="38"/>
    </row>
    <row r="15" customFormat="false" ht="15" hidden="false" customHeight="false" outlineLevel="0" collapsed="false">
      <c r="A15" s="0" t="s">
        <v>122</v>
      </c>
      <c r="B15" s="0" t="s">
        <v>123</v>
      </c>
      <c r="C15" s="34" t="s">
        <v>52</v>
      </c>
      <c r="D15" s="34" t="s">
        <v>53</v>
      </c>
      <c r="E15" s="34" t="s">
        <v>51</v>
      </c>
      <c r="F15" s="33" t="n">
        <v>116677</v>
      </c>
      <c r="G15" s="34" t="s">
        <v>55</v>
      </c>
      <c r="H15" s="34" t="s">
        <v>54</v>
      </c>
      <c r="I15" s="33" t="n">
        <v>9000</v>
      </c>
      <c r="J15" s="34" t="s">
        <v>80</v>
      </c>
      <c r="K15" s="34" t="s">
        <v>50</v>
      </c>
      <c r="L15" s="34" t="s">
        <v>110</v>
      </c>
      <c r="M15" s="34" t="s">
        <v>111</v>
      </c>
      <c r="T15" s="38"/>
    </row>
    <row r="16" customFormat="false" ht="15" hidden="false" customHeight="false" outlineLevel="0" collapsed="false">
      <c r="A16" s="0" t="s">
        <v>124</v>
      </c>
      <c r="B16" s="0" t="s">
        <v>125</v>
      </c>
      <c r="C16" s="34" t="s">
        <v>52</v>
      </c>
      <c r="D16" s="34" t="s">
        <v>59</v>
      </c>
      <c r="E16" s="34" t="s">
        <v>57</v>
      </c>
      <c r="F16" s="33" t="n">
        <v>116757</v>
      </c>
      <c r="G16" s="34" t="s">
        <v>49</v>
      </c>
      <c r="H16" s="34" t="s">
        <v>54</v>
      </c>
      <c r="I16" s="33" t="n">
        <v>6750</v>
      </c>
      <c r="J16" s="34" t="s">
        <v>80</v>
      </c>
      <c r="K16" s="34" t="s">
        <v>50</v>
      </c>
      <c r="L16" s="34" t="s">
        <v>81</v>
      </c>
      <c r="M16" s="34" t="s">
        <v>82</v>
      </c>
      <c r="T16" s="38"/>
    </row>
    <row r="17" customFormat="false" ht="15" hidden="false" customHeight="false" outlineLevel="0" collapsed="false">
      <c r="A17" s="0" t="s">
        <v>126</v>
      </c>
      <c r="B17" s="0" t="s">
        <v>127</v>
      </c>
      <c r="C17" s="34" t="s">
        <v>52</v>
      </c>
      <c r="D17" s="34" t="s">
        <v>62</v>
      </c>
      <c r="E17" s="34" t="s">
        <v>51</v>
      </c>
      <c r="F17" s="33" t="n">
        <v>117422</v>
      </c>
      <c r="G17" s="34" t="s">
        <v>55</v>
      </c>
      <c r="H17" s="34" t="s">
        <v>54</v>
      </c>
      <c r="I17" s="33" t="n">
        <v>9000</v>
      </c>
      <c r="J17" s="34" t="s">
        <v>80</v>
      </c>
      <c r="K17" s="34" t="s">
        <v>50</v>
      </c>
      <c r="L17" s="34" t="s">
        <v>96</v>
      </c>
      <c r="M17" s="34" t="s">
        <v>97</v>
      </c>
      <c r="T17" s="38"/>
    </row>
    <row r="18" customFormat="false" ht="15" hidden="false" customHeight="false" outlineLevel="0" collapsed="false">
      <c r="A18" s="0" t="s">
        <v>128</v>
      </c>
      <c r="B18" s="0" t="s">
        <v>129</v>
      </c>
      <c r="C18" s="34" t="s">
        <v>52</v>
      </c>
      <c r="D18" s="34" t="s">
        <v>47</v>
      </c>
      <c r="E18" s="34" t="s">
        <v>51</v>
      </c>
      <c r="F18" s="33" t="n">
        <v>89082</v>
      </c>
      <c r="G18" s="34" t="s">
        <v>55</v>
      </c>
      <c r="H18" s="34" t="s">
        <v>54</v>
      </c>
      <c r="I18" s="33" t="n">
        <v>9000</v>
      </c>
      <c r="J18" s="34" t="s">
        <v>80</v>
      </c>
      <c r="K18" s="34" t="s">
        <v>50</v>
      </c>
      <c r="L18" s="34" t="s">
        <v>102</v>
      </c>
      <c r="M18" s="34" t="s">
        <v>103</v>
      </c>
      <c r="T18" s="38"/>
    </row>
    <row r="19" customFormat="false" ht="15" hidden="false" customHeight="false" outlineLevel="0" collapsed="false">
      <c r="A19" s="0" t="s">
        <v>130</v>
      </c>
      <c r="B19" s="0" t="s">
        <v>131</v>
      </c>
      <c r="C19" s="34" t="s">
        <v>52</v>
      </c>
      <c r="D19" s="34" t="s">
        <v>47</v>
      </c>
      <c r="E19" s="34" t="s">
        <v>51</v>
      </c>
      <c r="F19" s="33" t="n">
        <v>115045</v>
      </c>
      <c r="G19" s="34" t="s">
        <v>49</v>
      </c>
      <c r="H19" s="34" t="s">
        <v>54</v>
      </c>
      <c r="I19" s="33" t="n">
        <v>6750</v>
      </c>
      <c r="J19" s="34" t="s">
        <v>80</v>
      </c>
      <c r="K19" s="34" t="s">
        <v>50</v>
      </c>
      <c r="L19" s="34" t="s">
        <v>102</v>
      </c>
      <c r="M19" s="34" t="s">
        <v>103</v>
      </c>
      <c r="T19" s="38"/>
    </row>
    <row r="20" customFormat="false" ht="15" hidden="false" customHeight="false" outlineLevel="0" collapsed="false">
      <c r="A20" s="0" t="s">
        <v>132</v>
      </c>
      <c r="B20" s="0" t="s">
        <v>133</v>
      </c>
      <c r="C20" s="34" t="s">
        <v>52</v>
      </c>
      <c r="D20" s="34" t="s">
        <v>59</v>
      </c>
      <c r="E20" s="34" t="s">
        <v>61</v>
      </c>
      <c r="F20" s="33" t="n">
        <v>119539</v>
      </c>
      <c r="G20" s="34" t="s">
        <v>49</v>
      </c>
      <c r="H20" s="34" t="s">
        <v>54</v>
      </c>
      <c r="I20" s="33" t="n">
        <v>6750</v>
      </c>
      <c r="J20" s="34" t="s">
        <v>80</v>
      </c>
      <c r="K20" s="34" t="s">
        <v>50</v>
      </c>
      <c r="L20" s="34" t="s">
        <v>81</v>
      </c>
      <c r="M20" s="34" t="s">
        <v>82</v>
      </c>
      <c r="T20" s="38"/>
    </row>
    <row r="21" customFormat="false" ht="15" hidden="false" customHeight="false" outlineLevel="0" collapsed="false">
      <c r="A21" s="0" t="s">
        <v>134</v>
      </c>
      <c r="B21" s="0" t="s">
        <v>135</v>
      </c>
      <c r="C21" s="34" t="s">
        <v>52</v>
      </c>
      <c r="D21" s="34" t="s">
        <v>53</v>
      </c>
      <c r="E21" s="34" t="s">
        <v>61</v>
      </c>
      <c r="F21" s="33" t="n">
        <v>114043</v>
      </c>
      <c r="G21" s="34" t="s">
        <v>49</v>
      </c>
      <c r="H21" s="34" t="s">
        <v>54</v>
      </c>
      <c r="I21" s="33" t="n">
        <v>6750</v>
      </c>
      <c r="J21" s="34" t="s">
        <v>80</v>
      </c>
      <c r="K21" s="34" t="s">
        <v>50</v>
      </c>
      <c r="L21" s="34" t="s">
        <v>110</v>
      </c>
      <c r="M21" s="34" t="s">
        <v>111</v>
      </c>
      <c r="T21" s="38"/>
    </row>
    <row r="22" customFormat="false" ht="15" hidden="false" customHeight="false" outlineLevel="0" collapsed="false">
      <c r="A22" s="0" t="s">
        <v>136</v>
      </c>
      <c r="B22" s="0" t="s">
        <v>137</v>
      </c>
      <c r="C22" s="34" t="s">
        <v>52</v>
      </c>
      <c r="D22" s="34" t="s">
        <v>47</v>
      </c>
      <c r="E22" s="34" t="s">
        <v>61</v>
      </c>
      <c r="F22" s="33" t="n">
        <v>107321</v>
      </c>
      <c r="G22" s="34" t="s">
        <v>55</v>
      </c>
      <c r="H22" s="34" t="s">
        <v>54</v>
      </c>
      <c r="I22" s="33" t="n">
        <v>9000</v>
      </c>
      <c r="J22" s="34" t="s">
        <v>80</v>
      </c>
      <c r="K22" s="34" t="s">
        <v>50</v>
      </c>
      <c r="L22" s="34" t="s">
        <v>102</v>
      </c>
      <c r="M22" s="34" t="s">
        <v>103</v>
      </c>
      <c r="T22" s="38"/>
    </row>
    <row r="23" customFormat="false" ht="15" hidden="false" customHeight="false" outlineLevel="0" collapsed="false">
      <c r="A23" s="0" t="s">
        <v>138</v>
      </c>
      <c r="B23" s="0" t="s">
        <v>139</v>
      </c>
      <c r="C23" s="34" t="s">
        <v>52</v>
      </c>
      <c r="D23" s="34" t="s">
        <v>62</v>
      </c>
      <c r="E23" s="34" t="s">
        <v>51</v>
      </c>
      <c r="F23" s="33" t="n">
        <v>108209</v>
      </c>
      <c r="G23" s="34" t="s">
        <v>55</v>
      </c>
      <c r="H23" s="34" t="s">
        <v>54</v>
      </c>
      <c r="I23" s="33" t="n">
        <v>9000</v>
      </c>
      <c r="J23" s="34" t="s">
        <v>80</v>
      </c>
      <c r="K23" s="34" t="s">
        <v>50</v>
      </c>
      <c r="L23" s="34" t="s">
        <v>96</v>
      </c>
      <c r="M23" s="34" t="s">
        <v>97</v>
      </c>
      <c r="T23" s="38"/>
    </row>
    <row r="24" customFormat="false" ht="15" hidden="false" customHeight="false" outlineLevel="0" collapsed="false">
      <c r="A24" s="0" t="s">
        <v>140</v>
      </c>
      <c r="B24" s="0" t="s">
        <v>141</v>
      </c>
      <c r="C24" s="34" t="s">
        <v>52</v>
      </c>
      <c r="D24" s="34" t="s">
        <v>47</v>
      </c>
      <c r="E24" s="34" t="s">
        <v>45</v>
      </c>
      <c r="F24" s="33" t="n">
        <v>113252</v>
      </c>
      <c r="G24" s="34" t="s">
        <v>55</v>
      </c>
      <c r="H24" s="34" t="s">
        <v>54</v>
      </c>
      <c r="I24" s="33" t="n">
        <v>9000</v>
      </c>
      <c r="J24" s="34" t="s">
        <v>80</v>
      </c>
      <c r="K24" s="34" t="s">
        <v>50</v>
      </c>
      <c r="L24" s="34" t="s">
        <v>102</v>
      </c>
      <c r="M24" s="34" t="s">
        <v>103</v>
      </c>
      <c r="T24" s="38"/>
    </row>
    <row r="25" customFormat="false" ht="15" hidden="false" customHeight="false" outlineLevel="0" collapsed="false">
      <c r="A25" s="0" t="s">
        <v>142</v>
      </c>
      <c r="B25" s="0" t="s">
        <v>143</v>
      </c>
      <c r="C25" s="34" t="s">
        <v>52</v>
      </c>
      <c r="D25" s="34" t="s">
        <v>63</v>
      </c>
      <c r="E25" s="34" t="s">
        <v>45</v>
      </c>
      <c r="F25" s="33" t="n">
        <v>113917</v>
      </c>
      <c r="G25" s="34" t="s">
        <v>55</v>
      </c>
      <c r="H25" s="34" t="s">
        <v>54</v>
      </c>
      <c r="I25" s="33" t="n">
        <v>9000</v>
      </c>
      <c r="J25" s="34" t="s">
        <v>80</v>
      </c>
      <c r="K25" s="34" t="s">
        <v>50</v>
      </c>
      <c r="L25" s="34" t="s">
        <v>116</v>
      </c>
      <c r="M25" s="34" t="s">
        <v>117</v>
      </c>
      <c r="T25" s="38"/>
    </row>
    <row r="26" customFormat="false" ht="15" hidden="false" customHeight="false" outlineLevel="0" collapsed="false">
      <c r="A26" s="0" t="s">
        <v>144</v>
      </c>
      <c r="B26" s="0" t="s">
        <v>145</v>
      </c>
      <c r="C26" s="34" t="s">
        <v>52</v>
      </c>
      <c r="D26" s="34" t="s">
        <v>63</v>
      </c>
      <c r="E26" s="34" t="s">
        <v>61</v>
      </c>
      <c r="F26" s="33" t="n">
        <v>88976</v>
      </c>
      <c r="G26" s="34" t="s">
        <v>55</v>
      </c>
      <c r="H26" s="34" t="s">
        <v>54</v>
      </c>
      <c r="I26" s="33" t="n">
        <v>9000</v>
      </c>
      <c r="J26" s="34" t="s">
        <v>80</v>
      </c>
      <c r="K26" s="34" t="s">
        <v>50</v>
      </c>
      <c r="L26" s="34" t="s">
        <v>116</v>
      </c>
      <c r="M26" s="34" t="s">
        <v>117</v>
      </c>
      <c r="T26" s="38"/>
    </row>
    <row r="27" customFormat="false" ht="15" hidden="false" customHeight="false" outlineLevel="0" collapsed="false">
      <c r="A27" s="0" t="s">
        <v>146</v>
      </c>
      <c r="B27" s="0" t="s">
        <v>147</v>
      </c>
      <c r="C27" s="34" t="s">
        <v>52</v>
      </c>
      <c r="D27" s="34" t="s">
        <v>47</v>
      </c>
      <c r="E27" s="34" t="s">
        <v>51</v>
      </c>
      <c r="F27" s="33" t="n">
        <v>59661</v>
      </c>
      <c r="G27" s="34" t="s">
        <v>55</v>
      </c>
      <c r="H27" s="34" t="s">
        <v>54</v>
      </c>
      <c r="I27" s="33" t="n">
        <v>9000</v>
      </c>
      <c r="J27" s="34" t="s">
        <v>80</v>
      </c>
      <c r="K27" s="34" t="s">
        <v>44</v>
      </c>
      <c r="L27" s="34" t="s">
        <v>102</v>
      </c>
      <c r="M27" s="34" t="s">
        <v>103</v>
      </c>
      <c r="T27" s="38"/>
    </row>
    <row r="28" customFormat="false" ht="15" hidden="false" customHeight="false" outlineLevel="0" collapsed="false">
      <c r="A28" s="0" t="s">
        <v>148</v>
      </c>
      <c r="B28" s="0" t="s">
        <v>149</v>
      </c>
      <c r="C28" s="34" t="s">
        <v>52</v>
      </c>
      <c r="D28" s="34" t="s">
        <v>63</v>
      </c>
      <c r="E28" s="34" t="s">
        <v>51</v>
      </c>
      <c r="F28" s="33" t="n">
        <v>61975</v>
      </c>
      <c r="G28" s="34" t="s">
        <v>55</v>
      </c>
      <c r="H28" s="34" t="s">
        <v>54</v>
      </c>
      <c r="I28" s="33" t="n">
        <v>9000</v>
      </c>
      <c r="J28" s="34" t="s">
        <v>80</v>
      </c>
      <c r="K28" s="34" t="s">
        <v>44</v>
      </c>
      <c r="L28" s="34" t="s">
        <v>116</v>
      </c>
      <c r="M28" s="34" t="s">
        <v>117</v>
      </c>
      <c r="T28" s="38"/>
    </row>
    <row r="29" customFormat="false" ht="15" hidden="false" customHeight="false" outlineLevel="0" collapsed="false">
      <c r="A29" s="0" t="s">
        <v>150</v>
      </c>
      <c r="B29" s="0" t="s">
        <v>151</v>
      </c>
      <c r="C29" s="34" t="s">
        <v>52</v>
      </c>
      <c r="D29" s="34" t="s">
        <v>59</v>
      </c>
      <c r="E29" s="34" t="s">
        <v>61</v>
      </c>
      <c r="F29" s="33" t="n">
        <v>65636</v>
      </c>
      <c r="G29" s="34" t="s">
        <v>49</v>
      </c>
      <c r="H29" s="34" t="s">
        <v>54</v>
      </c>
      <c r="I29" s="33" t="n">
        <v>6750</v>
      </c>
      <c r="J29" s="34" t="s">
        <v>80</v>
      </c>
      <c r="K29" s="34" t="s">
        <v>44</v>
      </c>
      <c r="L29" s="34" t="s">
        <v>81</v>
      </c>
      <c r="M29" s="34" t="s">
        <v>82</v>
      </c>
      <c r="T29" s="38"/>
    </row>
    <row r="30" customFormat="false" ht="15" hidden="false" customHeight="false" outlineLevel="0" collapsed="false">
      <c r="A30" s="0" t="s">
        <v>152</v>
      </c>
      <c r="B30" s="0" t="s">
        <v>153</v>
      </c>
      <c r="C30" s="34" t="s">
        <v>52</v>
      </c>
      <c r="D30" s="34" t="s">
        <v>62</v>
      </c>
      <c r="E30" s="34" t="s">
        <v>57</v>
      </c>
      <c r="F30" s="33" t="n">
        <v>57988</v>
      </c>
      <c r="G30" s="34" t="s">
        <v>55</v>
      </c>
      <c r="H30" s="34" t="s">
        <v>54</v>
      </c>
      <c r="I30" s="33" t="n">
        <v>9000</v>
      </c>
      <c r="J30" s="34" t="s">
        <v>80</v>
      </c>
      <c r="K30" s="34" t="s">
        <v>44</v>
      </c>
      <c r="L30" s="34" t="s">
        <v>96</v>
      </c>
      <c r="M30" s="34" t="s">
        <v>97</v>
      </c>
      <c r="T30" s="38"/>
    </row>
    <row r="31" customFormat="false" ht="15" hidden="false" customHeight="false" outlineLevel="0" collapsed="false">
      <c r="A31" s="0" t="s">
        <v>154</v>
      </c>
      <c r="B31" s="0" t="s">
        <v>155</v>
      </c>
      <c r="C31" s="34" t="s">
        <v>52</v>
      </c>
      <c r="D31" s="34" t="s">
        <v>47</v>
      </c>
      <c r="E31" s="34" t="s">
        <v>57</v>
      </c>
      <c r="F31" s="33" t="n">
        <v>57445</v>
      </c>
      <c r="G31" s="34" t="s">
        <v>49</v>
      </c>
      <c r="H31" s="34" t="s">
        <v>54</v>
      </c>
      <c r="I31" s="33" t="n">
        <v>6750</v>
      </c>
      <c r="J31" s="34" t="s">
        <v>80</v>
      </c>
      <c r="K31" s="34" t="s">
        <v>44</v>
      </c>
      <c r="L31" s="34" t="s">
        <v>102</v>
      </c>
      <c r="M31" s="34" t="s">
        <v>103</v>
      </c>
      <c r="T31" s="38"/>
    </row>
    <row r="32" customFormat="false" ht="15" hidden="false" customHeight="false" outlineLevel="0" collapsed="false">
      <c r="A32" s="0" t="s">
        <v>156</v>
      </c>
      <c r="B32" s="0" t="s">
        <v>157</v>
      </c>
      <c r="C32" s="34" t="s">
        <v>52</v>
      </c>
      <c r="D32" s="34" t="s">
        <v>62</v>
      </c>
      <c r="E32" s="34" t="s">
        <v>51</v>
      </c>
      <c r="F32" s="33" t="n">
        <v>50122</v>
      </c>
      <c r="G32" s="34" t="s">
        <v>49</v>
      </c>
      <c r="H32" s="34" t="s">
        <v>54</v>
      </c>
      <c r="I32" s="33" t="n">
        <v>6750</v>
      </c>
      <c r="J32" s="34" t="s">
        <v>80</v>
      </c>
      <c r="K32" s="34" t="s">
        <v>44</v>
      </c>
      <c r="L32" s="34" t="s">
        <v>96</v>
      </c>
      <c r="M32" s="34" t="s">
        <v>97</v>
      </c>
      <c r="T32" s="38"/>
    </row>
    <row r="33" customFormat="false" ht="15" hidden="false" customHeight="false" outlineLevel="0" collapsed="false">
      <c r="A33" s="0" t="s">
        <v>158</v>
      </c>
      <c r="B33" s="0" t="s">
        <v>159</v>
      </c>
      <c r="C33" s="34" t="s">
        <v>52</v>
      </c>
      <c r="D33" s="34" t="s">
        <v>63</v>
      </c>
      <c r="E33" s="34" t="s">
        <v>45</v>
      </c>
      <c r="F33" s="33" t="n">
        <v>54284</v>
      </c>
      <c r="G33" s="34" t="s">
        <v>49</v>
      </c>
      <c r="H33" s="34" t="s">
        <v>54</v>
      </c>
      <c r="I33" s="33" t="n">
        <v>6750</v>
      </c>
      <c r="J33" s="34" t="s">
        <v>80</v>
      </c>
      <c r="K33" s="34" t="s">
        <v>44</v>
      </c>
      <c r="L33" s="34" t="s">
        <v>116</v>
      </c>
      <c r="M33" s="34" t="s">
        <v>117</v>
      </c>
      <c r="T33" s="38"/>
    </row>
    <row r="34" customFormat="false" ht="15" hidden="false" customHeight="false" outlineLevel="0" collapsed="false">
      <c r="A34" s="0" t="s">
        <v>160</v>
      </c>
      <c r="B34" s="0" t="s">
        <v>161</v>
      </c>
      <c r="C34" s="34" t="s">
        <v>52</v>
      </c>
      <c r="D34" s="34" t="s">
        <v>59</v>
      </c>
      <c r="E34" s="34" t="s">
        <v>57</v>
      </c>
      <c r="F34" s="33" t="n">
        <v>54648</v>
      </c>
      <c r="G34" s="34" t="s">
        <v>55</v>
      </c>
      <c r="H34" s="34" t="s">
        <v>54</v>
      </c>
      <c r="I34" s="33" t="n">
        <v>9000</v>
      </c>
      <c r="J34" s="34" t="s">
        <v>80</v>
      </c>
      <c r="K34" s="34" t="s">
        <v>44</v>
      </c>
      <c r="L34" s="34" t="s">
        <v>81</v>
      </c>
      <c r="M34" s="34" t="s">
        <v>82</v>
      </c>
      <c r="T34" s="38"/>
    </row>
    <row r="35" customFormat="false" ht="15" hidden="false" customHeight="false" outlineLevel="0" collapsed="false">
      <c r="A35" s="0" t="s">
        <v>162</v>
      </c>
      <c r="B35" s="0" t="s">
        <v>163</v>
      </c>
      <c r="C35" s="34" t="s">
        <v>52</v>
      </c>
      <c r="D35" s="34" t="s">
        <v>62</v>
      </c>
      <c r="E35" s="34" t="s">
        <v>61</v>
      </c>
      <c r="F35" s="33" t="n">
        <v>57220</v>
      </c>
      <c r="G35" s="34" t="s">
        <v>49</v>
      </c>
      <c r="H35" s="34" t="s">
        <v>54</v>
      </c>
      <c r="I35" s="33" t="n">
        <v>6750</v>
      </c>
      <c r="J35" s="34" t="s">
        <v>80</v>
      </c>
      <c r="K35" s="34" t="s">
        <v>44</v>
      </c>
      <c r="L35" s="34" t="s">
        <v>96</v>
      </c>
      <c r="M35" s="34" t="s">
        <v>97</v>
      </c>
      <c r="T35" s="38"/>
    </row>
    <row r="36" customFormat="false" ht="15" hidden="false" customHeight="false" outlineLevel="0" collapsed="false">
      <c r="A36" s="0" t="s">
        <v>164</v>
      </c>
      <c r="B36" s="0" t="s">
        <v>165</v>
      </c>
      <c r="C36" s="34" t="s">
        <v>52</v>
      </c>
      <c r="D36" s="34" t="s">
        <v>59</v>
      </c>
      <c r="E36" s="34" t="s">
        <v>57</v>
      </c>
      <c r="F36" s="33" t="n">
        <v>66594</v>
      </c>
      <c r="G36" s="34" t="s">
        <v>55</v>
      </c>
      <c r="H36" s="34" t="s">
        <v>54</v>
      </c>
      <c r="I36" s="33" t="n">
        <v>9000</v>
      </c>
      <c r="J36" s="34" t="s">
        <v>80</v>
      </c>
      <c r="K36" s="34" t="s">
        <v>44</v>
      </c>
      <c r="L36" s="34" t="s">
        <v>81</v>
      </c>
      <c r="M36" s="34" t="s">
        <v>82</v>
      </c>
      <c r="T36" s="38"/>
    </row>
    <row r="37" customFormat="false" ht="15" hidden="false" customHeight="false" outlineLevel="0" collapsed="false">
      <c r="A37" s="0" t="s">
        <v>166</v>
      </c>
      <c r="B37" s="0" t="s">
        <v>167</v>
      </c>
      <c r="C37" s="34" t="s">
        <v>52</v>
      </c>
      <c r="D37" s="34" t="s">
        <v>63</v>
      </c>
      <c r="E37" s="34" t="s">
        <v>57</v>
      </c>
      <c r="F37" s="33" t="n">
        <v>81837</v>
      </c>
      <c r="G37" s="34" t="s">
        <v>55</v>
      </c>
      <c r="H37" s="34" t="s">
        <v>54</v>
      </c>
      <c r="I37" s="33" t="n">
        <v>9000</v>
      </c>
      <c r="J37" s="34" t="s">
        <v>80</v>
      </c>
      <c r="K37" s="34" t="s">
        <v>44</v>
      </c>
      <c r="L37" s="34" t="s">
        <v>116</v>
      </c>
      <c r="M37" s="34" t="s">
        <v>117</v>
      </c>
      <c r="T37" s="38"/>
    </row>
    <row r="38" customFormat="false" ht="15" hidden="false" customHeight="false" outlineLevel="0" collapsed="false">
      <c r="A38" s="0" t="s">
        <v>168</v>
      </c>
      <c r="B38" s="0" t="s">
        <v>169</v>
      </c>
      <c r="C38" s="34" t="s">
        <v>52</v>
      </c>
      <c r="D38" s="34" t="s">
        <v>62</v>
      </c>
      <c r="E38" s="34" t="s">
        <v>45</v>
      </c>
      <c r="F38" s="33" t="n">
        <v>79575</v>
      </c>
      <c r="G38" s="34" t="s">
        <v>55</v>
      </c>
      <c r="H38" s="34" t="s">
        <v>54</v>
      </c>
      <c r="I38" s="33" t="n">
        <v>9000</v>
      </c>
      <c r="J38" s="34" t="s">
        <v>80</v>
      </c>
      <c r="K38" s="34" t="s">
        <v>44</v>
      </c>
      <c r="L38" s="34" t="s">
        <v>96</v>
      </c>
      <c r="M38" s="34" t="s">
        <v>97</v>
      </c>
      <c r="T38" s="38"/>
    </row>
    <row r="39" customFormat="false" ht="15" hidden="false" customHeight="false" outlineLevel="0" collapsed="false">
      <c r="A39" s="0" t="s">
        <v>170</v>
      </c>
      <c r="B39" s="0" t="s">
        <v>151</v>
      </c>
      <c r="C39" s="34" t="s">
        <v>52</v>
      </c>
      <c r="D39" s="34" t="s">
        <v>62</v>
      </c>
      <c r="E39" s="34" t="s">
        <v>51</v>
      </c>
      <c r="F39" s="33" t="n">
        <v>83408</v>
      </c>
      <c r="G39" s="34" t="s">
        <v>49</v>
      </c>
      <c r="H39" s="34" t="s">
        <v>54</v>
      </c>
      <c r="I39" s="33" t="n">
        <v>6750</v>
      </c>
      <c r="J39" s="34" t="s">
        <v>80</v>
      </c>
      <c r="K39" s="34" t="s">
        <v>50</v>
      </c>
      <c r="L39" s="34" t="s">
        <v>96</v>
      </c>
      <c r="M39" s="34" t="s">
        <v>97</v>
      </c>
      <c r="T39" s="38"/>
    </row>
    <row r="40" customFormat="false" ht="15" hidden="false" customHeight="false" outlineLevel="0" collapsed="false">
      <c r="A40" s="0" t="s">
        <v>171</v>
      </c>
      <c r="B40" s="0" t="s">
        <v>172</v>
      </c>
      <c r="C40" s="34" t="s">
        <v>52</v>
      </c>
      <c r="D40" s="34" t="s">
        <v>47</v>
      </c>
      <c r="E40" s="34" t="s">
        <v>45</v>
      </c>
      <c r="F40" s="33" t="n">
        <v>84024</v>
      </c>
      <c r="G40" s="34" t="s">
        <v>49</v>
      </c>
      <c r="H40" s="34" t="s">
        <v>54</v>
      </c>
      <c r="I40" s="33" t="n">
        <v>6750</v>
      </c>
      <c r="J40" s="34" t="s">
        <v>80</v>
      </c>
      <c r="K40" s="34" t="s">
        <v>50</v>
      </c>
      <c r="L40" s="34" t="s">
        <v>102</v>
      </c>
      <c r="M40" s="34" t="s">
        <v>103</v>
      </c>
      <c r="T40" s="38"/>
    </row>
    <row r="41" customFormat="false" ht="15" hidden="false" customHeight="false" outlineLevel="0" collapsed="false">
      <c r="A41" s="0" t="s">
        <v>173</v>
      </c>
      <c r="B41" s="0" t="s">
        <v>174</v>
      </c>
      <c r="C41" s="34" t="s">
        <v>52</v>
      </c>
      <c r="D41" s="34" t="s">
        <v>63</v>
      </c>
      <c r="E41" s="34" t="s">
        <v>45</v>
      </c>
      <c r="F41" s="33" t="n">
        <v>85748</v>
      </c>
      <c r="G41" s="34" t="s">
        <v>49</v>
      </c>
      <c r="H41" s="34" t="s">
        <v>54</v>
      </c>
      <c r="I41" s="33" t="n">
        <v>6750</v>
      </c>
      <c r="J41" s="34" t="s">
        <v>80</v>
      </c>
      <c r="K41" s="34" t="s">
        <v>50</v>
      </c>
      <c r="L41" s="34" t="s">
        <v>116</v>
      </c>
      <c r="M41" s="34" t="s">
        <v>117</v>
      </c>
      <c r="T41" s="38"/>
    </row>
    <row r="42" customFormat="false" ht="15" hidden="false" customHeight="false" outlineLevel="0" collapsed="false">
      <c r="A42" s="0" t="s">
        <v>175</v>
      </c>
      <c r="B42" s="0" t="s">
        <v>176</v>
      </c>
      <c r="C42" s="34" t="s">
        <v>52</v>
      </c>
      <c r="D42" s="34" t="s">
        <v>63</v>
      </c>
      <c r="E42" s="34" t="s">
        <v>61</v>
      </c>
      <c r="F42" s="33" t="n">
        <v>69575</v>
      </c>
      <c r="G42" s="34" t="s">
        <v>55</v>
      </c>
      <c r="H42" s="34" t="s">
        <v>54</v>
      </c>
      <c r="I42" s="33" t="n">
        <v>9000</v>
      </c>
      <c r="J42" s="34" t="s">
        <v>80</v>
      </c>
      <c r="K42" s="34" t="s">
        <v>44</v>
      </c>
      <c r="L42" s="34" t="s">
        <v>116</v>
      </c>
      <c r="M42" s="34" t="s">
        <v>117</v>
      </c>
      <c r="T42" s="38"/>
    </row>
    <row r="43" customFormat="false" ht="15" hidden="false" customHeight="false" outlineLevel="0" collapsed="false">
      <c r="A43" s="0" t="s">
        <v>177</v>
      </c>
      <c r="B43" s="0" t="s">
        <v>178</v>
      </c>
      <c r="C43" s="34" t="s">
        <v>52</v>
      </c>
      <c r="D43" s="34" t="s">
        <v>47</v>
      </c>
      <c r="E43" s="34" t="s">
        <v>57</v>
      </c>
      <c r="F43" s="33" t="n">
        <v>70055</v>
      </c>
      <c r="G43" s="34" t="s">
        <v>49</v>
      </c>
      <c r="H43" s="34" t="s">
        <v>54</v>
      </c>
      <c r="I43" s="33" t="n">
        <v>6750</v>
      </c>
      <c r="J43" s="34" t="s">
        <v>80</v>
      </c>
      <c r="K43" s="34" t="s">
        <v>44</v>
      </c>
      <c r="L43" s="34" t="s">
        <v>102</v>
      </c>
      <c r="M43" s="34" t="s">
        <v>103</v>
      </c>
      <c r="T43" s="38"/>
    </row>
    <row r="44" customFormat="false" ht="15" hidden="false" customHeight="false" outlineLevel="0" collapsed="false">
      <c r="A44" s="0" t="s">
        <v>179</v>
      </c>
      <c r="B44" s="0" t="s">
        <v>180</v>
      </c>
      <c r="C44" s="34" t="s">
        <v>52</v>
      </c>
      <c r="D44" s="34" t="s">
        <v>63</v>
      </c>
      <c r="E44" s="34" t="s">
        <v>51</v>
      </c>
      <c r="F44" s="33" t="n">
        <v>70488</v>
      </c>
      <c r="G44" s="34" t="s">
        <v>55</v>
      </c>
      <c r="H44" s="34" t="s">
        <v>54</v>
      </c>
      <c r="I44" s="33" t="n">
        <v>9000</v>
      </c>
      <c r="J44" s="34" t="s">
        <v>80</v>
      </c>
      <c r="K44" s="34" t="s">
        <v>44</v>
      </c>
      <c r="L44" s="34" t="s">
        <v>116</v>
      </c>
      <c r="M44" s="34" t="s">
        <v>117</v>
      </c>
      <c r="T44" s="38"/>
    </row>
    <row r="45" customFormat="false" ht="15" hidden="false" customHeight="false" outlineLevel="0" collapsed="false">
      <c r="A45" s="0" t="s">
        <v>181</v>
      </c>
      <c r="B45" s="0" t="s">
        <v>182</v>
      </c>
      <c r="C45" s="34" t="s">
        <v>52</v>
      </c>
      <c r="D45" s="34" t="s">
        <v>63</v>
      </c>
      <c r="E45" s="34" t="s">
        <v>51</v>
      </c>
      <c r="F45" s="33" t="n">
        <v>71415</v>
      </c>
      <c r="G45" s="34" t="s">
        <v>49</v>
      </c>
      <c r="H45" s="34" t="s">
        <v>54</v>
      </c>
      <c r="I45" s="33" t="n">
        <v>6750</v>
      </c>
      <c r="J45" s="34" t="s">
        <v>80</v>
      </c>
      <c r="K45" s="34" t="s">
        <v>44</v>
      </c>
      <c r="L45" s="34" t="s">
        <v>116</v>
      </c>
      <c r="M45" s="34" t="s">
        <v>117</v>
      </c>
      <c r="T45" s="38"/>
    </row>
    <row r="46" customFormat="false" ht="15" hidden="false" customHeight="false" outlineLevel="0" collapsed="false">
      <c r="A46" s="0" t="s">
        <v>183</v>
      </c>
      <c r="B46" s="0" t="s">
        <v>184</v>
      </c>
      <c r="C46" s="34" t="s">
        <v>52</v>
      </c>
      <c r="D46" s="34" t="s">
        <v>63</v>
      </c>
      <c r="E46" s="34" t="s">
        <v>45</v>
      </c>
      <c r="F46" s="33" t="n">
        <v>73726</v>
      </c>
      <c r="G46" s="34" t="s">
        <v>49</v>
      </c>
      <c r="H46" s="34" t="s">
        <v>54</v>
      </c>
      <c r="I46" s="33" t="n">
        <v>6750</v>
      </c>
      <c r="J46" s="34" t="s">
        <v>80</v>
      </c>
      <c r="K46" s="34" t="s">
        <v>44</v>
      </c>
      <c r="L46" s="34" t="s">
        <v>116</v>
      </c>
      <c r="M46" s="34" t="s">
        <v>117</v>
      </c>
      <c r="T46" s="38"/>
    </row>
    <row r="47" customFormat="false" ht="15" hidden="false" customHeight="false" outlineLevel="0" collapsed="false">
      <c r="A47" s="0" t="s">
        <v>185</v>
      </c>
      <c r="B47" s="0" t="s">
        <v>186</v>
      </c>
      <c r="C47" s="34" t="s">
        <v>52</v>
      </c>
      <c r="D47" s="34" t="s">
        <v>53</v>
      </c>
      <c r="E47" s="34" t="s">
        <v>51</v>
      </c>
      <c r="F47" s="33" t="n">
        <v>123029</v>
      </c>
      <c r="G47" s="34" t="s">
        <v>49</v>
      </c>
      <c r="H47" s="34" t="s">
        <v>54</v>
      </c>
      <c r="I47" s="33" t="n">
        <v>6750</v>
      </c>
      <c r="J47" s="34" t="s">
        <v>80</v>
      </c>
      <c r="K47" s="34" t="s">
        <v>50</v>
      </c>
      <c r="L47" s="34" t="s">
        <v>110</v>
      </c>
      <c r="M47" s="34" t="s">
        <v>111</v>
      </c>
      <c r="T47" s="38"/>
    </row>
    <row r="48" customFormat="false" ht="15" hidden="false" customHeight="false" outlineLevel="0" collapsed="false">
      <c r="A48" s="0" t="s">
        <v>187</v>
      </c>
      <c r="B48" s="0" t="s">
        <v>188</v>
      </c>
      <c r="C48" s="34" t="s">
        <v>52</v>
      </c>
      <c r="D48" s="34" t="s">
        <v>63</v>
      </c>
      <c r="E48" s="34" t="s">
        <v>57</v>
      </c>
      <c r="F48" s="33" t="n">
        <v>77607</v>
      </c>
      <c r="G48" s="34" t="s">
        <v>55</v>
      </c>
      <c r="H48" s="34" t="s">
        <v>54</v>
      </c>
      <c r="I48" s="33" t="n">
        <v>9000</v>
      </c>
      <c r="J48" s="34" t="s">
        <v>80</v>
      </c>
      <c r="K48" s="34" t="s">
        <v>44</v>
      </c>
      <c r="L48" s="34" t="s">
        <v>116</v>
      </c>
      <c r="M48" s="34" t="s">
        <v>117</v>
      </c>
      <c r="T48" s="38"/>
    </row>
    <row r="49" customFormat="false" ht="15" hidden="false" customHeight="false" outlineLevel="0" collapsed="false">
      <c r="A49" s="0" t="s">
        <v>189</v>
      </c>
      <c r="B49" s="0" t="s">
        <v>190</v>
      </c>
      <c r="C49" s="34" t="s">
        <v>52</v>
      </c>
      <c r="D49" s="34" t="s">
        <v>59</v>
      </c>
      <c r="E49" s="34" t="s">
        <v>61</v>
      </c>
      <c r="F49" s="33" t="n">
        <v>175321</v>
      </c>
      <c r="G49" s="34" t="s">
        <v>49</v>
      </c>
      <c r="H49" s="34" t="s">
        <v>54</v>
      </c>
      <c r="I49" s="33" t="n">
        <v>6750</v>
      </c>
      <c r="J49" s="34" t="s">
        <v>80</v>
      </c>
      <c r="K49" s="34" t="s">
        <v>56</v>
      </c>
      <c r="L49" s="34" t="s">
        <v>81</v>
      </c>
      <c r="M49" s="34" t="s">
        <v>82</v>
      </c>
      <c r="T49" s="38"/>
    </row>
    <row r="50" customFormat="false" ht="15" hidden="false" customHeight="false" outlineLevel="0" collapsed="false">
      <c r="A50" s="0" t="s">
        <v>191</v>
      </c>
      <c r="B50" s="0" t="s">
        <v>192</v>
      </c>
      <c r="C50" s="34" t="s">
        <v>52</v>
      </c>
      <c r="D50" s="34" t="s">
        <v>59</v>
      </c>
      <c r="E50" s="34" t="s">
        <v>51</v>
      </c>
      <c r="F50" s="33" t="n">
        <v>175360</v>
      </c>
      <c r="G50" s="34" t="s">
        <v>49</v>
      </c>
      <c r="H50" s="34" t="s">
        <v>54</v>
      </c>
      <c r="I50" s="33" t="n">
        <v>6750</v>
      </c>
      <c r="J50" s="34" t="s">
        <v>80</v>
      </c>
      <c r="K50" s="34" t="s">
        <v>56</v>
      </c>
      <c r="L50" s="34" t="s">
        <v>81</v>
      </c>
      <c r="M50" s="34" t="s">
        <v>82</v>
      </c>
      <c r="T50" s="38"/>
    </row>
    <row r="51" customFormat="false" ht="15" hidden="false" customHeight="false" outlineLevel="0" collapsed="false">
      <c r="A51" s="0" t="s">
        <v>193</v>
      </c>
      <c r="B51" s="0" t="s">
        <v>194</v>
      </c>
      <c r="C51" s="34" t="s">
        <v>52</v>
      </c>
      <c r="D51" s="34" t="s">
        <v>62</v>
      </c>
      <c r="E51" s="34" t="s">
        <v>45</v>
      </c>
      <c r="F51" s="33" t="n">
        <v>176030</v>
      </c>
      <c r="G51" s="34" t="s">
        <v>49</v>
      </c>
      <c r="H51" s="34" t="s">
        <v>54</v>
      </c>
      <c r="I51" s="33" t="n">
        <v>6750</v>
      </c>
      <c r="J51" s="34" t="s">
        <v>80</v>
      </c>
      <c r="K51" s="34" t="s">
        <v>56</v>
      </c>
      <c r="L51" s="34" t="s">
        <v>96</v>
      </c>
      <c r="M51" s="34" t="s">
        <v>97</v>
      </c>
      <c r="T51" s="38"/>
    </row>
    <row r="52" customFormat="false" ht="15" hidden="false" customHeight="false" outlineLevel="0" collapsed="false">
      <c r="A52" s="0" t="s">
        <v>195</v>
      </c>
      <c r="B52" s="0" t="s">
        <v>196</v>
      </c>
      <c r="C52" s="34" t="s">
        <v>52</v>
      </c>
      <c r="D52" s="34" t="s">
        <v>59</v>
      </c>
      <c r="E52" s="34" t="s">
        <v>45</v>
      </c>
      <c r="F52" s="33" t="n">
        <v>176280</v>
      </c>
      <c r="G52" s="34" t="s">
        <v>55</v>
      </c>
      <c r="H52" s="34" t="s">
        <v>54</v>
      </c>
      <c r="I52" s="33" t="n">
        <v>9000</v>
      </c>
      <c r="J52" s="34" t="s">
        <v>80</v>
      </c>
      <c r="K52" s="34" t="s">
        <v>56</v>
      </c>
      <c r="L52" s="34" t="s">
        <v>81</v>
      </c>
      <c r="M52" s="34" t="s">
        <v>82</v>
      </c>
      <c r="T52" s="38"/>
    </row>
    <row r="53" customFormat="false" ht="15" hidden="false" customHeight="false" outlineLevel="0" collapsed="false">
      <c r="A53" s="0" t="s">
        <v>197</v>
      </c>
      <c r="B53" s="0" t="s">
        <v>198</v>
      </c>
      <c r="C53" s="34" t="s">
        <v>52</v>
      </c>
      <c r="D53" s="34" t="s">
        <v>63</v>
      </c>
      <c r="E53" s="34" t="s">
        <v>61</v>
      </c>
      <c r="F53" s="33" t="n">
        <v>181752</v>
      </c>
      <c r="G53" s="34" t="s">
        <v>49</v>
      </c>
      <c r="H53" s="34" t="s">
        <v>54</v>
      </c>
      <c r="I53" s="33" t="n">
        <v>6750</v>
      </c>
      <c r="J53" s="34" t="s">
        <v>80</v>
      </c>
      <c r="K53" s="34" t="s">
        <v>60</v>
      </c>
      <c r="L53" s="34" t="s">
        <v>116</v>
      </c>
      <c r="M53" s="34" t="s">
        <v>117</v>
      </c>
      <c r="T53" s="38"/>
    </row>
    <row r="54" customFormat="false" ht="15" hidden="false" customHeight="false" outlineLevel="0" collapsed="false">
      <c r="A54" s="0" t="s">
        <v>199</v>
      </c>
      <c r="B54" s="0" t="s">
        <v>200</v>
      </c>
      <c r="C54" s="34" t="s">
        <v>52</v>
      </c>
      <c r="D54" s="34" t="s">
        <v>63</v>
      </c>
      <c r="E54" s="34" t="s">
        <v>45</v>
      </c>
      <c r="F54" s="33" t="n">
        <v>177781</v>
      </c>
      <c r="G54" s="34" t="s">
        <v>49</v>
      </c>
      <c r="H54" s="34" t="s">
        <v>54</v>
      </c>
      <c r="I54" s="33" t="n">
        <v>6750</v>
      </c>
      <c r="J54" s="34" t="s">
        <v>80</v>
      </c>
      <c r="K54" s="34" t="s">
        <v>56</v>
      </c>
      <c r="L54" s="34" t="s">
        <v>116</v>
      </c>
      <c r="M54" s="34" t="s">
        <v>117</v>
      </c>
      <c r="T54" s="38"/>
    </row>
    <row r="55" customFormat="false" ht="15" hidden="false" customHeight="false" outlineLevel="0" collapsed="false">
      <c r="A55" s="0" t="s">
        <v>201</v>
      </c>
      <c r="B55" s="0" t="s">
        <v>202</v>
      </c>
      <c r="C55" s="34" t="s">
        <v>52</v>
      </c>
      <c r="D55" s="34" t="s">
        <v>59</v>
      </c>
      <c r="E55" s="34" t="s">
        <v>61</v>
      </c>
      <c r="F55" s="33" t="n">
        <v>182212</v>
      </c>
      <c r="G55" s="34" t="s">
        <v>55</v>
      </c>
      <c r="H55" s="34" t="s">
        <v>54</v>
      </c>
      <c r="I55" s="33" t="n">
        <v>9000</v>
      </c>
      <c r="J55" s="34" t="s">
        <v>80</v>
      </c>
      <c r="K55" s="34" t="s">
        <v>60</v>
      </c>
      <c r="L55" s="34" t="s">
        <v>81</v>
      </c>
      <c r="M55" s="34" t="s">
        <v>82</v>
      </c>
      <c r="T55" s="38"/>
    </row>
    <row r="56" customFormat="false" ht="15" hidden="false" customHeight="false" outlineLevel="0" collapsed="false">
      <c r="A56" s="0" t="s">
        <v>203</v>
      </c>
      <c r="B56" s="0" t="s">
        <v>198</v>
      </c>
      <c r="C56" s="34" t="s">
        <v>52</v>
      </c>
      <c r="D56" s="34" t="s">
        <v>63</v>
      </c>
      <c r="E56" s="34" t="s">
        <v>45</v>
      </c>
      <c r="F56" s="33" t="n">
        <v>170281</v>
      </c>
      <c r="G56" s="34" t="s">
        <v>49</v>
      </c>
      <c r="H56" s="34" t="s">
        <v>54</v>
      </c>
      <c r="I56" s="33" t="n">
        <v>6750</v>
      </c>
      <c r="J56" s="34" t="s">
        <v>80</v>
      </c>
      <c r="K56" s="34" t="s">
        <v>56</v>
      </c>
      <c r="L56" s="34" t="s">
        <v>116</v>
      </c>
      <c r="M56" s="34" t="s">
        <v>117</v>
      </c>
      <c r="T56" s="38"/>
    </row>
    <row r="57" customFormat="false" ht="15" hidden="false" customHeight="false" outlineLevel="0" collapsed="false">
      <c r="A57" s="0" t="s">
        <v>204</v>
      </c>
      <c r="B57" s="0" t="s">
        <v>205</v>
      </c>
      <c r="C57" s="34" t="s">
        <v>52</v>
      </c>
      <c r="D57" s="34" t="s">
        <v>62</v>
      </c>
      <c r="E57" s="34" t="s">
        <v>61</v>
      </c>
      <c r="F57" s="33" t="n">
        <v>170304</v>
      </c>
      <c r="G57" s="34" t="s">
        <v>55</v>
      </c>
      <c r="H57" s="34" t="s">
        <v>54</v>
      </c>
      <c r="I57" s="33" t="n">
        <v>9000</v>
      </c>
      <c r="J57" s="34" t="s">
        <v>80</v>
      </c>
      <c r="K57" s="34" t="s">
        <v>56</v>
      </c>
      <c r="L57" s="34" t="s">
        <v>96</v>
      </c>
      <c r="M57" s="34" t="s">
        <v>97</v>
      </c>
      <c r="T57" s="38"/>
    </row>
    <row r="58" customFormat="false" ht="15" hidden="false" customHeight="false" outlineLevel="0" collapsed="false">
      <c r="A58" s="0" t="s">
        <v>206</v>
      </c>
      <c r="B58" s="0" t="s">
        <v>207</v>
      </c>
      <c r="C58" s="34" t="s">
        <v>52</v>
      </c>
      <c r="D58" s="34" t="s">
        <v>53</v>
      </c>
      <c r="E58" s="34" t="s">
        <v>45</v>
      </c>
      <c r="F58" s="33" t="n">
        <v>123204</v>
      </c>
      <c r="G58" s="34" t="s">
        <v>49</v>
      </c>
      <c r="H58" s="34" t="s">
        <v>54</v>
      </c>
      <c r="I58" s="33" t="n">
        <v>6750</v>
      </c>
      <c r="J58" s="34" t="s">
        <v>80</v>
      </c>
      <c r="K58" s="34" t="s">
        <v>50</v>
      </c>
      <c r="L58" s="34" t="s">
        <v>110</v>
      </c>
      <c r="M58" s="34" t="s">
        <v>111</v>
      </c>
      <c r="T58" s="38"/>
    </row>
    <row r="59" customFormat="false" ht="15" hidden="false" customHeight="false" outlineLevel="0" collapsed="false">
      <c r="A59" s="0" t="s">
        <v>208</v>
      </c>
      <c r="B59" s="0" t="s">
        <v>209</v>
      </c>
      <c r="C59" s="34" t="s">
        <v>52</v>
      </c>
      <c r="D59" s="34" t="s">
        <v>53</v>
      </c>
      <c r="E59" s="34" t="s">
        <v>57</v>
      </c>
      <c r="F59" s="33" t="n">
        <v>171351</v>
      </c>
      <c r="G59" s="34" t="s">
        <v>49</v>
      </c>
      <c r="H59" s="34" t="s">
        <v>54</v>
      </c>
      <c r="I59" s="33" t="n">
        <v>6750</v>
      </c>
      <c r="J59" s="34" t="s">
        <v>80</v>
      </c>
      <c r="K59" s="34" t="s">
        <v>56</v>
      </c>
      <c r="L59" s="34" t="s">
        <v>110</v>
      </c>
      <c r="M59" s="34" t="s">
        <v>111</v>
      </c>
      <c r="T59" s="38"/>
    </row>
    <row r="60" customFormat="false" ht="15" hidden="false" customHeight="false" outlineLevel="0" collapsed="false">
      <c r="A60" s="0" t="s">
        <v>210</v>
      </c>
      <c r="B60" s="0" t="s">
        <v>211</v>
      </c>
      <c r="C60" s="34" t="s">
        <v>52</v>
      </c>
      <c r="D60" s="34" t="s">
        <v>63</v>
      </c>
      <c r="E60" s="34" t="s">
        <v>61</v>
      </c>
      <c r="F60" s="33" t="n">
        <v>182312</v>
      </c>
      <c r="G60" s="34" t="s">
        <v>49</v>
      </c>
      <c r="H60" s="34" t="s">
        <v>54</v>
      </c>
      <c r="I60" s="33" t="n">
        <v>6750</v>
      </c>
      <c r="J60" s="34" t="s">
        <v>80</v>
      </c>
      <c r="K60" s="34" t="s">
        <v>60</v>
      </c>
      <c r="L60" s="34" t="s">
        <v>116</v>
      </c>
      <c r="M60" s="34" t="s">
        <v>117</v>
      </c>
      <c r="T60" s="38"/>
    </row>
    <row r="61" customFormat="false" ht="15" hidden="false" customHeight="false" outlineLevel="0" collapsed="false">
      <c r="A61" s="0" t="s">
        <v>212</v>
      </c>
      <c r="B61" s="0" t="s">
        <v>213</v>
      </c>
      <c r="C61" s="34" t="s">
        <v>52</v>
      </c>
      <c r="D61" s="34" t="s">
        <v>47</v>
      </c>
      <c r="E61" s="34" t="s">
        <v>45</v>
      </c>
      <c r="F61" s="33" t="n">
        <v>182728</v>
      </c>
      <c r="G61" s="34" t="s">
        <v>49</v>
      </c>
      <c r="H61" s="34" t="s">
        <v>54</v>
      </c>
      <c r="I61" s="33" t="n">
        <v>6750</v>
      </c>
      <c r="J61" s="34" t="s">
        <v>80</v>
      </c>
      <c r="K61" s="34" t="s">
        <v>60</v>
      </c>
      <c r="L61" s="34" t="s">
        <v>102</v>
      </c>
      <c r="M61" s="34" t="s">
        <v>103</v>
      </c>
      <c r="T61" s="38"/>
    </row>
    <row r="62" customFormat="false" ht="15" hidden="false" customHeight="false" outlineLevel="0" collapsed="false">
      <c r="A62" s="0" t="s">
        <v>214</v>
      </c>
      <c r="B62" s="0" t="s">
        <v>215</v>
      </c>
      <c r="C62" s="34" t="s">
        <v>52</v>
      </c>
      <c r="D62" s="34" t="s">
        <v>62</v>
      </c>
      <c r="E62" s="34" t="s">
        <v>45</v>
      </c>
      <c r="F62" s="33" t="n">
        <v>193373</v>
      </c>
      <c r="G62" s="34" t="s">
        <v>49</v>
      </c>
      <c r="H62" s="34" t="s">
        <v>54</v>
      </c>
      <c r="I62" s="33" t="n">
        <v>6750</v>
      </c>
      <c r="J62" s="34" t="s">
        <v>80</v>
      </c>
      <c r="K62" s="34" t="s">
        <v>60</v>
      </c>
      <c r="L62" s="34" t="s">
        <v>96</v>
      </c>
      <c r="M62" s="34" t="s">
        <v>97</v>
      </c>
      <c r="T62" s="38"/>
    </row>
    <row r="63" customFormat="false" ht="15" hidden="false" customHeight="false" outlineLevel="0" collapsed="false">
      <c r="A63" s="0" t="s">
        <v>216</v>
      </c>
      <c r="B63" s="0" t="s">
        <v>217</v>
      </c>
      <c r="C63" s="34" t="s">
        <v>52</v>
      </c>
      <c r="D63" s="34" t="s">
        <v>59</v>
      </c>
      <c r="E63" s="34" t="s">
        <v>57</v>
      </c>
      <c r="F63" s="33" t="n">
        <v>193663</v>
      </c>
      <c r="G63" s="34" t="s">
        <v>49</v>
      </c>
      <c r="H63" s="34" t="s">
        <v>54</v>
      </c>
      <c r="I63" s="33" t="n">
        <v>6750</v>
      </c>
      <c r="J63" s="34" t="s">
        <v>80</v>
      </c>
      <c r="K63" s="34" t="s">
        <v>60</v>
      </c>
      <c r="L63" s="34" t="s">
        <v>81</v>
      </c>
      <c r="M63" s="34" t="s">
        <v>82</v>
      </c>
      <c r="T63" s="38"/>
    </row>
    <row r="64" customFormat="false" ht="15" hidden="false" customHeight="false" outlineLevel="0" collapsed="false">
      <c r="A64" s="0" t="s">
        <v>218</v>
      </c>
      <c r="B64" s="0" t="s">
        <v>219</v>
      </c>
      <c r="C64" s="34" t="s">
        <v>52</v>
      </c>
      <c r="D64" s="34" t="s">
        <v>47</v>
      </c>
      <c r="E64" s="34" t="s">
        <v>61</v>
      </c>
      <c r="F64" s="33" t="n">
        <v>193715</v>
      </c>
      <c r="G64" s="34" t="s">
        <v>49</v>
      </c>
      <c r="H64" s="34" t="s">
        <v>54</v>
      </c>
      <c r="I64" s="33" t="n">
        <v>6750</v>
      </c>
      <c r="J64" s="34" t="s">
        <v>80</v>
      </c>
      <c r="K64" s="34" t="s">
        <v>60</v>
      </c>
      <c r="L64" s="34" t="s">
        <v>102</v>
      </c>
      <c r="M64" s="34" t="s">
        <v>103</v>
      </c>
      <c r="T64" s="38"/>
    </row>
    <row r="65" customFormat="false" ht="15" hidden="false" customHeight="false" outlineLevel="0" collapsed="false">
      <c r="A65" s="0" t="s">
        <v>220</v>
      </c>
      <c r="B65" s="0" t="s">
        <v>221</v>
      </c>
      <c r="C65" s="34" t="s">
        <v>52</v>
      </c>
      <c r="D65" s="34" t="s">
        <v>63</v>
      </c>
      <c r="E65" s="34" t="s">
        <v>45</v>
      </c>
      <c r="F65" s="33" t="n">
        <v>195945</v>
      </c>
      <c r="G65" s="34" t="s">
        <v>55</v>
      </c>
      <c r="H65" s="34" t="s">
        <v>54</v>
      </c>
      <c r="I65" s="33" t="n">
        <v>9000</v>
      </c>
      <c r="J65" s="34" t="s">
        <v>80</v>
      </c>
      <c r="K65" s="34" t="s">
        <v>60</v>
      </c>
      <c r="L65" s="34" t="s">
        <v>116</v>
      </c>
      <c r="M65" s="34" t="s">
        <v>117</v>
      </c>
      <c r="T65" s="38"/>
    </row>
    <row r="66" customFormat="false" ht="15" hidden="false" customHeight="false" outlineLevel="0" collapsed="false">
      <c r="A66" s="0" t="s">
        <v>222</v>
      </c>
      <c r="B66" s="0" t="s">
        <v>221</v>
      </c>
      <c r="C66" s="34" t="s">
        <v>52</v>
      </c>
      <c r="D66" s="34" t="s">
        <v>62</v>
      </c>
      <c r="E66" s="34" t="s">
        <v>45</v>
      </c>
      <c r="F66" s="33" t="n">
        <v>197346</v>
      </c>
      <c r="G66" s="34" t="s">
        <v>49</v>
      </c>
      <c r="H66" s="34" t="s">
        <v>54</v>
      </c>
      <c r="I66" s="33" t="n">
        <v>6750</v>
      </c>
      <c r="J66" s="34" t="s">
        <v>80</v>
      </c>
      <c r="K66" s="34" t="s">
        <v>60</v>
      </c>
      <c r="L66" s="34" t="s">
        <v>96</v>
      </c>
      <c r="M66" s="34" t="s">
        <v>97</v>
      </c>
      <c r="T66" s="38"/>
    </row>
    <row r="67" customFormat="false" ht="15" hidden="false" customHeight="false" outlineLevel="0" collapsed="false">
      <c r="A67" s="0" t="s">
        <v>223</v>
      </c>
      <c r="B67" s="0" t="s">
        <v>224</v>
      </c>
      <c r="C67" s="34" t="s">
        <v>52</v>
      </c>
      <c r="D67" s="34" t="s">
        <v>59</v>
      </c>
      <c r="E67" s="34" t="s">
        <v>51</v>
      </c>
      <c r="F67" s="33" t="n">
        <v>199198</v>
      </c>
      <c r="G67" s="34" t="s">
        <v>55</v>
      </c>
      <c r="H67" s="34" t="s">
        <v>54</v>
      </c>
      <c r="I67" s="33" t="n">
        <v>9000</v>
      </c>
      <c r="J67" s="34" t="s">
        <v>80</v>
      </c>
      <c r="K67" s="34" t="s">
        <v>60</v>
      </c>
      <c r="L67" s="34" t="s">
        <v>81</v>
      </c>
      <c r="M67" s="34" t="s">
        <v>82</v>
      </c>
      <c r="T67" s="38"/>
    </row>
    <row r="68" customFormat="false" ht="15" hidden="false" customHeight="false" outlineLevel="0" collapsed="false">
      <c r="A68" s="0" t="s">
        <v>225</v>
      </c>
      <c r="B68" s="0" t="s">
        <v>226</v>
      </c>
      <c r="C68" s="34" t="s">
        <v>52</v>
      </c>
      <c r="D68" s="34" t="s">
        <v>62</v>
      </c>
      <c r="E68" s="34" t="s">
        <v>51</v>
      </c>
      <c r="F68" s="33" t="n">
        <v>199604</v>
      </c>
      <c r="G68" s="34" t="s">
        <v>55</v>
      </c>
      <c r="H68" s="34" t="s">
        <v>54</v>
      </c>
      <c r="I68" s="33" t="n">
        <v>9000</v>
      </c>
      <c r="J68" s="34" t="s">
        <v>80</v>
      </c>
      <c r="K68" s="34" t="s">
        <v>60</v>
      </c>
      <c r="L68" s="34" t="s">
        <v>96</v>
      </c>
      <c r="M68" s="34" t="s">
        <v>97</v>
      </c>
      <c r="T68" s="38"/>
    </row>
    <row r="69" customFormat="false" ht="15" hidden="false" customHeight="false" outlineLevel="0" collapsed="false">
      <c r="A69" s="0" t="s">
        <v>227</v>
      </c>
      <c r="B69" s="0" t="s">
        <v>228</v>
      </c>
      <c r="C69" s="34" t="s">
        <v>52</v>
      </c>
      <c r="D69" s="34" t="s">
        <v>47</v>
      </c>
      <c r="E69" s="34" t="s">
        <v>57</v>
      </c>
      <c r="F69" s="33" t="n">
        <v>184221</v>
      </c>
      <c r="G69" s="34" t="s">
        <v>55</v>
      </c>
      <c r="H69" s="34" t="s">
        <v>54</v>
      </c>
      <c r="I69" s="33" t="n">
        <v>9000</v>
      </c>
      <c r="J69" s="34" t="s">
        <v>80</v>
      </c>
      <c r="K69" s="34" t="s">
        <v>60</v>
      </c>
      <c r="L69" s="34" t="s">
        <v>102</v>
      </c>
      <c r="M69" s="34" t="s">
        <v>103</v>
      </c>
      <c r="T69" s="38"/>
    </row>
    <row r="70" customFormat="false" ht="15" hidden="false" customHeight="false" outlineLevel="0" collapsed="false">
      <c r="A70" s="0" t="s">
        <v>229</v>
      </c>
      <c r="B70" s="0" t="s">
        <v>230</v>
      </c>
      <c r="C70" s="34" t="s">
        <v>52</v>
      </c>
      <c r="D70" s="34" t="s">
        <v>63</v>
      </c>
      <c r="E70" s="34" t="s">
        <v>51</v>
      </c>
      <c r="F70" s="33" t="n">
        <v>185777</v>
      </c>
      <c r="G70" s="34" t="s">
        <v>49</v>
      </c>
      <c r="H70" s="34" t="s">
        <v>54</v>
      </c>
      <c r="I70" s="33" t="n">
        <v>6750</v>
      </c>
      <c r="J70" s="34" t="s">
        <v>80</v>
      </c>
      <c r="K70" s="34" t="s">
        <v>60</v>
      </c>
      <c r="L70" s="34" t="s">
        <v>116</v>
      </c>
      <c r="M70" s="34" t="s">
        <v>117</v>
      </c>
      <c r="T70" s="38"/>
    </row>
    <row r="71" customFormat="false" ht="15" hidden="false" customHeight="false" outlineLevel="0" collapsed="false">
      <c r="A71" s="0" t="s">
        <v>231</v>
      </c>
      <c r="B71" s="0" t="s">
        <v>232</v>
      </c>
      <c r="C71" s="34" t="s">
        <v>52</v>
      </c>
      <c r="D71" s="34" t="s">
        <v>63</v>
      </c>
      <c r="E71" s="34" t="s">
        <v>45</v>
      </c>
      <c r="F71" s="33" t="n">
        <v>186175</v>
      </c>
      <c r="G71" s="34" t="s">
        <v>49</v>
      </c>
      <c r="H71" s="34" t="s">
        <v>54</v>
      </c>
      <c r="I71" s="33" t="n">
        <v>6750</v>
      </c>
      <c r="J71" s="34" t="s">
        <v>80</v>
      </c>
      <c r="K71" s="34" t="s">
        <v>60</v>
      </c>
      <c r="L71" s="34" t="s">
        <v>116</v>
      </c>
      <c r="M71" s="34" t="s">
        <v>117</v>
      </c>
      <c r="T71" s="38"/>
    </row>
    <row r="72" customFormat="false" ht="15" hidden="false" customHeight="false" outlineLevel="0" collapsed="false">
      <c r="A72" s="0" t="s">
        <v>233</v>
      </c>
      <c r="B72" s="0" t="s">
        <v>234</v>
      </c>
      <c r="C72" s="34" t="s">
        <v>52</v>
      </c>
      <c r="D72" s="34" t="s">
        <v>47</v>
      </c>
      <c r="E72" s="34" t="s">
        <v>45</v>
      </c>
      <c r="F72" s="33" t="n">
        <v>186950</v>
      </c>
      <c r="G72" s="34" t="s">
        <v>49</v>
      </c>
      <c r="H72" s="34" t="s">
        <v>54</v>
      </c>
      <c r="I72" s="33" t="n">
        <v>6750</v>
      </c>
      <c r="J72" s="34" t="s">
        <v>80</v>
      </c>
      <c r="K72" s="34" t="s">
        <v>60</v>
      </c>
      <c r="L72" s="34" t="s">
        <v>102</v>
      </c>
      <c r="M72" s="34" t="s">
        <v>103</v>
      </c>
      <c r="T72" s="38"/>
    </row>
    <row r="73" customFormat="false" ht="15" hidden="false" customHeight="false" outlineLevel="0" collapsed="false">
      <c r="A73" s="0" t="s">
        <v>235</v>
      </c>
      <c r="B73" s="0" t="s">
        <v>236</v>
      </c>
      <c r="C73" s="34" t="s">
        <v>52</v>
      </c>
      <c r="D73" s="34" t="s">
        <v>59</v>
      </c>
      <c r="E73" s="34" t="s">
        <v>61</v>
      </c>
      <c r="F73" s="33" t="n">
        <v>188186</v>
      </c>
      <c r="G73" s="34" t="s">
        <v>49</v>
      </c>
      <c r="H73" s="34" t="s">
        <v>54</v>
      </c>
      <c r="I73" s="33" t="n">
        <v>6750</v>
      </c>
      <c r="J73" s="34" t="s">
        <v>80</v>
      </c>
      <c r="K73" s="34" t="s">
        <v>60</v>
      </c>
      <c r="L73" s="34" t="s">
        <v>81</v>
      </c>
      <c r="M73" s="34" t="s">
        <v>82</v>
      </c>
      <c r="T73" s="38"/>
    </row>
    <row r="74" customFormat="false" ht="15" hidden="false" customHeight="false" outlineLevel="0" collapsed="false">
      <c r="A74" s="0" t="s">
        <v>237</v>
      </c>
      <c r="B74" s="0" t="s">
        <v>238</v>
      </c>
      <c r="C74" s="34" t="s">
        <v>52</v>
      </c>
      <c r="D74" s="34" t="s">
        <v>53</v>
      </c>
      <c r="E74" s="34" t="s">
        <v>45</v>
      </c>
      <c r="F74" s="33" t="n">
        <v>188212</v>
      </c>
      <c r="G74" s="34" t="s">
        <v>49</v>
      </c>
      <c r="H74" s="34" t="s">
        <v>54</v>
      </c>
      <c r="I74" s="33" t="n">
        <v>6750</v>
      </c>
      <c r="J74" s="34" t="s">
        <v>80</v>
      </c>
      <c r="K74" s="34" t="s">
        <v>60</v>
      </c>
      <c r="L74" s="34" t="s">
        <v>110</v>
      </c>
      <c r="M74" s="34" t="s">
        <v>111</v>
      </c>
      <c r="T74" s="38"/>
    </row>
    <row r="75" customFormat="false" ht="15" hidden="false" customHeight="false" outlineLevel="0" collapsed="false">
      <c r="A75" s="0" t="s">
        <v>239</v>
      </c>
      <c r="B75" s="0" t="s">
        <v>240</v>
      </c>
      <c r="C75" s="34" t="s">
        <v>52</v>
      </c>
      <c r="D75" s="34" t="s">
        <v>59</v>
      </c>
      <c r="E75" s="34" t="s">
        <v>51</v>
      </c>
      <c r="F75" s="33" t="n">
        <v>163249</v>
      </c>
      <c r="G75" s="34" t="s">
        <v>55</v>
      </c>
      <c r="H75" s="34" t="s">
        <v>54</v>
      </c>
      <c r="I75" s="33" t="n">
        <v>9000</v>
      </c>
      <c r="J75" s="34" t="s">
        <v>80</v>
      </c>
      <c r="K75" s="34" t="s">
        <v>56</v>
      </c>
      <c r="L75" s="34" t="s">
        <v>81</v>
      </c>
      <c r="M75" s="34" t="s">
        <v>82</v>
      </c>
      <c r="T75" s="38"/>
    </row>
    <row r="76" customFormat="false" ht="15" hidden="false" customHeight="false" outlineLevel="0" collapsed="false">
      <c r="A76" s="0" t="s">
        <v>241</v>
      </c>
      <c r="B76" s="0" t="s">
        <v>242</v>
      </c>
      <c r="C76" s="34" t="s">
        <v>52</v>
      </c>
      <c r="D76" s="34" t="s">
        <v>63</v>
      </c>
      <c r="E76" s="34" t="s">
        <v>51</v>
      </c>
      <c r="F76" s="33" t="n">
        <v>163243</v>
      </c>
      <c r="G76" s="34" t="s">
        <v>55</v>
      </c>
      <c r="H76" s="34" t="s">
        <v>54</v>
      </c>
      <c r="I76" s="33" t="n">
        <v>9000</v>
      </c>
      <c r="J76" s="34" t="s">
        <v>80</v>
      </c>
      <c r="K76" s="34" t="s">
        <v>56</v>
      </c>
      <c r="L76" s="34" t="s">
        <v>116</v>
      </c>
      <c r="M76" s="34" t="s">
        <v>117</v>
      </c>
      <c r="T76" s="38"/>
    </row>
    <row r="77" customFormat="false" ht="15" hidden="false" customHeight="false" outlineLevel="0" collapsed="false">
      <c r="A77" s="0" t="s">
        <v>243</v>
      </c>
      <c r="B77" s="0" t="s">
        <v>244</v>
      </c>
      <c r="C77" s="34" t="s">
        <v>52</v>
      </c>
      <c r="D77" s="34" t="s">
        <v>47</v>
      </c>
      <c r="E77" s="34" t="s">
        <v>61</v>
      </c>
      <c r="F77" s="33" t="n">
        <v>133960</v>
      </c>
      <c r="G77" s="34" t="s">
        <v>49</v>
      </c>
      <c r="H77" s="34" t="s">
        <v>54</v>
      </c>
      <c r="I77" s="33" t="n">
        <v>6750</v>
      </c>
      <c r="J77" s="34" t="s">
        <v>80</v>
      </c>
      <c r="K77" s="34" t="s">
        <v>56</v>
      </c>
      <c r="L77" s="34" t="s">
        <v>102</v>
      </c>
      <c r="M77" s="34" t="s">
        <v>103</v>
      </c>
      <c r="T77" s="38"/>
    </row>
    <row r="78" customFormat="false" ht="15" hidden="false" customHeight="false" outlineLevel="0" collapsed="false">
      <c r="A78" s="0" t="s">
        <v>245</v>
      </c>
      <c r="B78" s="0" t="s">
        <v>246</v>
      </c>
      <c r="C78" s="34" t="s">
        <v>52</v>
      </c>
      <c r="D78" s="34" t="s">
        <v>63</v>
      </c>
      <c r="E78" s="34" t="s">
        <v>57</v>
      </c>
      <c r="F78" s="33" t="n">
        <v>135659</v>
      </c>
      <c r="G78" s="34" t="s">
        <v>55</v>
      </c>
      <c r="H78" s="34" t="s">
        <v>54</v>
      </c>
      <c r="I78" s="33" t="n">
        <v>9000</v>
      </c>
      <c r="J78" s="34" t="s">
        <v>80</v>
      </c>
      <c r="K78" s="34" t="s">
        <v>56</v>
      </c>
      <c r="L78" s="34" t="s">
        <v>116</v>
      </c>
      <c r="M78" s="34" t="s">
        <v>117</v>
      </c>
      <c r="T78" s="38"/>
    </row>
    <row r="79" customFormat="false" ht="15" hidden="false" customHeight="false" outlineLevel="0" collapsed="false">
      <c r="A79" s="0" t="s">
        <v>247</v>
      </c>
      <c r="B79" s="0" t="s">
        <v>205</v>
      </c>
      <c r="C79" s="34" t="s">
        <v>52</v>
      </c>
      <c r="D79" s="34" t="s">
        <v>53</v>
      </c>
      <c r="E79" s="34" t="s">
        <v>51</v>
      </c>
      <c r="F79" s="33" t="n">
        <v>139213</v>
      </c>
      <c r="G79" s="34" t="s">
        <v>49</v>
      </c>
      <c r="H79" s="34" t="s">
        <v>54</v>
      </c>
      <c r="I79" s="33" t="n">
        <v>6750</v>
      </c>
      <c r="J79" s="34" t="s">
        <v>80</v>
      </c>
      <c r="K79" s="34" t="s">
        <v>56</v>
      </c>
      <c r="L79" s="34" t="s">
        <v>110</v>
      </c>
      <c r="M79" s="34" t="s">
        <v>111</v>
      </c>
      <c r="T79" s="38"/>
    </row>
    <row r="80" customFormat="false" ht="15" hidden="false" customHeight="false" outlineLevel="0" collapsed="false">
      <c r="A80" s="0" t="s">
        <v>248</v>
      </c>
      <c r="B80" s="0" t="s">
        <v>249</v>
      </c>
      <c r="C80" s="34" t="s">
        <v>52</v>
      </c>
      <c r="D80" s="34" t="s">
        <v>53</v>
      </c>
      <c r="E80" s="34" t="s">
        <v>61</v>
      </c>
      <c r="F80" s="33" t="n">
        <v>139426</v>
      </c>
      <c r="G80" s="34" t="s">
        <v>55</v>
      </c>
      <c r="H80" s="34" t="s">
        <v>54</v>
      </c>
      <c r="I80" s="33" t="n">
        <v>9000</v>
      </c>
      <c r="J80" s="34" t="s">
        <v>80</v>
      </c>
      <c r="K80" s="34" t="s">
        <v>56</v>
      </c>
      <c r="L80" s="34" t="s">
        <v>110</v>
      </c>
      <c r="M80" s="34" t="s">
        <v>111</v>
      </c>
      <c r="T80" s="38"/>
    </row>
    <row r="81" customFormat="false" ht="15" hidden="false" customHeight="false" outlineLevel="0" collapsed="false">
      <c r="A81" s="0" t="s">
        <v>250</v>
      </c>
      <c r="B81" s="0" t="s">
        <v>251</v>
      </c>
      <c r="C81" s="34" t="s">
        <v>52</v>
      </c>
      <c r="D81" s="34" t="s">
        <v>47</v>
      </c>
      <c r="E81" s="34" t="s">
        <v>57</v>
      </c>
      <c r="F81" s="33" t="n">
        <v>132239</v>
      </c>
      <c r="G81" s="34" t="s">
        <v>49</v>
      </c>
      <c r="H81" s="34" t="s">
        <v>54</v>
      </c>
      <c r="I81" s="33" t="n">
        <v>6750</v>
      </c>
      <c r="J81" s="34" t="s">
        <v>80</v>
      </c>
      <c r="K81" s="34" t="s">
        <v>56</v>
      </c>
      <c r="L81" s="34" t="s">
        <v>102</v>
      </c>
      <c r="M81" s="34" t="s">
        <v>103</v>
      </c>
      <c r="T81" s="38"/>
    </row>
    <row r="82" customFormat="false" ht="15" hidden="false" customHeight="false" outlineLevel="0" collapsed="false">
      <c r="A82" s="0" t="s">
        <v>252</v>
      </c>
      <c r="B82" s="0" t="s">
        <v>253</v>
      </c>
      <c r="C82" s="34" t="s">
        <v>52</v>
      </c>
      <c r="D82" s="34" t="s">
        <v>59</v>
      </c>
      <c r="E82" s="34" t="s">
        <v>57</v>
      </c>
      <c r="F82" s="33" t="n">
        <v>124576</v>
      </c>
      <c r="G82" s="34" t="s">
        <v>55</v>
      </c>
      <c r="H82" s="34" t="s">
        <v>54</v>
      </c>
      <c r="I82" s="33" t="n">
        <v>9000</v>
      </c>
      <c r="J82" s="34" t="s">
        <v>80</v>
      </c>
      <c r="K82" s="34" t="s">
        <v>50</v>
      </c>
      <c r="L82" s="34" t="s">
        <v>81</v>
      </c>
      <c r="M82" s="34" t="s">
        <v>82</v>
      </c>
      <c r="T82" s="38"/>
    </row>
    <row r="83" customFormat="false" ht="15" hidden="false" customHeight="false" outlineLevel="0" collapsed="false">
      <c r="A83" s="0" t="s">
        <v>254</v>
      </c>
      <c r="B83" s="0" t="s">
        <v>255</v>
      </c>
      <c r="C83" s="34" t="s">
        <v>52</v>
      </c>
      <c r="D83" s="34" t="s">
        <v>62</v>
      </c>
      <c r="E83" s="34" t="s">
        <v>45</v>
      </c>
      <c r="F83" s="33" t="n">
        <v>126485</v>
      </c>
      <c r="G83" s="34" t="s">
        <v>55</v>
      </c>
      <c r="H83" s="34" t="s">
        <v>54</v>
      </c>
      <c r="I83" s="33" t="n">
        <v>9000</v>
      </c>
      <c r="J83" s="34" t="s">
        <v>80</v>
      </c>
      <c r="K83" s="34" t="s">
        <v>50</v>
      </c>
      <c r="L83" s="34" t="s">
        <v>96</v>
      </c>
      <c r="M83" s="34" t="s">
        <v>97</v>
      </c>
      <c r="T83" s="38"/>
    </row>
    <row r="84" customFormat="false" ht="15" hidden="false" customHeight="false" outlineLevel="0" collapsed="false">
      <c r="A84" s="0" t="s">
        <v>256</v>
      </c>
      <c r="B84" s="0" t="s">
        <v>257</v>
      </c>
      <c r="C84" s="34" t="s">
        <v>52</v>
      </c>
      <c r="D84" s="34" t="s">
        <v>63</v>
      </c>
      <c r="E84" s="34" t="s">
        <v>61</v>
      </c>
      <c r="F84" s="33" t="n">
        <v>128447</v>
      </c>
      <c r="G84" s="34" t="s">
        <v>55</v>
      </c>
      <c r="H84" s="34" t="s">
        <v>54</v>
      </c>
      <c r="I84" s="33" t="n">
        <v>9000</v>
      </c>
      <c r="J84" s="34" t="s">
        <v>80</v>
      </c>
      <c r="K84" s="34" t="s">
        <v>50</v>
      </c>
      <c r="L84" s="34" t="s">
        <v>116</v>
      </c>
      <c r="M84" s="34" t="s">
        <v>117</v>
      </c>
      <c r="T84" s="38"/>
    </row>
    <row r="85" customFormat="false" ht="15" hidden="false" customHeight="false" outlineLevel="0" collapsed="false">
      <c r="A85" s="0" t="s">
        <v>258</v>
      </c>
      <c r="B85" s="0" t="s">
        <v>259</v>
      </c>
      <c r="C85" s="34" t="s">
        <v>52</v>
      </c>
      <c r="D85" s="34" t="s">
        <v>63</v>
      </c>
      <c r="E85" s="34" t="s">
        <v>45</v>
      </c>
      <c r="F85" s="33" t="n">
        <v>130087</v>
      </c>
      <c r="G85" s="34" t="s">
        <v>49</v>
      </c>
      <c r="H85" s="34" t="s">
        <v>54</v>
      </c>
      <c r="I85" s="33" t="n">
        <v>6750</v>
      </c>
      <c r="J85" s="34" t="s">
        <v>80</v>
      </c>
      <c r="K85" s="34" t="s">
        <v>56</v>
      </c>
      <c r="L85" s="34" t="s">
        <v>116</v>
      </c>
      <c r="M85" s="34" t="s">
        <v>117</v>
      </c>
      <c r="T85" s="38"/>
    </row>
    <row r="86" customFormat="false" ht="15" hidden="false" customHeight="false" outlineLevel="0" collapsed="false">
      <c r="A86" s="0" t="s">
        <v>260</v>
      </c>
      <c r="B86" s="0" t="s">
        <v>261</v>
      </c>
      <c r="C86" s="34" t="s">
        <v>52</v>
      </c>
      <c r="D86" s="34" t="s">
        <v>47</v>
      </c>
      <c r="E86" s="34" t="s">
        <v>61</v>
      </c>
      <c r="F86" s="33" t="n">
        <v>142148</v>
      </c>
      <c r="G86" s="34" t="s">
        <v>49</v>
      </c>
      <c r="H86" s="34" t="s">
        <v>54</v>
      </c>
      <c r="I86" s="33" t="n">
        <v>6750</v>
      </c>
      <c r="J86" s="34" t="s">
        <v>80</v>
      </c>
      <c r="K86" s="34" t="s">
        <v>56</v>
      </c>
      <c r="L86" s="34" t="s">
        <v>102</v>
      </c>
      <c r="M86" s="34" t="s">
        <v>103</v>
      </c>
      <c r="T86" s="38"/>
    </row>
    <row r="87" customFormat="false" ht="15" hidden="false" customHeight="false" outlineLevel="0" collapsed="false">
      <c r="A87" s="0" t="s">
        <v>262</v>
      </c>
      <c r="B87" s="0" t="s">
        <v>263</v>
      </c>
      <c r="C87" s="34" t="s">
        <v>52</v>
      </c>
      <c r="D87" s="34" t="s">
        <v>63</v>
      </c>
      <c r="E87" s="34" t="s">
        <v>61</v>
      </c>
      <c r="F87" s="33" t="n">
        <v>151606</v>
      </c>
      <c r="G87" s="34" t="s">
        <v>49</v>
      </c>
      <c r="H87" s="34" t="s">
        <v>54</v>
      </c>
      <c r="I87" s="33" t="n">
        <v>6750</v>
      </c>
      <c r="J87" s="34" t="s">
        <v>80</v>
      </c>
      <c r="K87" s="34" t="s">
        <v>56</v>
      </c>
      <c r="L87" s="34" t="s">
        <v>116</v>
      </c>
      <c r="M87" s="34" t="s">
        <v>117</v>
      </c>
      <c r="T87" s="38"/>
    </row>
    <row r="88" customFormat="false" ht="15" hidden="false" customHeight="false" outlineLevel="0" collapsed="false">
      <c r="A88" s="0" t="s">
        <v>264</v>
      </c>
      <c r="B88" s="0" t="s">
        <v>265</v>
      </c>
      <c r="C88" s="34" t="s">
        <v>52</v>
      </c>
      <c r="D88" s="34" t="s">
        <v>62</v>
      </c>
      <c r="E88" s="34" t="s">
        <v>57</v>
      </c>
      <c r="F88" s="33" t="n">
        <v>155713</v>
      </c>
      <c r="G88" s="34" t="s">
        <v>55</v>
      </c>
      <c r="H88" s="34" t="s">
        <v>54</v>
      </c>
      <c r="I88" s="33" t="n">
        <v>9000</v>
      </c>
      <c r="J88" s="34" t="s">
        <v>80</v>
      </c>
      <c r="K88" s="34" t="s">
        <v>56</v>
      </c>
      <c r="L88" s="34" t="s">
        <v>96</v>
      </c>
      <c r="M88" s="34" t="s">
        <v>97</v>
      </c>
      <c r="T88" s="38"/>
    </row>
    <row r="89" customFormat="false" ht="15" hidden="false" customHeight="false" outlineLevel="0" collapsed="false">
      <c r="A89" s="0" t="s">
        <v>266</v>
      </c>
      <c r="B89" s="0" t="s">
        <v>267</v>
      </c>
      <c r="C89" s="34" t="s">
        <v>52</v>
      </c>
      <c r="D89" s="34" t="s">
        <v>59</v>
      </c>
      <c r="E89" s="34" t="s">
        <v>61</v>
      </c>
      <c r="F89" s="33" t="n">
        <v>155792</v>
      </c>
      <c r="G89" s="34" t="s">
        <v>49</v>
      </c>
      <c r="H89" s="34" t="s">
        <v>54</v>
      </c>
      <c r="I89" s="33" t="n">
        <v>6750</v>
      </c>
      <c r="J89" s="34" t="s">
        <v>80</v>
      </c>
      <c r="K89" s="34" t="s">
        <v>56</v>
      </c>
      <c r="L89" s="34" t="s">
        <v>81</v>
      </c>
      <c r="M89" s="34" t="s">
        <v>82</v>
      </c>
      <c r="T89" s="38"/>
    </row>
    <row r="90" customFormat="false" ht="15" hidden="false" customHeight="false" outlineLevel="0" collapsed="false">
      <c r="A90" s="0" t="s">
        <v>268</v>
      </c>
      <c r="B90" s="0" t="s">
        <v>269</v>
      </c>
      <c r="C90" s="34" t="s">
        <v>52</v>
      </c>
      <c r="D90" s="34" t="s">
        <v>63</v>
      </c>
      <c r="E90" s="34" t="s">
        <v>61</v>
      </c>
      <c r="F90" s="33" t="n">
        <v>141957</v>
      </c>
      <c r="G90" s="34" t="s">
        <v>49</v>
      </c>
      <c r="H90" s="34" t="s">
        <v>54</v>
      </c>
      <c r="I90" s="33" t="n">
        <v>6750</v>
      </c>
      <c r="J90" s="34" t="s">
        <v>80</v>
      </c>
      <c r="K90" s="34" t="s">
        <v>56</v>
      </c>
      <c r="L90" s="34" t="s">
        <v>116</v>
      </c>
      <c r="M90" s="34" t="s">
        <v>117</v>
      </c>
      <c r="T90" s="38"/>
    </row>
    <row r="91" customFormat="false" ht="15" hidden="false" customHeight="false" outlineLevel="0" collapsed="false">
      <c r="A91" s="0" t="s">
        <v>270</v>
      </c>
      <c r="B91" s="0" t="s">
        <v>271</v>
      </c>
      <c r="C91" s="34" t="s">
        <v>52</v>
      </c>
      <c r="D91" s="34" t="s">
        <v>59</v>
      </c>
      <c r="E91" s="34" t="s">
        <v>51</v>
      </c>
      <c r="F91" s="33" t="n">
        <v>161826</v>
      </c>
      <c r="G91" s="34" t="s">
        <v>49</v>
      </c>
      <c r="H91" s="34" t="s">
        <v>54</v>
      </c>
      <c r="I91" s="33" t="n">
        <v>6750</v>
      </c>
      <c r="J91" s="34" t="s">
        <v>80</v>
      </c>
      <c r="K91" s="34" t="s">
        <v>56</v>
      </c>
      <c r="L91" s="34" t="s">
        <v>81</v>
      </c>
      <c r="M91" s="34" t="s">
        <v>82</v>
      </c>
      <c r="T91" s="38"/>
    </row>
    <row r="92" customFormat="false" ht="15" hidden="false" customHeight="false" outlineLevel="0" collapsed="false">
      <c r="A92" s="0" t="s">
        <v>272</v>
      </c>
      <c r="B92" s="0" t="s">
        <v>273</v>
      </c>
      <c r="C92" s="34" t="s">
        <v>52</v>
      </c>
      <c r="D92" s="34" t="s">
        <v>47</v>
      </c>
      <c r="E92" s="34" t="s">
        <v>61</v>
      </c>
      <c r="F92" s="33" t="n">
        <v>162242</v>
      </c>
      <c r="G92" s="34" t="s">
        <v>55</v>
      </c>
      <c r="H92" s="34" t="s">
        <v>54</v>
      </c>
      <c r="I92" s="33" t="n">
        <v>9000</v>
      </c>
      <c r="J92" s="34" t="s">
        <v>80</v>
      </c>
      <c r="K92" s="34" t="s">
        <v>56</v>
      </c>
      <c r="L92" s="34" t="s">
        <v>102</v>
      </c>
      <c r="M92" s="34" t="s">
        <v>103</v>
      </c>
      <c r="T92" s="38"/>
    </row>
    <row r="93" customFormat="false" ht="15" hidden="false" customHeight="false" outlineLevel="0" collapsed="false">
      <c r="A93" s="0" t="s">
        <v>274</v>
      </c>
      <c r="B93" s="0" t="s">
        <v>275</v>
      </c>
      <c r="C93" s="34" t="s">
        <v>52</v>
      </c>
      <c r="D93" s="34" t="s">
        <v>62</v>
      </c>
      <c r="E93" s="34" t="s">
        <v>57</v>
      </c>
      <c r="F93" s="33" t="n">
        <v>162507</v>
      </c>
      <c r="G93" s="34" t="s">
        <v>49</v>
      </c>
      <c r="H93" s="34" t="s">
        <v>54</v>
      </c>
      <c r="I93" s="33" t="n">
        <v>6750</v>
      </c>
      <c r="J93" s="34" t="s">
        <v>80</v>
      </c>
      <c r="K93" s="34" t="s">
        <v>56</v>
      </c>
      <c r="L93" s="34" t="s">
        <v>96</v>
      </c>
      <c r="M93" s="34" t="s">
        <v>97</v>
      </c>
      <c r="T93" s="38"/>
    </row>
    <row r="94" customFormat="false" ht="15" hidden="false" customHeight="false" outlineLevel="0" collapsed="false">
      <c r="A94" s="0" t="s">
        <v>276</v>
      </c>
      <c r="B94" s="0" t="s">
        <v>277</v>
      </c>
      <c r="C94" s="34" t="s">
        <v>52</v>
      </c>
      <c r="D94" s="34" t="s">
        <v>62</v>
      </c>
      <c r="E94" s="34" t="s">
        <v>61</v>
      </c>
      <c r="F94" s="33" t="n">
        <v>150600</v>
      </c>
      <c r="G94" s="34" t="s">
        <v>49</v>
      </c>
      <c r="H94" s="34" t="s">
        <v>54</v>
      </c>
      <c r="I94" s="33" t="n">
        <v>6750</v>
      </c>
      <c r="J94" s="34" t="s">
        <v>80</v>
      </c>
      <c r="K94" s="34" t="s">
        <v>56</v>
      </c>
      <c r="L94" s="34" t="s">
        <v>96</v>
      </c>
      <c r="M94" s="34" t="s">
        <v>97</v>
      </c>
      <c r="T94" s="38"/>
    </row>
    <row r="95" customFormat="false" ht="15" hidden="false" customHeight="false" outlineLevel="0" collapsed="false">
      <c r="A95" s="0" t="s">
        <v>278</v>
      </c>
      <c r="B95" s="0" t="s">
        <v>279</v>
      </c>
      <c r="C95" s="34" t="s">
        <v>52</v>
      </c>
      <c r="D95" s="34" t="s">
        <v>47</v>
      </c>
      <c r="E95" s="34" t="s">
        <v>61</v>
      </c>
      <c r="F95" s="33" t="n">
        <v>161535</v>
      </c>
      <c r="G95" s="34" t="s">
        <v>55</v>
      </c>
      <c r="H95" s="34" t="s">
        <v>54</v>
      </c>
      <c r="I95" s="33" t="n">
        <v>9000</v>
      </c>
      <c r="J95" s="34" t="s">
        <v>80</v>
      </c>
      <c r="K95" s="34" t="s">
        <v>56</v>
      </c>
      <c r="L95" s="34" t="s">
        <v>102</v>
      </c>
      <c r="M95" s="34" t="s">
        <v>103</v>
      </c>
      <c r="T95" s="38"/>
    </row>
    <row r="96" customFormat="false" ht="15" hidden="false" customHeight="false" outlineLevel="0" collapsed="false">
      <c r="A96" s="0" t="s">
        <v>280</v>
      </c>
      <c r="B96" s="0" t="s">
        <v>281</v>
      </c>
      <c r="C96" s="34" t="s">
        <v>52</v>
      </c>
      <c r="D96" s="34" t="s">
        <v>62</v>
      </c>
      <c r="E96" s="34" t="s">
        <v>57</v>
      </c>
      <c r="F96" s="33" t="n">
        <v>143842</v>
      </c>
      <c r="G96" s="34" t="s">
        <v>49</v>
      </c>
      <c r="H96" s="34" t="s">
        <v>54</v>
      </c>
      <c r="I96" s="33" t="n">
        <v>6750</v>
      </c>
      <c r="J96" s="34" t="s">
        <v>80</v>
      </c>
      <c r="K96" s="34" t="s">
        <v>56</v>
      </c>
      <c r="L96" s="34" t="s">
        <v>96</v>
      </c>
      <c r="M96" s="34" t="s">
        <v>97</v>
      </c>
      <c r="T96" s="38"/>
    </row>
    <row r="97" customFormat="false" ht="15" hidden="false" customHeight="false" outlineLevel="0" collapsed="false">
      <c r="A97" s="0" t="s">
        <v>282</v>
      </c>
      <c r="B97" s="0" t="s">
        <v>283</v>
      </c>
      <c r="C97" s="34" t="s">
        <v>52</v>
      </c>
      <c r="D97" s="34" t="s">
        <v>62</v>
      </c>
      <c r="E97" s="34" t="s">
        <v>61</v>
      </c>
      <c r="F97" s="33" t="n">
        <v>148424</v>
      </c>
      <c r="G97" s="34" t="s">
        <v>55</v>
      </c>
      <c r="H97" s="34" t="s">
        <v>54</v>
      </c>
      <c r="I97" s="33" t="n">
        <v>9000</v>
      </c>
      <c r="J97" s="34" t="s">
        <v>80</v>
      </c>
      <c r="K97" s="34" t="s">
        <v>56</v>
      </c>
      <c r="L97" s="34" t="s">
        <v>96</v>
      </c>
      <c r="M97" s="34" t="s">
        <v>97</v>
      </c>
      <c r="T97" s="38"/>
    </row>
    <row r="98" customFormat="false" ht="15" hidden="false" customHeight="false" outlineLevel="0" collapsed="false">
      <c r="A98" s="0" t="s">
        <v>284</v>
      </c>
      <c r="B98" s="0" t="s">
        <v>285</v>
      </c>
      <c r="C98" s="34" t="s">
        <v>52</v>
      </c>
      <c r="D98" s="34" t="s">
        <v>59</v>
      </c>
      <c r="E98" s="34" t="s">
        <v>51</v>
      </c>
      <c r="F98" s="33" t="n">
        <v>103324</v>
      </c>
      <c r="G98" s="34" t="s">
        <v>43</v>
      </c>
      <c r="H98" s="34" t="s">
        <v>48</v>
      </c>
      <c r="I98" s="33" t="n">
        <v>2800</v>
      </c>
      <c r="J98" s="34" t="s">
        <v>80</v>
      </c>
      <c r="K98" s="34" t="s">
        <v>50</v>
      </c>
      <c r="L98" s="34" t="s">
        <v>81</v>
      </c>
      <c r="M98" s="34" t="s">
        <v>82</v>
      </c>
      <c r="T98" s="38"/>
    </row>
    <row r="99" customFormat="false" ht="15" hidden="false" customHeight="false" outlineLevel="0" collapsed="false">
      <c r="A99" s="0" t="s">
        <v>286</v>
      </c>
      <c r="B99" s="0" t="s">
        <v>287</v>
      </c>
      <c r="C99" s="34" t="s">
        <v>52</v>
      </c>
      <c r="D99" s="34" t="s">
        <v>53</v>
      </c>
      <c r="E99" s="34" t="s">
        <v>57</v>
      </c>
      <c r="F99" s="33" t="n">
        <v>100536</v>
      </c>
      <c r="G99" s="34" t="s">
        <v>49</v>
      </c>
      <c r="H99" s="34" t="s">
        <v>48</v>
      </c>
      <c r="I99" s="33" t="n">
        <v>4200</v>
      </c>
      <c r="J99" s="34" t="s">
        <v>80</v>
      </c>
      <c r="K99" s="34" t="s">
        <v>50</v>
      </c>
      <c r="L99" s="34" t="s">
        <v>110</v>
      </c>
      <c r="M99" s="34" t="s">
        <v>111</v>
      </c>
      <c r="T99" s="38"/>
    </row>
    <row r="100" customFormat="false" ht="15" hidden="false" customHeight="false" outlineLevel="0" collapsed="false">
      <c r="A100" s="0" t="s">
        <v>288</v>
      </c>
      <c r="B100" s="0" t="s">
        <v>289</v>
      </c>
      <c r="C100" s="34" t="s">
        <v>52</v>
      </c>
      <c r="D100" s="34" t="s">
        <v>63</v>
      </c>
      <c r="E100" s="34" t="s">
        <v>61</v>
      </c>
      <c r="F100" s="33" t="n">
        <v>101981</v>
      </c>
      <c r="G100" s="34" t="s">
        <v>43</v>
      </c>
      <c r="H100" s="34" t="s">
        <v>48</v>
      </c>
      <c r="I100" s="33" t="n">
        <v>2800</v>
      </c>
      <c r="J100" s="34" t="s">
        <v>80</v>
      </c>
      <c r="K100" s="34" t="s">
        <v>50</v>
      </c>
      <c r="L100" s="34" t="s">
        <v>116</v>
      </c>
      <c r="M100" s="34" t="s">
        <v>117</v>
      </c>
      <c r="T100" s="38"/>
    </row>
    <row r="101" customFormat="false" ht="15" hidden="false" customHeight="false" outlineLevel="0" collapsed="false">
      <c r="A101" s="0" t="s">
        <v>290</v>
      </c>
      <c r="B101" s="0" t="s">
        <v>291</v>
      </c>
      <c r="C101" s="34" t="s">
        <v>52</v>
      </c>
      <c r="D101" s="34" t="s">
        <v>47</v>
      </c>
      <c r="E101" s="34" t="s">
        <v>45</v>
      </c>
      <c r="F101" s="33" t="n">
        <v>102798</v>
      </c>
      <c r="G101" s="34" t="s">
        <v>49</v>
      </c>
      <c r="H101" s="34" t="s">
        <v>48</v>
      </c>
      <c r="I101" s="33" t="n">
        <v>4200</v>
      </c>
      <c r="J101" s="34" t="s">
        <v>80</v>
      </c>
      <c r="K101" s="34" t="s">
        <v>50</v>
      </c>
      <c r="L101" s="34" t="s">
        <v>102</v>
      </c>
      <c r="M101" s="34" t="s">
        <v>103</v>
      </c>
      <c r="T101" s="38"/>
    </row>
    <row r="102" customFormat="false" ht="15" hidden="false" customHeight="false" outlineLevel="0" collapsed="false">
      <c r="A102" s="0" t="s">
        <v>292</v>
      </c>
      <c r="B102" s="0" t="s">
        <v>293</v>
      </c>
      <c r="C102" s="34" t="s">
        <v>52</v>
      </c>
      <c r="D102" s="34" t="s">
        <v>63</v>
      </c>
      <c r="E102" s="34" t="s">
        <v>45</v>
      </c>
      <c r="F102" s="33" t="n">
        <v>103416</v>
      </c>
      <c r="G102" s="34" t="s">
        <v>43</v>
      </c>
      <c r="H102" s="34" t="s">
        <v>48</v>
      </c>
      <c r="I102" s="33" t="n">
        <v>2800</v>
      </c>
      <c r="J102" s="34" t="s">
        <v>80</v>
      </c>
      <c r="K102" s="34" t="s">
        <v>50</v>
      </c>
      <c r="L102" s="34" t="s">
        <v>116</v>
      </c>
      <c r="M102" s="34" t="s">
        <v>117</v>
      </c>
      <c r="T102" s="38"/>
    </row>
    <row r="103" customFormat="false" ht="15" hidden="false" customHeight="false" outlineLevel="0" collapsed="false">
      <c r="A103" s="0" t="s">
        <v>294</v>
      </c>
      <c r="B103" s="0" t="s">
        <v>295</v>
      </c>
      <c r="C103" s="34" t="s">
        <v>52</v>
      </c>
      <c r="D103" s="34" t="s">
        <v>47</v>
      </c>
      <c r="E103" s="34" t="s">
        <v>45</v>
      </c>
      <c r="F103" s="33" t="n">
        <v>96280</v>
      </c>
      <c r="G103" s="34" t="s">
        <v>43</v>
      </c>
      <c r="H103" s="34" t="s">
        <v>48</v>
      </c>
      <c r="I103" s="33" t="n">
        <v>2800</v>
      </c>
      <c r="J103" s="34" t="s">
        <v>80</v>
      </c>
      <c r="K103" s="34" t="s">
        <v>50</v>
      </c>
      <c r="L103" s="34" t="s">
        <v>102</v>
      </c>
      <c r="M103" s="34" t="s">
        <v>103</v>
      </c>
      <c r="T103" s="38"/>
    </row>
    <row r="104" customFormat="false" ht="15" hidden="false" customHeight="false" outlineLevel="0" collapsed="false">
      <c r="A104" s="0" t="s">
        <v>296</v>
      </c>
      <c r="B104" s="0" t="s">
        <v>297</v>
      </c>
      <c r="C104" s="34" t="s">
        <v>52</v>
      </c>
      <c r="D104" s="34" t="s">
        <v>62</v>
      </c>
      <c r="E104" s="34" t="s">
        <v>45</v>
      </c>
      <c r="F104" s="33" t="n">
        <v>89258</v>
      </c>
      <c r="G104" s="34" t="s">
        <v>43</v>
      </c>
      <c r="H104" s="34" t="s">
        <v>48</v>
      </c>
      <c r="I104" s="33" t="n">
        <v>2800</v>
      </c>
      <c r="J104" s="34" t="s">
        <v>80</v>
      </c>
      <c r="K104" s="34" t="s">
        <v>50</v>
      </c>
      <c r="L104" s="34" t="s">
        <v>96</v>
      </c>
      <c r="M104" s="34" t="s">
        <v>97</v>
      </c>
      <c r="T104" s="38"/>
    </row>
    <row r="105" customFormat="false" ht="15" hidden="false" customHeight="false" outlineLevel="0" collapsed="false">
      <c r="A105" s="0" t="s">
        <v>298</v>
      </c>
      <c r="B105" s="0" t="s">
        <v>299</v>
      </c>
      <c r="C105" s="34" t="s">
        <v>52</v>
      </c>
      <c r="D105" s="34" t="s">
        <v>59</v>
      </c>
      <c r="E105" s="34" t="s">
        <v>51</v>
      </c>
      <c r="F105" s="33" t="n">
        <v>90936</v>
      </c>
      <c r="G105" s="34" t="s">
        <v>49</v>
      </c>
      <c r="H105" s="34" t="s">
        <v>48</v>
      </c>
      <c r="I105" s="33" t="n">
        <v>4200</v>
      </c>
      <c r="J105" s="34" t="s">
        <v>80</v>
      </c>
      <c r="K105" s="34" t="s">
        <v>50</v>
      </c>
      <c r="L105" s="34" t="s">
        <v>81</v>
      </c>
      <c r="M105" s="34" t="s">
        <v>82</v>
      </c>
      <c r="T105" s="38"/>
    </row>
    <row r="106" customFormat="false" ht="15" hidden="false" customHeight="false" outlineLevel="0" collapsed="false">
      <c r="A106" s="0" t="s">
        <v>300</v>
      </c>
      <c r="B106" s="0" t="s">
        <v>301</v>
      </c>
      <c r="C106" s="34" t="s">
        <v>52</v>
      </c>
      <c r="D106" s="34" t="s">
        <v>47</v>
      </c>
      <c r="E106" s="34" t="s">
        <v>45</v>
      </c>
      <c r="F106" s="33" t="n">
        <v>96034</v>
      </c>
      <c r="G106" s="34" t="s">
        <v>43</v>
      </c>
      <c r="H106" s="34" t="s">
        <v>48</v>
      </c>
      <c r="I106" s="33" t="n">
        <v>2800</v>
      </c>
      <c r="J106" s="34" t="s">
        <v>80</v>
      </c>
      <c r="K106" s="34" t="s">
        <v>50</v>
      </c>
      <c r="L106" s="34" t="s">
        <v>102</v>
      </c>
      <c r="M106" s="34" t="s">
        <v>103</v>
      </c>
      <c r="T106" s="38"/>
    </row>
    <row r="107" customFormat="false" ht="15" hidden="false" customHeight="false" outlineLevel="0" collapsed="false">
      <c r="A107" s="0" t="s">
        <v>302</v>
      </c>
      <c r="B107" s="0" t="s">
        <v>303</v>
      </c>
      <c r="C107" s="34" t="s">
        <v>52</v>
      </c>
      <c r="D107" s="34" t="s">
        <v>63</v>
      </c>
      <c r="E107" s="34" t="s">
        <v>51</v>
      </c>
      <c r="F107" s="33" t="n">
        <v>92102</v>
      </c>
      <c r="G107" s="34" t="s">
        <v>49</v>
      </c>
      <c r="H107" s="34" t="s">
        <v>48</v>
      </c>
      <c r="I107" s="33" t="n">
        <v>4200</v>
      </c>
      <c r="J107" s="34" t="s">
        <v>80</v>
      </c>
      <c r="K107" s="34" t="s">
        <v>50</v>
      </c>
      <c r="L107" s="34" t="s">
        <v>116</v>
      </c>
      <c r="M107" s="34" t="s">
        <v>117</v>
      </c>
      <c r="T107" s="38"/>
    </row>
    <row r="108" customFormat="false" ht="15" hidden="false" customHeight="false" outlineLevel="0" collapsed="false">
      <c r="A108" s="0" t="s">
        <v>304</v>
      </c>
      <c r="B108" s="0" t="s">
        <v>305</v>
      </c>
      <c r="C108" s="34" t="s">
        <v>52</v>
      </c>
      <c r="D108" s="34" t="s">
        <v>47</v>
      </c>
      <c r="E108" s="34" t="s">
        <v>45</v>
      </c>
      <c r="F108" s="33" t="n">
        <v>92318</v>
      </c>
      <c r="G108" s="34" t="s">
        <v>43</v>
      </c>
      <c r="H108" s="34" t="s">
        <v>48</v>
      </c>
      <c r="I108" s="33" t="n">
        <v>2800</v>
      </c>
      <c r="J108" s="34" t="s">
        <v>80</v>
      </c>
      <c r="K108" s="34" t="s">
        <v>50</v>
      </c>
      <c r="L108" s="34" t="s">
        <v>102</v>
      </c>
      <c r="M108" s="34" t="s">
        <v>103</v>
      </c>
      <c r="T108" s="38"/>
    </row>
    <row r="109" customFormat="false" ht="15" hidden="false" customHeight="false" outlineLevel="0" collapsed="false">
      <c r="A109" s="0" t="s">
        <v>306</v>
      </c>
      <c r="B109" s="0" t="s">
        <v>307</v>
      </c>
      <c r="C109" s="34" t="s">
        <v>52</v>
      </c>
      <c r="D109" s="34" t="s">
        <v>62</v>
      </c>
      <c r="E109" s="34" t="s">
        <v>57</v>
      </c>
      <c r="F109" s="33" t="n">
        <v>117967</v>
      </c>
      <c r="G109" s="34" t="s">
        <v>43</v>
      </c>
      <c r="H109" s="34" t="s">
        <v>48</v>
      </c>
      <c r="I109" s="33" t="n">
        <v>2800</v>
      </c>
      <c r="J109" s="34" t="s">
        <v>80</v>
      </c>
      <c r="K109" s="34" t="s">
        <v>50</v>
      </c>
      <c r="L109" s="34" t="s">
        <v>96</v>
      </c>
      <c r="M109" s="34" t="s">
        <v>97</v>
      </c>
      <c r="T109" s="38"/>
    </row>
    <row r="110" customFormat="false" ht="15" hidden="false" customHeight="false" outlineLevel="0" collapsed="false">
      <c r="A110" s="0" t="s">
        <v>308</v>
      </c>
      <c r="B110" s="0" t="s">
        <v>309</v>
      </c>
      <c r="C110" s="34" t="s">
        <v>52</v>
      </c>
      <c r="D110" s="34" t="s">
        <v>63</v>
      </c>
      <c r="E110" s="34" t="s">
        <v>61</v>
      </c>
      <c r="F110" s="33" t="n">
        <v>119922</v>
      </c>
      <c r="G110" s="34" t="s">
        <v>49</v>
      </c>
      <c r="H110" s="34" t="s">
        <v>48</v>
      </c>
      <c r="I110" s="33" t="n">
        <v>4200</v>
      </c>
      <c r="J110" s="34" t="s">
        <v>80</v>
      </c>
      <c r="K110" s="34" t="s">
        <v>50</v>
      </c>
      <c r="L110" s="34" t="s">
        <v>116</v>
      </c>
      <c r="M110" s="34" t="s">
        <v>117</v>
      </c>
      <c r="T110" s="38"/>
    </row>
    <row r="111" customFormat="false" ht="15" hidden="false" customHeight="false" outlineLevel="0" collapsed="false">
      <c r="A111" s="0" t="s">
        <v>310</v>
      </c>
      <c r="B111" s="0" t="s">
        <v>311</v>
      </c>
      <c r="C111" s="34" t="s">
        <v>52</v>
      </c>
      <c r="D111" s="34" t="s">
        <v>53</v>
      </c>
      <c r="E111" s="34" t="s">
        <v>61</v>
      </c>
      <c r="F111" s="33" t="n">
        <v>120339</v>
      </c>
      <c r="G111" s="34" t="s">
        <v>49</v>
      </c>
      <c r="H111" s="34" t="s">
        <v>48</v>
      </c>
      <c r="I111" s="33" t="n">
        <v>4200</v>
      </c>
      <c r="J111" s="34" t="s">
        <v>80</v>
      </c>
      <c r="K111" s="34" t="s">
        <v>50</v>
      </c>
      <c r="L111" s="34" t="s">
        <v>110</v>
      </c>
      <c r="M111" s="34" t="s">
        <v>111</v>
      </c>
      <c r="T111" s="38"/>
    </row>
    <row r="112" customFormat="false" ht="15" hidden="false" customHeight="false" outlineLevel="0" collapsed="false">
      <c r="A112" s="0" t="s">
        <v>312</v>
      </c>
      <c r="B112" s="0" t="s">
        <v>313</v>
      </c>
      <c r="C112" s="34" t="s">
        <v>52</v>
      </c>
      <c r="D112" s="34" t="s">
        <v>53</v>
      </c>
      <c r="E112" s="34" t="s">
        <v>61</v>
      </c>
      <c r="F112" s="33" t="n">
        <v>121422</v>
      </c>
      <c r="G112" s="34" t="s">
        <v>43</v>
      </c>
      <c r="H112" s="34" t="s">
        <v>48</v>
      </c>
      <c r="I112" s="33" t="n">
        <v>2800</v>
      </c>
      <c r="J112" s="34" t="s">
        <v>80</v>
      </c>
      <c r="K112" s="34" t="s">
        <v>50</v>
      </c>
      <c r="L112" s="34" t="s">
        <v>110</v>
      </c>
      <c r="M112" s="34" t="s">
        <v>111</v>
      </c>
      <c r="T112" s="38"/>
    </row>
    <row r="113" customFormat="false" ht="15" hidden="false" customHeight="false" outlineLevel="0" collapsed="false">
      <c r="A113" s="0" t="s">
        <v>314</v>
      </c>
      <c r="B113" s="0" t="s">
        <v>174</v>
      </c>
      <c r="C113" s="34" t="s">
        <v>52</v>
      </c>
      <c r="D113" s="34" t="s">
        <v>53</v>
      </c>
      <c r="E113" s="34" t="s">
        <v>57</v>
      </c>
      <c r="F113" s="33" t="n">
        <v>107757</v>
      </c>
      <c r="G113" s="34" t="s">
        <v>43</v>
      </c>
      <c r="H113" s="34" t="s">
        <v>48</v>
      </c>
      <c r="I113" s="33" t="n">
        <v>2800</v>
      </c>
      <c r="J113" s="34" t="s">
        <v>80</v>
      </c>
      <c r="K113" s="34" t="s">
        <v>50</v>
      </c>
      <c r="L113" s="34" t="s">
        <v>110</v>
      </c>
      <c r="M113" s="34" t="s">
        <v>111</v>
      </c>
      <c r="T113" s="38"/>
    </row>
    <row r="114" customFormat="false" ht="15" hidden="false" customHeight="false" outlineLevel="0" collapsed="false">
      <c r="A114" s="0" t="s">
        <v>315</v>
      </c>
      <c r="B114" s="0" t="s">
        <v>316</v>
      </c>
      <c r="C114" s="34" t="s">
        <v>52</v>
      </c>
      <c r="D114" s="34" t="s">
        <v>62</v>
      </c>
      <c r="E114" s="34" t="s">
        <v>61</v>
      </c>
      <c r="F114" s="33" t="n">
        <v>108652</v>
      </c>
      <c r="G114" s="34" t="s">
        <v>49</v>
      </c>
      <c r="H114" s="34" t="s">
        <v>48</v>
      </c>
      <c r="I114" s="33" t="n">
        <v>4200</v>
      </c>
      <c r="J114" s="34" t="s">
        <v>80</v>
      </c>
      <c r="K114" s="34" t="s">
        <v>50</v>
      </c>
      <c r="L114" s="34" t="s">
        <v>96</v>
      </c>
      <c r="M114" s="34" t="s">
        <v>97</v>
      </c>
      <c r="T114" s="38"/>
    </row>
    <row r="115" customFormat="false" ht="15" hidden="false" customHeight="false" outlineLevel="0" collapsed="false">
      <c r="A115" s="0" t="s">
        <v>317</v>
      </c>
      <c r="B115" s="0" t="s">
        <v>318</v>
      </c>
      <c r="C115" s="34" t="s">
        <v>52</v>
      </c>
      <c r="D115" s="34" t="s">
        <v>53</v>
      </c>
      <c r="E115" s="34" t="s">
        <v>51</v>
      </c>
      <c r="F115" s="33" t="n">
        <v>110047</v>
      </c>
      <c r="G115" s="34" t="s">
        <v>43</v>
      </c>
      <c r="H115" s="34" t="s">
        <v>48</v>
      </c>
      <c r="I115" s="33" t="n">
        <v>2800</v>
      </c>
      <c r="J115" s="34" t="s">
        <v>80</v>
      </c>
      <c r="K115" s="34" t="s">
        <v>50</v>
      </c>
      <c r="L115" s="34" t="s">
        <v>110</v>
      </c>
      <c r="M115" s="34" t="s">
        <v>111</v>
      </c>
      <c r="T115" s="38"/>
    </row>
    <row r="116" customFormat="false" ht="15" hidden="false" customHeight="false" outlineLevel="0" collapsed="false">
      <c r="A116" s="0" t="s">
        <v>319</v>
      </c>
      <c r="B116" s="0" t="s">
        <v>320</v>
      </c>
      <c r="C116" s="34" t="s">
        <v>52</v>
      </c>
      <c r="D116" s="34" t="s">
        <v>59</v>
      </c>
      <c r="E116" s="34" t="s">
        <v>51</v>
      </c>
      <c r="F116" s="33" t="n">
        <v>110346</v>
      </c>
      <c r="G116" s="34" t="s">
        <v>49</v>
      </c>
      <c r="H116" s="34" t="s">
        <v>48</v>
      </c>
      <c r="I116" s="33" t="n">
        <v>4200</v>
      </c>
      <c r="J116" s="34" t="s">
        <v>80</v>
      </c>
      <c r="K116" s="34" t="s">
        <v>50</v>
      </c>
      <c r="L116" s="34" t="s">
        <v>81</v>
      </c>
      <c r="M116" s="34" t="s">
        <v>82</v>
      </c>
      <c r="T116" s="38"/>
    </row>
    <row r="117" customFormat="false" ht="15" hidden="false" customHeight="false" outlineLevel="0" collapsed="false">
      <c r="A117" s="0" t="s">
        <v>321</v>
      </c>
      <c r="B117" s="0" t="s">
        <v>322</v>
      </c>
      <c r="C117" s="34" t="s">
        <v>52</v>
      </c>
      <c r="D117" s="34" t="s">
        <v>63</v>
      </c>
      <c r="E117" s="34" t="s">
        <v>61</v>
      </c>
      <c r="F117" s="33" t="n">
        <v>110961</v>
      </c>
      <c r="G117" s="34" t="s">
        <v>43</v>
      </c>
      <c r="H117" s="34" t="s">
        <v>48</v>
      </c>
      <c r="I117" s="33" t="n">
        <v>2800</v>
      </c>
      <c r="J117" s="34" t="s">
        <v>80</v>
      </c>
      <c r="K117" s="34" t="s">
        <v>50</v>
      </c>
      <c r="L117" s="34" t="s">
        <v>116</v>
      </c>
      <c r="M117" s="34" t="s">
        <v>117</v>
      </c>
      <c r="T117" s="38"/>
    </row>
    <row r="118" customFormat="false" ht="15" hidden="false" customHeight="false" outlineLevel="0" collapsed="false">
      <c r="A118" s="0" t="s">
        <v>323</v>
      </c>
      <c r="B118" s="0" t="s">
        <v>324</v>
      </c>
      <c r="C118" s="34" t="s">
        <v>52</v>
      </c>
      <c r="D118" s="34" t="s">
        <v>47</v>
      </c>
      <c r="E118" s="34" t="s">
        <v>51</v>
      </c>
      <c r="F118" s="33" t="n">
        <v>111313</v>
      </c>
      <c r="G118" s="34" t="s">
        <v>43</v>
      </c>
      <c r="H118" s="34" t="s">
        <v>48</v>
      </c>
      <c r="I118" s="33" t="n">
        <v>2800</v>
      </c>
      <c r="J118" s="34" t="s">
        <v>80</v>
      </c>
      <c r="K118" s="34" t="s">
        <v>50</v>
      </c>
      <c r="L118" s="34" t="s">
        <v>102</v>
      </c>
      <c r="M118" s="34" t="s">
        <v>103</v>
      </c>
      <c r="T118" s="38"/>
    </row>
    <row r="119" customFormat="false" ht="15" hidden="false" customHeight="false" outlineLevel="0" collapsed="false">
      <c r="A119" s="0" t="s">
        <v>325</v>
      </c>
      <c r="B119" s="0" t="s">
        <v>326</v>
      </c>
      <c r="C119" s="34" t="s">
        <v>52</v>
      </c>
      <c r="D119" s="34" t="s">
        <v>63</v>
      </c>
      <c r="E119" s="34" t="s">
        <v>45</v>
      </c>
      <c r="F119" s="33" t="n">
        <v>61807</v>
      </c>
      <c r="G119" s="34" t="s">
        <v>49</v>
      </c>
      <c r="H119" s="34" t="s">
        <v>48</v>
      </c>
      <c r="I119" s="33" t="n">
        <v>4200</v>
      </c>
      <c r="J119" s="34" t="s">
        <v>80</v>
      </c>
      <c r="K119" s="34" t="s">
        <v>44</v>
      </c>
      <c r="L119" s="34" t="s">
        <v>116</v>
      </c>
      <c r="M119" s="34" t="s">
        <v>117</v>
      </c>
      <c r="T119" s="38"/>
    </row>
    <row r="120" customFormat="false" ht="15" hidden="false" customHeight="false" outlineLevel="0" collapsed="false">
      <c r="A120" s="0" t="s">
        <v>327</v>
      </c>
      <c r="B120" s="0" t="s">
        <v>328</v>
      </c>
      <c r="C120" s="34" t="s">
        <v>52</v>
      </c>
      <c r="D120" s="34" t="s">
        <v>47</v>
      </c>
      <c r="E120" s="34" t="s">
        <v>45</v>
      </c>
      <c r="F120" s="33" t="n">
        <v>59405</v>
      </c>
      <c r="G120" s="34" t="s">
        <v>43</v>
      </c>
      <c r="H120" s="34" t="s">
        <v>48</v>
      </c>
      <c r="I120" s="33" t="n">
        <v>2800</v>
      </c>
      <c r="J120" s="34" t="s">
        <v>80</v>
      </c>
      <c r="K120" s="34" t="s">
        <v>44</v>
      </c>
      <c r="L120" s="34" t="s">
        <v>102</v>
      </c>
      <c r="M120" s="34" t="s">
        <v>103</v>
      </c>
      <c r="T120" s="38"/>
    </row>
    <row r="121" customFormat="false" ht="15" hidden="false" customHeight="false" outlineLevel="0" collapsed="false">
      <c r="A121" s="0" t="s">
        <v>329</v>
      </c>
      <c r="B121" s="0" t="s">
        <v>330</v>
      </c>
      <c r="C121" s="34" t="s">
        <v>52</v>
      </c>
      <c r="D121" s="34" t="s">
        <v>62</v>
      </c>
      <c r="E121" s="34" t="s">
        <v>57</v>
      </c>
      <c r="F121" s="33" t="n">
        <v>65043</v>
      </c>
      <c r="G121" s="34" t="s">
        <v>49</v>
      </c>
      <c r="H121" s="34" t="s">
        <v>48</v>
      </c>
      <c r="I121" s="33" t="n">
        <v>4200</v>
      </c>
      <c r="J121" s="34" t="s">
        <v>80</v>
      </c>
      <c r="K121" s="34" t="s">
        <v>44</v>
      </c>
      <c r="L121" s="34" t="s">
        <v>96</v>
      </c>
      <c r="M121" s="34" t="s">
        <v>97</v>
      </c>
      <c r="T121" s="38"/>
    </row>
    <row r="122" customFormat="false" ht="15" hidden="false" customHeight="false" outlineLevel="0" collapsed="false">
      <c r="A122" s="0" t="s">
        <v>331</v>
      </c>
      <c r="B122" s="0" t="s">
        <v>332</v>
      </c>
      <c r="C122" s="34" t="s">
        <v>52</v>
      </c>
      <c r="D122" s="34" t="s">
        <v>59</v>
      </c>
      <c r="E122" s="34" t="s">
        <v>45</v>
      </c>
      <c r="F122" s="33" t="n">
        <v>66113</v>
      </c>
      <c r="G122" s="34" t="s">
        <v>49</v>
      </c>
      <c r="H122" s="34" t="s">
        <v>48</v>
      </c>
      <c r="I122" s="33" t="n">
        <v>4200</v>
      </c>
      <c r="J122" s="34" t="s">
        <v>80</v>
      </c>
      <c r="K122" s="34" t="s">
        <v>44</v>
      </c>
      <c r="L122" s="34" t="s">
        <v>81</v>
      </c>
      <c r="M122" s="34" t="s">
        <v>82</v>
      </c>
      <c r="T122" s="38"/>
    </row>
    <row r="123" customFormat="false" ht="15" hidden="false" customHeight="false" outlineLevel="0" collapsed="false">
      <c r="A123" s="0" t="s">
        <v>333</v>
      </c>
      <c r="B123" s="0" t="s">
        <v>334</v>
      </c>
      <c r="C123" s="34" t="s">
        <v>52</v>
      </c>
      <c r="D123" s="34" t="s">
        <v>47</v>
      </c>
      <c r="E123" s="34" t="s">
        <v>45</v>
      </c>
      <c r="F123" s="33" t="n">
        <v>52518</v>
      </c>
      <c r="G123" s="34" t="s">
        <v>49</v>
      </c>
      <c r="H123" s="34" t="s">
        <v>48</v>
      </c>
      <c r="I123" s="33" t="n">
        <v>4200</v>
      </c>
      <c r="J123" s="34" t="s">
        <v>80</v>
      </c>
      <c r="K123" s="34" t="s">
        <v>44</v>
      </c>
      <c r="L123" s="34" t="s">
        <v>102</v>
      </c>
      <c r="M123" s="34" t="s">
        <v>103</v>
      </c>
      <c r="T123" s="38"/>
    </row>
    <row r="124" customFormat="false" ht="15" hidden="false" customHeight="false" outlineLevel="0" collapsed="false">
      <c r="A124" s="0" t="s">
        <v>335</v>
      </c>
      <c r="B124" s="0" t="s">
        <v>336</v>
      </c>
      <c r="C124" s="34" t="s">
        <v>52</v>
      </c>
      <c r="D124" s="34" t="s">
        <v>59</v>
      </c>
      <c r="E124" s="34" t="s">
        <v>51</v>
      </c>
      <c r="F124" s="33" t="n">
        <v>53107</v>
      </c>
      <c r="G124" s="34" t="s">
        <v>49</v>
      </c>
      <c r="H124" s="34" t="s">
        <v>48</v>
      </c>
      <c r="I124" s="33" t="n">
        <v>4200</v>
      </c>
      <c r="J124" s="34" t="s">
        <v>80</v>
      </c>
      <c r="K124" s="34" t="s">
        <v>44</v>
      </c>
      <c r="L124" s="34" t="s">
        <v>81</v>
      </c>
      <c r="M124" s="34" t="s">
        <v>82</v>
      </c>
      <c r="T124" s="38"/>
    </row>
    <row r="125" customFormat="false" ht="15" hidden="false" customHeight="false" outlineLevel="0" collapsed="false">
      <c r="A125" s="0" t="s">
        <v>337</v>
      </c>
      <c r="B125" s="0" t="s">
        <v>338</v>
      </c>
      <c r="C125" s="34" t="s">
        <v>52</v>
      </c>
      <c r="D125" s="34" t="s">
        <v>63</v>
      </c>
      <c r="E125" s="34" t="s">
        <v>61</v>
      </c>
      <c r="F125" s="33" t="n">
        <v>53213</v>
      </c>
      <c r="G125" s="34" t="s">
        <v>43</v>
      </c>
      <c r="H125" s="34" t="s">
        <v>48</v>
      </c>
      <c r="I125" s="33" t="n">
        <v>2800</v>
      </c>
      <c r="J125" s="34" t="s">
        <v>80</v>
      </c>
      <c r="K125" s="34" t="s">
        <v>44</v>
      </c>
      <c r="L125" s="34" t="s">
        <v>116</v>
      </c>
      <c r="M125" s="34" t="s">
        <v>117</v>
      </c>
      <c r="T125" s="38"/>
    </row>
    <row r="126" customFormat="false" ht="15" hidden="false" customHeight="false" outlineLevel="0" collapsed="false">
      <c r="A126" s="0" t="s">
        <v>339</v>
      </c>
      <c r="B126" s="0" t="s">
        <v>340</v>
      </c>
      <c r="C126" s="34" t="s">
        <v>52</v>
      </c>
      <c r="D126" s="34" t="s">
        <v>53</v>
      </c>
      <c r="E126" s="34" t="s">
        <v>57</v>
      </c>
      <c r="F126" s="33" t="n">
        <v>53319</v>
      </c>
      <c r="G126" s="34" t="s">
        <v>43</v>
      </c>
      <c r="H126" s="34" t="s">
        <v>48</v>
      </c>
      <c r="I126" s="33" t="n">
        <v>2800</v>
      </c>
      <c r="J126" s="34" t="s">
        <v>80</v>
      </c>
      <c r="K126" s="34" t="s">
        <v>44</v>
      </c>
      <c r="L126" s="34" t="s">
        <v>110</v>
      </c>
      <c r="M126" s="34" t="s">
        <v>111</v>
      </c>
      <c r="T126" s="38"/>
    </row>
    <row r="127" customFormat="false" ht="15" hidden="false" customHeight="false" outlineLevel="0" collapsed="false">
      <c r="A127" s="0" t="s">
        <v>341</v>
      </c>
      <c r="B127" s="0" t="s">
        <v>342</v>
      </c>
      <c r="C127" s="34" t="s">
        <v>52</v>
      </c>
      <c r="D127" s="34" t="s">
        <v>59</v>
      </c>
      <c r="E127" s="34" t="s">
        <v>51</v>
      </c>
      <c r="F127" s="33" t="n">
        <v>54410</v>
      </c>
      <c r="G127" s="34" t="s">
        <v>49</v>
      </c>
      <c r="H127" s="34" t="s">
        <v>48</v>
      </c>
      <c r="I127" s="33" t="n">
        <v>4200</v>
      </c>
      <c r="J127" s="34" t="s">
        <v>80</v>
      </c>
      <c r="K127" s="34" t="s">
        <v>44</v>
      </c>
      <c r="L127" s="34" t="s">
        <v>81</v>
      </c>
      <c r="M127" s="34" t="s">
        <v>82</v>
      </c>
      <c r="T127" s="38"/>
    </row>
    <row r="128" customFormat="false" ht="15" hidden="false" customHeight="false" outlineLevel="0" collapsed="false">
      <c r="A128" s="0" t="s">
        <v>343</v>
      </c>
      <c r="B128" s="0" t="s">
        <v>344</v>
      </c>
      <c r="C128" s="34" t="s">
        <v>52</v>
      </c>
      <c r="D128" s="34" t="s">
        <v>53</v>
      </c>
      <c r="E128" s="34" t="s">
        <v>57</v>
      </c>
      <c r="F128" s="33" t="n">
        <v>55047</v>
      </c>
      <c r="G128" s="34" t="s">
        <v>49</v>
      </c>
      <c r="H128" s="34" t="s">
        <v>48</v>
      </c>
      <c r="I128" s="33" t="n">
        <v>4200</v>
      </c>
      <c r="J128" s="34" t="s">
        <v>80</v>
      </c>
      <c r="K128" s="34" t="s">
        <v>44</v>
      </c>
      <c r="L128" s="34" t="s">
        <v>110</v>
      </c>
      <c r="M128" s="34" t="s">
        <v>111</v>
      </c>
      <c r="T128" s="38"/>
    </row>
    <row r="129" customFormat="false" ht="15" hidden="false" customHeight="false" outlineLevel="0" collapsed="false">
      <c r="A129" s="0" t="s">
        <v>345</v>
      </c>
      <c r="B129" s="0" t="s">
        <v>289</v>
      </c>
      <c r="C129" s="34" t="s">
        <v>52</v>
      </c>
      <c r="D129" s="34" t="s">
        <v>62</v>
      </c>
      <c r="E129" s="34" t="s">
        <v>51</v>
      </c>
      <c r="F129" s="33" t="n">
        <v>66605</v>
      </c>
      <c r="G129" s="34" t="s">
        <v>43</v>
      </c>
      <c r="H129" s="34" t="s">
        <v>48</v>
      </c>
      <c r="I129" s="33" t="n">
        <v>2800</v>
      </c>
      <c r="J129" s="34" t="s">
        <v>80</v>
      </c>
      <c r="K129" s="34" t="s">
        <v>44</v>
      </c>
      <c r="L129" s="34" t="s">
        <v>96</v>
      </c>
      <c r="M129" s="34" t="s">
        <v>97</v>
      </c>
      <c r="T129" s="38"/>
    </row>
    <row r="130" customFormat="false" ht="15" hidden="false" customHeight="false" outlineLevel="0" collapsed="false">
      <c r="A130" s="0" t="s">
        <v>346</v>
      </c>
      <c r="B130" s="0" t="s">
        <v>347</v>
      </c>
      <c r="C130" s="34" t="s">
        <v>52</v>
      </c>
      <c r="D130" s="34" t="s">
        <v>62</v>
      </c>
      <c r="E130" s="34" t="s">
        <v>57</v>
      </c>
      <c r="F130" s="33" t="n">
        <v>66864</v>
      </c>
      <c r="G130" s="34" t="s">
        <v>49</v>
      </c>
      <c r="H130" s="34" t="s">
        <v>48</v>
      </c>
      <c r="I130" s="33" t="n">
        <v>4200</v>
      </c>
      <c r="J130" s="34" t="s">
        <v>80</v>
      </c>
      <c r="K130" s="34" t="s">
        <v>44</v>
      </c>
      <c r="L130" s="34" t="s">
        <v>96</v>
      </c>
      <c r="M130" s="34" t="s">
        <v>97</v>
      </c>
      <c r="T130" s="38"/>
    </row>
    <row r="131" customFormat="false" ht="15" hidden="false" customHeight="false" outlineLevel="0" collapsed="false">
      <c r="A131" s="0" t="s">
        <v>348</v>
      </c>
      <c r="B131" s="0" t="s">
        <v>349</v>
      </c>
      <c r="C131" s="34" t="s">
        <v>52</v>
      </c>
      <c r="D131" s="34" t="s">
        <v>53</v>
      </c>
      <c r="E131" s="34" t="s">
        <v>45</v>
      </c>
      <c r="F131" s="33" t="n">
        <v>80212</v>
      </c>
      <c r="G131" s="34" t="s">
        <v>49</v>
      </c>
      <c r="H131" s="34" t="s">
        <v>48</v>
      </c>
      <c r="I131" s="33" t="n">
        <v>4200</v>
      </c>
      <c r="J131" s="34" t="s">
        <v>80</v>
      </c>
      <c r="K131" s="34" t="s">
        <v>44</v>
      </c>
      <c r="L131" s="34" t="s">
        <v>110</v>
      </c>
      <c r="M131" s="34" t="s">
        <v>111</v>
      </c>
      <c r="T131" s="38"/>
    </row>
    <row r="132" customFormat="false" ht="15" hidden="false" customHeight="false" outlineLevel="0" collapsed="false">
      <c r="A132" s="0" t="s">
        <v>350</v>
      </c>
      <c r="B132" s="0" t="s">
        <v>180</v>
      </c>
      <c r="C132" s="34" t="s">
        <v>52</v>
      </c>
      <c r="D132" s="34" t="s">
        <v>47</v>
      </c>
      <c r="E132" s="34" t="s">
        <v>51</v>
      </c>
      <c r="F132" s="33" t="n">
        <v>80927</v>
      </c>
      <c r="G132" s="34" t="s">
        <v>43</v>
      </c>
      <c r="H132" s="34" t="s">
        <v>48</v>
      </c>
      <c r="I132" s="33" t="n">
        <v>2800</v>
      </c>
      <c r="J132" s="34" t="s">
        <v>80</v>
      </c>
      <c r="K132" s="34" t="s">
        <v>44</v>
      </c>
      <c r="L132" s="34" t="s">
        <v>102</v>
      </c>
      <c r="M132" s="34" t="s">
        <v>103</v>
      </c>
      <c r="T132" s="38"/>
    </row>
    <row r="133" customFormat="false" ht="15" hidden="false" customHeight="false" outlineLevel="0" collapsed="false">
      <c r="A133" s="0" t="s">
        <v>351</v>
      </c>
      <c r="B133" s="0" t="s">
        <v>352</v>
      </c>
      <c r="C133" s="34" t="s">
        <v>52</v>
      </c>
      <c r="D133" s="34" t="s">
        <v>59</v>
      </c>
      <c r="E133" s="34" t="s">
        <v>57</v>
      </c>
      <c r="F133" s="33" t="n">
        <v>82771</v>
      </c>
      <c r="G133" s="34" t="s">
        <v>43</v>
      </c>
      <c r="H133" s="34" t="s">
        <v>48</v>
      </c>
      <c r="I133" s="33" t="n">
        <v>2800</v>
      </c>
      <c r="J133" s="34" t="s">
        <v>80</v>
      </c>
      <c r="K133" s="34" t="s">
        <v>50</v>
      </c>
      <c r="L133" s="34" t="s">
        <v>81</v>
      </c>
      <c r="M133" s="34" t="s">
        <v>82</v>
      </c>
      <c r="T133" s="38"/>
    </row>
    <row r="134" customFormat="false" ht="15" hidden="false" customHeight="false" outlineLevel="0" collapsed="false">
      <c r="A134" s="0" t="s">
        <v>353</v>
      </c>
      <c r="B134" s="0" t="s">
        <v>354</v>
      </c>
      <c r="C134" s="34" t="s">
        <v>52</v>
      </c>
      <c r="D134" s="34" t="s">
        <v>62</v>
      </c>
      <c r="E134" s="34" t="s">
        <v>51</v>
      </c>
      <c r="F134" s="33" t="n">
        <v>85342</v>
      </c>
      <c r="G134" s="34" t="s">
        <v>43</v>
      </c>
      <c r="H134" s="34" t="s">
        <v>48</v>
      </c>
      <c r="I134" s="33" t="n">
        <v>2800</v>
      </c>
      <c r="J134" s="34" t="s">
        <v>80</v>
      </c>
      <c r="K134" s="34" t="s">
        <v>50</v>
      </c>
      <c r="L134" s="34" t="s">
        <v>96</v>
      </c>
      <c r="M134" s="34" t="s">
        <v>97</v>
      </c>
      <c r="T134" s="38"/>
    </row>
    <row r="135" customFormat="false" ht="15" hidden="false" customHeight="false" outlineLevel="0" collapsed="false">
      <c r="A135" s="0" t="s">
        <v>355</v>
      </c>
      <c r="B135" s="0" t="s">
        <v>356</v>
      </c>
      <c r="C135" s="34" t="s">
        <v>52</v>
      </c>
      <c r="D135" s="34" t="s">
        <v>63</v>
      </c>
      <c r="E135" s="34" t="s">
        <v>51</v>
      </c>
      <c r="F135" s="33" t="n">
        <v>87571</v>
      </c>
      <c r="G135" s="34" t="s">
        <v>43</v>
      </c>
      <c r="H135" s="34" t="s">
        <v>48</v>
      </c>
      <c r="I135" s="33" t="n">
        <v>2800</v>
      </c>
      <c r="J135" s="34" t="s">
        <v>80</v>
      </c>
      <c r="K135" s="34" t="s">
        <v>50</v>
      </c>
      <c r="L135" s="34" t="s">
        <v>116</v>
      </c>
      <c r="M135" s="34" t="s">
        <v>117</v>
      </c>
      <c r="T135" s="38"/>
    </row>
    <row r="136" customFormat="false" ht="15" hidden="false" customHeight="false" outlineLevel="0" collapsed="false">
      <c r="A136" s="0" t="s">
        <v>357</v>
      </c>
      <c r="B136" s="0" t="s">
        <v>358</v>
      </c>
      <c r="C136" s="34" t="s">
        <v>52</v>
      </c>
      <c r="D136" s="34" t="s">
        <v>62</v>
      </c>
      <c r="E136" s="34" t="s">
        <v>45</v>
      </c>
      <c r="F136" s="33" t="n">
        <v>79051</v>
      </c>
      <c r="G136" s="34" t="s">
        <v>43</v>
      </c>
      <c r="H136" s="34" t="s">
        <v>48</v>
      </c>
      <c r="I136" s="33" t="n">
        <v>2800</v>
      </c>
      <c r="J136" s="34" t="s">
        <v>80</v>
      </c>
      <c r="K136" s="34" t="s">
        <v>44</v>
      </c>
      <c r="L136" s="34" t="s">
        <v>96</v>
      </c>
      <c r="M136" s="34" t="s">
        <v>97</v>
      </c>
      <c r="T136" s="38"/>
    </row>
    <row r="137" customFormat="false" ht="15" hidden="false" customHeight="false" outlineLevel="0" collapsed="false">
      <c r="A137" s="0" t="s">
        <v>359</v>
      </c>
      <c r="B137" s="0" t="s">
        <v>360</v>
      </c>
      <c r="C137" s="34" t="s">
        <v>52</v>
      </c>
      <c r="D137" s="34" t="s">
        <v>59</v>
      </c>
      <c r="E137" s="34" t="s">
        <v>45</v>
      </c>
      <c r="F137" s="33" t="n">
        <v>70322</v>
      </c>
      <c r="G137" s="34" t="s">
        <v>43</v>
      </c>
      <c r="H137" s="34" t="s">
        <v>48</v>
      </c>
      <c r="I137" s="33" t="n">
        <v>2800</v>
      </c>
      <c r="J137" s="34" t="s">
        <v>80</v>
      </c>
      <c r="K137" s="34" t="s">
        <v>44</v>
      </c>
      <c r="L137" s="34" t="s">
        <v>81</v>
      </c>
      <c r="M137" s="34" t="s">
        <v>82</v>
      </c>
      <c r="T137" s="38"/>
    </row>
    <row r="138" customFormat="false" ht="15" hidden="false" customHeight="false" outlineLevel="0" collapsed="false">
      <c r="A138" s="0" t="s">
        <v>361</v>
      </c>
      <c r="B138" s="0" t="s">
        <v>192</v>
      </c>
      <c r="C138" s="34" t="s">
        <v>52</v>
      </c>
      <c r="D138" s="34" t="s">
        <v>62</v>
      </c>
      <c r="E138" s="34" t="s">
        <v>45</v>
      </c>
      <c r="F138" s="33" t="n">
        <v>70350</v>
      </c>
      <c r="G138" s="34" t="s">
        <v>43</v>
      </c>
      <c r="H138" s="34" t="s">
        <v>48</v>
      </c>
      <c r="I138" s="33" t="n">
        <v>2800</v>
      </c>
      <c r="J138" s="34" t="s">
        <v>80</v>
      </c>
      <c r="K138" s="34" t="s">
        <v>44</v>
      </c>
      <c r="L138" s="34" t="s">
        <v>96</v>
      </c>
      <c r="M138" s="34" t="s">
        <v>97</v>
      </c>
      <c r="T138" s="38"/>
    </row>
    <row r="139" customFormat="false" ht="15" hidden="false" customHeight="false" outlineLevel="0" collapsed="false">
      <c r="A139" s="0" t="s">
        <v>362</v>
      </c>
      <c r="B139" s="0" t="s">
        <v>363</v>
      </c>
      <c r="C139" s="34" t="s">
        <v>52</v>
      </c>
      <c r="D139" s="34" t="s">
        <v>59</v>
      </c>
      <c r="E139" s="34" t="s">
        <v>51</v>
      </c>
      <c r="F139" s="33" t="n">
        <v>71327</v>
      </c>
      <c r="G139" s="34" t="s">
        <v>43</v>
      </c>
      <c r="H139" s="34" t="s">
        <v>48</v>
      </c>
      <c r="I139" s="33" t="n">
        <v>2800</v>
      </c>
      <c r="J139" s="34" t="s">
        <v>80</v>
      </c>
      <c r="K139" s="34" t="s">
        <v>44</v>
      </c>
      <c r="L139" s="34" t="s">
        <v>81</v>
      </c>
      <c r="M139" s="34" t="s">
        <v>82</v>
      </c>
      <c r="T139" s="38"/>
    </row>
    <row r="140" customFormat="false" ht="15" hidden="false" customHeight="false" outlineLevel="0" collapsed="false">
      <c r="A140" s="0" t="s">
        <v>364</v>
      </c>
      <c r="B140" s="0" t="s">
        <v>365</v>
      </c>
      <c r="C140" s="34" t="s">
        <v>52</v>
      </c>
      <c r="D140" s="34" t="s">
        <v>62</v>
      </c>
      <c r="E140" s="34" t="s">
        <v>45</v>
      </c>
      <c r="F140" s="33" t="n">
        <v>78288</v>
      </c>
      <c r="G140" s="34" t="s">
        <v>43</v>
      </c>
      <c r="H140" s="34" t="s">
        <v>48</v>
      </c>
      <c r="I140" s="33" t="n">
        <v>2800</v>
      </c>
      <c r="J140" s="34" t="s">
        <v>80</v>
      </c>
      <c r="K140" s="34" t="s">
        <v>44</v>
      </c>
      <c r="L140" s="34" t="s">
        <v>96</v>
      </c>
      <c r="M140" s="34" t="s">
        <v>97</v>
      </c>
      <c r="T140" s="38"/>
    </row>
    <row r="141" customFormat="false" ht="15" hidden="false" customHeight="false" outlineLevel="0" collapsed="false">
      <c r="A141" s="0" t="s">
        <v>366</v>
      </c>
      <c r="B141" s="0" t="s">
        <v>215</v>
      </c>
      <c r="C141" s="34" t="s">
        <v>52</v>
      </c>
      <c r="D141" s="34" t="s">
        <v>63</v>
      </c>
      <c r="E141" s="34" t="s">
        <v>61</v>
      </c>
      <c r="F141" s="33" t="n">
        <v>129037</v>
      </c>
      <c r="G141" s="34" t="s">
        <v>43</v>
      </c>
      <c r="H141" s="34" t="s">
        <v>48</v>
      </c>
      <c r="I141" s="33" t="n">
        <v>2800</v>
      </c>
      <c r="J141" s="34" t="s">
        <v>80</v>
      </c>
      <c r="K141" s="34" t="s">
        <v>50</v>
      </c>
      <c r="L141" s="34" t="s">
        <v>116</v>
      </c>
      <c r="M141" s="34" t="s">
        <v>117</v>
      </c>
      <c r="T141" s="38"/>
    </row>
    <row r="142" customFormat="false" ht="15" hidden="false" customHeight="false" outlineLevel="0" collapsed="false">
      <c r="A142" s="0" t="s">
        <v>367</v>
      </c>
      <c r="B142" s="0" t="s">
        <v>368</v>
      </c>
      <c r="C142" s="34" t="s">
        <v>52</v>
      </c>
      <c r="D142" s="34" t="s">
        <v>63</v>
      </c>
      <c r="E142" s="34" t="s">
        <v>61</v>
      </c>
      <c r="F142" s="33" t="n">
        <v>176031</v>
      </c>
      <c r="G142" s="34" t="s">
        <v>49</v>
      </c>
      <c r="H142" s="34" t="s">
        <v>48</v>
      </c>
      <c r="I142" s="33" t="n">
        <v>4200</v>
      </c>
      <c r="J142" s="34" t="s">
        <v>80</v>
      </c>
      <c r="K142" s="34" t="s">
        <v>56</v>
      </c>
      <c r="L142" s="34" t="s">
        <v>116</v>
      </c>
      <c r="M142" s="34" t="s">
        <v>117</v>
      </c>
      <c r="T142" s="38"/>
    </row>
    <row r="143" customFormat="false" ht="15" hidden="false" customHeight="false" outlineLevel="0" collapsed="false">
      <c r="A143" s="0" t="s">
        <v>369</v>
      </c>
      <c r="B143" s="0" t="s">
        <v>370</v>
      </c>
      <c r="C143" s="34" t="s">
        <v>52</v>
      </c>
      <c r="D143" s="34" t="s">
        <v>59</v>
      </c>
      <c r="E143" s="34" t="s">
        <v>57</v>
      </c>
      <c r="F143" s="33" t="n">
        <v>174082</v>
      </c>
      <c r="G143" s="34" t="s">
        <v>43</v>
      </c>
      <c r="H143" s="34" t="s">
        <v>48</v>
      </c>
      <c r="I143" s="33" t="n">
        <v>2800</v>
      </c>
      <c r="J143" s="34" t="s">
        <v>80</v>
      </c>
      <c r="K143" s="34" t="s">
        <v>56</v>
      </c>
      <c r="L143" s="34" t="s">
        <v>81</v>
      </c>
      <c r="M143" s="34" t="s">
        <v>82</v>
      </c>
      <c r="T143" s="38"/>
    </row>
    <row r="144" customFormat="false" ht="15" hidden="false" customHeight="false" outlineLevel="0" collapsed="false">
      <c r="A144" s="0" t="s">
        <v>371</v>
      </c>
      <c r="B144" s="0" t="s">
        <v>372</v>
      </c>
      <c r="C144" s="34" t="s">
        <v>52</v>
      </c>
      <c r="D144" s="34" t="s">
        <v>63</v>
      </c>
      <c r="E144" s="34" t="s">
        <v>51</v>
      </c>
      <c r="F144" s="33" t="n">
        <v>178002</v>
      </c>
      <c r="G144" s="34" t="s">
        <v>49</v>
      </c>
      <c r="H144" s="34" t="s">
        <v>48</v>
      </c>
      <c r="I144" s="33" t="n">
        <v>4200</v>
      </c>
      <c r="J144" s="34" t="s">
        <v>80</v>
      </c>
      <c r="K144" s="34" t="s">
        <v>56</v>
      </c>
      <c r="L144" s="34" t="s">
        <v>116</v>
      </c>
      <c r="M144" s="34" t="s">
        <v>117</v>
      </c>
      <c r="T144" s="38"/>
    </row>
    <row r="145" customFormat="false" ht="15" hidden="false" customHeight="false" outlineLevel="0" collapsed="false">
      <c r="A145" s="0" t="s">
        <v>373</v>
      </c>
      <c r="B145" s="0" t="s">
        <v>374</v>
      </c>
      <c r="C145" s="34" t="s">
        <v>52</v>
      </c>
      <c r="D145" s="34" t="s">
        <v>63</v>
      </c>
      <c r="E145" s="34" t="s">
        <v>51</v>
      </c>
      <c r="F145" s="33" t="n">
        <v>178969</v>
      </c>
      <c r="G145" s="34" t="s">
        <v>49</v>
      </c>
      <c r="H145" s="34" t="s">
        <v>48</v>
      </c>
      <c r="I145" s="33" t="n">
        <v>4200</v>
      </c>
      <c r="J145" s="34" t="s">
        <v>80</v>
      </c>
      <c r="K145" s="34" t="s">
        <v>60</v>
      </c>
      <c r="L145" s="34" t="s">
        <v>116</v>
      </c>
      <c r="M145" s="34" t="s">
        <v>117</v>
      </c>
      <c r="T145" s="38"/>
    </row>
    <row r="146" customFormat="false" ht="15" hidden="false" customHeight="false" outlineLevel="0" collapsed="false">
      <c r="A146" s="0" t="s">
        <v>375</v>
      </c>
      <c r="B146" s="0" t="s">
        <v>376</v>
      </c>
      <c r="C146" s="34" t="s">
        <v>52</v>
      </c>
      <c r="D146" s="34" t="s">
        <v>62</v>
      </c>
      <c r="E146" s="34" t="s">
        <v>51</v>
      </c>
      <c r="F146" s="33" t="n">
        <v>179542</v>
      </c>
      <c r="G146" s="34" t="s">
        <v>49</v>
      </c>
      <c r="H146" s="34" t="s">
        <v>48</v>
      </c>
      <c r="I146" s="33" t="n">
        <v>4200</v>
      </c>
      <c r="J146" s="34" t="s">
        <v>80</v>
      </c>
      <c r="K146" s="34" t="s">
        <v>60</v>
      </c>
      <c r="L146" s="34" t="s">
        <v>96</v>
      </c>
      <c r="M146" s="34" t="s">
        <v>97</v>
      </c>
      <c r="T146" s="38"/>
    </row>
    <row r="147" customFormat="false" ht="15" hidden="false" customHeight="false" outlineLevel="0" collapsed="false">
      <c r="A147" s="0" t="s">
        <v>377</v>
      </c>
      <c r="B147" s="0" t="s">
        <v>378</v>
      </c>
      <c r="C147" s="34" t="s">
        <v>52</v>
      </c>
      <c r="D147" s="34" t="s">
        <v>59</v>
      </c>
      <c r="E147" s="34" t="s">
        <v>57</v>
      </c>
      <c r="F147" s="33" t="n">
        <v>163336</v>
      </c>
      <c r="G147" s="34" t="s">
        <v>43</v>
      </c>
      <c r="H147" s="34" t="s">
        <v>48</v>
      </c>
      <c r="I147" s="33" t="n">
        <v>2800</v>
      </c>
      <c r="J147" s="34" t="s">
        <v>80</v>
      </c>
      <c r="K147" s="34" t="s">
        <v>56</v>
      </c>
      <c r="L147" s="34" t="s">
        <v>81</v>
      </c>
      <c r="M147" s="34" t="s">
        <v>82</v>
      </c>
      <c r="T147" s="38"/>
    </row>
    <row r="148" customFormat="false" ht="15" hidden="false" customHeight="false" outlineLevel="0" collapsed="false">
      <c r="A148" s="0" t="s">
        <v>379</v>
      </c>
      <c r="B148" s="0" t="s">
        <v>380</v>
      </c>
      <c r="C148" s="34" t="s">
        <v>52</v>
      </c>
      <c r="D148" s="34" t="s">
        <v>53</v>
      </c>
      <c r="E148" s="34" t="s">
        <v>57</v>
      </c>
      <c r="F148" s="33" t="n">
        <v>164312</v>
      </c>
      <c r="G148" s="34" t="s">
        <v>43</v>
      </c>
      <c r="H148" s="34" t="s">
        <v>48</v>
      </c>
      <c r="I148" s="33" t="n">
        <v>2800</v>
      </c>
      <c r="J148" s="34" t="s">
        <v>80</v>
      </c>
      <c r="K148" s="34" t="s">
        <v>56</v>
      </c>
      <c r="L148" s="34" t="s">
        <v>110</v>
      </c>
      <c r="M148" s="34" t="s">
        <v>111</v>
      </c>
      <c r="T148" s="38"/>
    </row>
    <row r="149" customFormat="false" ht="15" hidden="false" customHeight="false" outlineLevel="0" collapsed="false">
      <c r="A149" s="0" t="s">
        <v>381</v>
      </c>
      <c r="B149" s="0" t="s">
        <v>382</v>
      </c>
      <c r="C149" s="34" t="s">
        <v>52</v>
      </c>
      <c r="D149" s="34" t="s">
        <v>47</v>
      </c>
      <c r="E149" s="34" t="s">
        <v>51</v>
      </c>
      <c r="F149" s="33" t="n">
        <v>166056</v>
      </c>
      <c r="G149" s="34" t="s">
        <v>43</v>
      </c>
      <c r="H149" s="34" t="s">
        <v>48</v>
      </c>
      <c r="I149" s="33" t="n">
        <v>2800</v>
      </c>
      <c r="J149" s="34" t="s">
        <v>80</v>
      </c>
      <c r="K149" s="34" t="s">
        <v>56</v>
      </c>
      <c r="L149" s="34" t="s">
        <v>102</v>
      </c>
      <c r="M149" s="34" t="s">
        <v>103</v>
      </c>
      <c r="T149" s="38"/>
    </row>
    <row r="150" customFormat="false" ht="15" hidden="false" customHeight="false" outlineLevel="0" collapsed="false">
      <c r="A150" s="0" t="s">
        <v>383</v>
      </c>
      <c r="B150" s="0" t="s">
        <v>384</v>
      </c>
      <c r="C150" s="34" t="s">
        <v>52</v>
      </c>
      <c r="D150" s="34" t="s">
        <v>47</v>
      </c>
      <c r="E150" s="34" t="s">
        <v>57</v>
      </c>
      <c r="F150" s="33" t="n">
        <v>166251</v>
      </c>
      <c r="G150" s="34" t="s">
        <v>43</v>
      </c>
      <c r="H150" s="34" t="s">
        <v>48</v>
      </c>
      <c r="I150" s="33" t="n">
        <v>2800</v>
      </c>
      <c r="J150" s="34" t="s">
        <v>80</v>
      </c>
      <c r="K150" s="34" t="s">
        <v>56</v>
      </c>
      <c r="L150" s="34" t="s">
        <v>102</v>
      </c>
      <c r="M150" s="34" t="s">
        <v>103</v>
      </c>
      <c r="T150" s="38"/>
    </row>
    <row r="151" customFormat="false" ht="15" hidden="false" customHeight="false" outlineLevel="0" collapsed="false">
      <c r="A151" s="0" t="s">
        <v>385</v>
      </c>
      <c r="B151" s="0" t="s">
        <v>386</v>
      </c>
      <c r="C151" s="34" t="s">
        <v>52</v>
      </c>
      <c r="D151" s="34" t="s">
        <v>47</v>
      </c>
      <c r="E151" s="34" t="s">
        <v>51</v>
      </c>
      <c r="F151" s="33" t="n">
        <v>171102</v>
      </c>
      <c r="G151" s="34" t="s">
        <v>49</v>
      </c>
      <c r="H151" s="34" t="s">
        <v>48</v>
      </c>
      <c r="I151" s="33" t="n">
        <v>4200</v>
      </c>
      <c r="J151" s="34" t="s">
        <v>80</v>
      </c>
      <c r="K151" s="34" t="s">
        <v>56</v>
      </c>
      <c r="L151" s="34" t="s">
        <v>102</v>
      </c>
      <c r="M151" s="34" t="s">
        <v>103</v>
      </c>
      <c r="T151" s="38"/>
    </row>
    <row r="152" customFormat="false" ht="15" hidden="false" customHeight="false" outlineLevel="0" collapsed="false">
      <c r="A152" s="0" t="s">
        <v>387</v>
      </c>
      <c r="B152" s="0" t="s">
        <v>388</v>
      </c>
      <c r="C152" s="34" t="s">
        <v>52</v>
      </c>
      <c r="D152" s="34" t="s">
        <v>62</v>
      </c>
      <c r="E152" s="34" t="s">
        <v>57</v>
      </c>
      <c r="F152" s="33" t="n">
        <v>171930</v>
      </c>
      <c r="G152" s="34" t="s">
        <v>49</v>
      </c>
      <c r="H152" s="34" t="s">
        <v>48</v>
      </c>
      <c r="I152" s="33" t="n">
        <v>4200</v>
      </c>
      <c r="J152" s="34" t="s">
        <v>80</v>
      </c>
      <c r="K152" s="34" t="s">
        <v>56</v>
      </c>
      <c r="L152" s="34" t="s">
        <v>96</v>
      </c>
      <c r="M152" s="34" t="s">
        <v>97</v>
      </c>
      <c r="T152" s="38"/>
    </row>
    <row r="153" customFormat="false" ht="15" hidden="false" customHeight="false" outlineLevel="0" collapsed="false">
      <c r="A153" s="0" t="s">
        <v>389</v>
      </c>
      <c r="B153" s="0" t="s">
        <v>390</v>
      </c>
      <c r="C153" s="34" t="s">
        <v>52</v>
      </c>
      <c r="D153" s="34" t="s">
        <v>63</v>
      </c>
      <c r="E153" s="34" t="s">
        <v>51</v>
      </c>
      <c r="F153" s="33" t="n">
        <v>182568</v>
      </c>
      <c r="G153" s="34" t="s">
        <v>43</v>
      </c>
      <c r="H153" s="34" t="s">
        <v>48</v>
      </c>
      <c r="I153" s="33" t="n">
        <v>2800</v>
      </c>
      <c r="J153" s="34" t="s">
        <v>80</v>
      </c>
      <c r="K153" s="34" t="s">
        <v>60</v>
      </c>
      <c r="L153" s="34" t="s">
        <v>116</v>
      </c>
      <c r="M153" s="34" t="s">
        <v>117</v>
      </c>
      <c r="T153" s="38"/>
    </row>
    <row r="154" customFormat="false" ht="15" hidden="false" customHeight="false" outlineLevel="0" collapsed="false">
      <c r="A154" s="0" t="s">
        <v>391</v>
      </c>
      <c r="B154" s="0" t="s">
        <v>392</v>
      </c>
      <c r="C154" s="34" t="s">
        <v>52</v>
      </c>
      <c r="D154" s="34" t="s">
        <v>53</v>
      </c>
      <c r="E154" s="34" t="s">
        <v>45</v>
      </c>
      <c r="F154" s="33" t="n">
        <v>192516</v>
      </c>
      <c r="G154" s="34" t="s">
        <v>49</v>
      </c>
      <c r="H154" s="34" t="s">
        <v>48</v>
      </c>
      <c r="I154" s="33" t="n">
        <v>4200</v>
      </c>
      <c r="J154" s="34" t="s">
        <v>80</v>
      </c>
      <c r="K154" s="34" t="s">
        <v>60</v>
      </c>
      <c r="L154" s="34" t="s">
        <v>110</v>
      </c>
      <c r="M154" s="34" t="s">
        <v>111</v>
      </c>
      <c r="T154" s="38"/>
    </row>
    <row r="155" customFormat="false" ht="15" hidden="false" customHeight="false" outlineLevel="0" collapsed="false">
      <c r="A155" s="0" t="s">
        <v>393</v>
      </c>
      <c r="B155" s="0" t="s">
        <v>394</v>
      </c>
      <c r="C155" s="34" t="s">
        <v>52</v>
      </c>
      <c r="D155" s="34" t="s">
        <v>53</v>
      </c>
      <c r="E155" s="34" t="s">
        <v>57</v>
      </c>
      <c r="F155" s="33" t="n">
        <v>192788</v>
      </c>
      <c r="G155" s="34" t="s">
        <v>43</v>
      </c>
      <c r="H155" s="34" t="s">
        <v>48</v>
      </c>
      <c r="I155" s="33" t="n">
        <v>2800</v>
      </c>
      <c r="J155" s="34" t="s">
        <v>80</v>
      </c>
      <c r="K155" s="34" t="s">
        <v>60</v>
      </c>
      <c r="L155" s="34" t="s">
        <v>110</v>
      </c>
      <c r="M155" s="34" t="s">
        <v>111</v>
      </c>
      <c r="T155" s="38"/>
    </row>
    <row r="156" customFormat="false" ht="15" hidden="false" customHeight="false" outlineLevel="0" collapsed="false">
      <c r="A156" s="0" t="s">
        <v>395</v>
      </c>
      <c r="B156" s="0" t="s">
        <v>396</v>
      </c>
      <c r="C156" s="34" t="s">
        <v>52</v>
      </c>
      <c r="D156" s="34" t="s">
        <v>53</v>
      </c>
      <c r="E156" s="34" t="s">
        <v>51</v>
      </c>
      <c r="F156" s="33" t="n">
        <v>193551</v>
      </c>
      <c r="G156" s="34" t="s">
        <v>43</v>
      </c>
      <c r="H156" s="34" t="s">
        <v>48</v>
      </c>
      <c r="I156" s="33" t="n">
        <v>2800</v>
      </c>
      <c r="J156" s="34" t="s">
        <v>80</v>
      </c>
      <c r="K156" s="34" t="s">
        <v>60</v>
      </c>
      <c r="L156" s="34" t="s">
        <v>110</v>
      </c>
      <c r="M156" s="34" t="s">
        <v>111</v>
      </c>
      <c r="T156" s="38"/>
    </row>
    <row r="157" customFormat="false" ht="15" hidden="false" customHeight="false" outlineLevel="0" collapsed="false">
      <c r="A157" s="0" t="s">
        <v>397</v>
      </c>
      <c r="B157" s="0" t="s">
        <v>398</v>
      </c>
      <c r="C157" s="34" t="s">
        <v>52</v>
      </c>
      <c r="D157" s="34" t="s">
        <v>47</v>
      </c>
      <c r="E157" s="34" t="s">
        <v>45</v>
      </c>
      <c r="F157" s="33" t="n">
        <v>194591</v>
      </c>
      <c r="G157" s="34" t="s">
        <v>43</v>
      </c>
      <c r="H157" s="34" t="s">
        <v>48</v>
      </c>
      <c r="I157" s="33" t="n">
        <v>2800</v>
      </c>
      <c r="J157" s="34" t="s">
        <v>80</v>
      </c>
      <c r="K157" s="34" t="s">
        <v>60</v>
      </c>
      <c r="L157" s="34" t="s">
        <v>102</v>
      </c>
      <c r="M157" s="34" t="s">
        <v>103</v>
      </c>
      <c r="T157" s="38"/>
    </row>
    <row r="158" customFormat="false" ht="15" hidden="false" customHeight="false" outlineLevel="0" collapsed="false">
      <c r="A158" s="0" t="s">
        <v>399</v>
      </c>
      <c r="B158" s="0" t="s">
        <v>400</v>
      </c>
      <c r="C158" s="34" t="s">
        <v>52</v>
      </c>
      <c r="D158" s="34" t="s">
        <v>59</v>
      </c>
      <c r="E158" s="34" t="s">
        <v>61</v>
      </c>
      <c r="F158" s="33" t="n">
        <v>191880</v>
      </c>
      <c r="G158" s="34" t="s">
        <v>49</v>
      </c>
      <c r="H158" s="34" t="s">
        <v>48</v>
      </c>
      <c r="I158" s="33" t="n">
        <v>4200</v>
      </c>
      <c r="J158" s="34" t="s">
        <v>80</v>
      </c>
      <c r="K158" s="34" t="s">
        <v>60</v>
      </c>
      <c r="L158" s="34" t="s">
        <v>81</v>
      </c>
      <c r="M158" s="34" t="s">
        <v>82</v>
      </c>
      <c r="T158" s="38"/>
    </row>
    <row r="159" customFormat="false" ht="15" hidden="false" customHeight="false" outlineLevel="0" collapsed="false">
      <c r="A159" s="0" t="s">
        <v>401</v>
      </c>
      <c r="B159" s="0" t="s">
        <v>402</v>
      </c>
      <c r="C159" s="34" t="s">
        <v>52</v>
      </c>
      <c r="D159" s="34" t="s">
        <v>53</v>
      </c>
      <c r="E159" s="34" t="s">
        <v>51</v>
      </c>
      <c r="F159" s="33" t="n">
        <v>196995</v>
      </c>
      <c r="G159" s="34" t="s">
        <v>43</v>
      </c>
      <c r="H159" s="34" t="s">
        <v>48</v>
      </c>
      <c r="I159" s="33" t="n">
        <v>2800</v>
      </c>
      <c r="J159" s="34" t="s">
        <v>80</v>
      </c>
      <c r="K159" s="34" t="s">
        <v>60</v>
      </c>
      <c r="L159" s="34" t="s">
        <v>110</v>
      </c>
      <c r="M159" s="34" t="s">
        <v>111</v>
      </c>
      <c r="T159" s="38"/>
    </row>
    <row r="160" customFormat="false" ht="15" hidden="false" customHeight="false" outlineLevel="0" collapsed="false">
      <c r="A160" s="0" t="s">
        <v>403</v>
      </c>
      <c r="B160" s="0" t="s">
        <v>404</v>
      </c>
      <c r="C160" s="34" t="s">
        <v>52</v>
      </c>
      <c r="D160" s="34" t="s">
        <v>59</v>
      </c>
      <c r="E160" s="34" t="s">
        <v>61</v>
      </c>
      <c r="F160" s="33" t="n">
        <v>198396</v>
      </c>
      <c r="G160" s="34" t="s">
        <v>49</v>
      </c>
      <c r="H160" s="34" t="s">
        <v>48</v>
      </c>
      <c r="I160" s="33" t="n">
        <v>4200</v>
      </c>
      <c r="J160" s="34" t="s">
        <v>80</v>
      </c>
      <c r="K160" s="34" t="s">
        <v>60</v>
      </c>
      <c r="L160" s="34" t="s">
        <v>81</v>
      </c>
      <c r="M160" s="34" t="s">
        <v>82</v>
      </c>
      <c r="T160" s="38"/>
    </row>
    <row r="161" customFormat="false" ht="15" hidden="false" customHeight="false" outlineLevel="0" collapsed="false">
      <c r="A161" s="0" t="s">
        <v>405</v>
      </c>
      <c r="B161" s="0" t="s">
        <v>406</v>
      </c>
      <c r="C161" s="34" t="s">
        <v>52</v>
      </c>
      <c r="D161" s="34" t="s">
        <v>62</v>
      </c>
      <c r="E161" s="34" t="s">
        <v>57</v>
      </c>
      <c r="F161" s="33" t="n">
        <v>196771</v>
      </c>
      <c r="G161" s="34" t="s">
        <v>43</v>
      </c>
      <c r="H161" s="34" t="s">
        <v>48</v>
      </c>
      <c r="I161" s="33" t="n">
        <v>2800</v>
      </c>
      <c r="J161" s="34" t="s">
        <v>80</v>
      </c>
      <c r="K161" s="34" t="s">
        <v>60</v>
      </c>
      <c r="L161" s="34" t="s">
        <v>96</v>
      </c>
      <c r="M161" s="34" t="s">
        <v>97</v>
      </c>
      <c r="T161" s="38"/>
    </row>
    <row r="162" customFormat="false" ht="15" hidden="false" customHeight="false" outlineLevel="0" collapsed="false">
      <c r="A162" s="0" t="s">
        <v>407</v>
      </c>
      <c r="B162" s="0" t="s">
        <v>408</v>
      </c>
      <c r="C162" s="34" t="s">
        <v>52</v>
      </c>
      <c r="D162" s="34" t="s">
        <v>62</v>
      </c>
      <c r="E162" s="34" t="s">
        <v>61</v>
      </c>
      <c r="F162" s="33" t="n">
        <v>191776</v>
      </c>
      <c r="G162" s="34" t="s">
        <v>43</v>
      </c>
      <c r="H162" s="34" t="s">
        <v>48</v>
      </c>
      <c r="I162" s="33" t="n">
        <v>2800</v>
      </c>
      <c r="J162" s="34" t="s">
        <v>80</v>
      </c>
      <c r="K162" s="34" t="s">
        <v>60</v>
      </c>
      <c r="L162" s="34" t="s">
        <v>96</v>
      </c>
      <c r="M162" s="34" t="s">
        <v>97</v>
      </c>
      <c r="T162" s="38"/>
    </row>
    <row r="163" customFormat="false" ht="15" hidden="false" customHeight="false" outlineLevel="0" collapsed="false">
      <c r="A163" s="0" t="s">
        <v>409</v>
      </c>
      <c r="B163" s="0" t="s">
        <v>410</v>
      </c>
      <c r="C163" s="34" t="s">
        <v>52</v>
      </c>
      <c r="D163" s="34" t="s">
        <v>53</v>
      </c>
      <c r="E163" s="34" t="s">
        <v>61</v>
      </c>
      <c r="F163" s="33" t="n">
        <v>186225</v>
      </c>
      <c r="G163" s="34" t="s">
        <v>49</v>
      </c>
      <c r="H163" s="34" t="s">
        <v>48</v>
      </c>
      <c r="I163" s="33" t="n">
        <v>4200</v>
      </c>
      <c r="J163" s="34" t="s">
        <v>80</v>
      </c>
      <c r="K163" s="34" t="s">
        <v>60</v>
      </c>
      <c r="L163" s="34" t="s">
        <v>110</v>
      </c>
      <c r="M163" s="34" t="s">
        <v>111</v>
      </c>
      <c r="T163" s="38"/>
    </row>
    <row r="164" customFormat="false" ht="15" hidden="false" customHeight="false" outlineLevel="0" collapsed="false">
      <c r="A164" s="0" t="s">
        <v>411</v>
      </c>
      <c r="B164" s="0" t="s">
        <v>412</v>
      </c>
      <c r="C164" s="34" t="s">
        <v>52</v>
      </c>
      <c r="D164" s="34" t="s">
        <v>63</v>
      </c>
      <c r="E164" s="34" t="s">
        <v>57</v>
      </c>
      <c r="F164" s="33" t="n">
        <v>186590</v>
      </c>
      <c r="G164" s="34" t="s">
        <v>43</v>
      </c>
      <c r="H164" s="34" t="s">
        <v>48</v>
      </c>
      <c r="I164" s="33" t="n">
        <v>2800</v>
      </c>
      <c r="J164" s="34" t="s">
        <v>80</v>
      </c>
      <c r="K164" s="34" t="s">
        <v>60</v>
      </c>
      <c r="L164" s="34" t="s">
        <v>116</v>
      </c>
      <c r="M164" s="34" t="s">
        <v>117</v>
      </c>
      <c r="T164" s="38"/>
    </row>
    <row r="165" customFormat="false" ht="15" hidden="false" customHeight="false" outlineLevel="0" collapsed="false">
      <c r="A165" s="0" t="s">
        <v>413</v>
      </c>
      <c r="B165" s="0" t="s">
        <v>414</v>
      </c>
      <c r="C165" s="34" t="s">
        <v>52</v>
      </c>
      <c r="D165" s="34" t="s">
        <v>62</v>
      </c>
      <c r="E165" s="34" t="s">
        <v>61</v>
      </c>
      <c r="F165" s="33" t="n">
        <v>187474</v>
      </c>
      <c r="G165" s="34" t="s">
        <v>49</v>
      </c>
      <c r="H165" s="34" t="s">
        <v>48</v>
      </c>
      <c r="I165" s="33" t="n">
        <v>4200</v>
      </c>
      <c r="J165" s="34" t="s">
        <v>80</v>
      </c>
      <c r="K165" s="34" t="s">
        <v>60</v>
      </c>
      <c r="L165" s="34" t="s">
        <v>96</v>
      </c>
      <c r="M165" s="34" t="s">
        <v>97</v>
      </c>
      <c r="T165" s="38"/>
    </row>
    <row r="166" customFormat="false" ht="15" hidden="false" customHeight="false" outlineLevel="0" collapsed="false">
      <c r="A166" s="0" t="s">
        <v>415</v>
      </c>
      <c r="B166" s="0" t="s">
        <v>416</v>
      </c>
      <c r="C166" s="34" t="s">
        <v>52</v>
      </c>
      <c r="D166" s="34" t="s">
        <v>59</v>
      </c>
      <c r="E166" s="34" t="s">
        <v>57</v>
      </c>
      <c r="F166" s="33" t="n">
        <v>187730</v>
      </c>
      <c r="G166" s="34" t="s">
        <v>49</v>
      </c>
      <c r="H166" s="34" t="s">
        <v>48</v>
      </c>
      <c r="I166" s="33" t="n">
        <v>4200</v>
      </c>
      <c r="J166" s="34" t="s">
        <v>80</v>
      </c>
      <c r="K166" s="34" t="s">
        <v>60</v>
      </c>
      <c r="L166" s="34" t="s">
        <v>81</v>
      </c>
      <c r="M166" s="34" t="s">
        <v>82</v>
      </c>
      <c r="T166" s="38"/>
    </row>
    <row r="167" customFormat="false" ht="15" hidden="false" customHeight="false" outlineLevel="0" collapsed="false">
      <c r="A167" s="0" t="s">
        <v>417</v>
      </c>
      <c r="B167" s="0" t="s">
        <v>246</v>
      </c>
      <c r="C167" s="34" t="s">
        <v>52</v>
      </c>
      <c r="D167" s="34" t="s">
        <v>59</v>
      </c>
      <c r="E167" s="34" t="s">
        <v>51</v>
      </c>
      <c r="F167" s="33" t="n">
        <v>189223</v>
      </c>
      <c r="G167" s="34" t="s">
        <v>49</v>
      </c>
      <c r="H167" s="34" t="s">
        <v>48</v>
      </c>
      <c r="I167" s="33" t="n">
        <v>4200</v>
      </c>
      <c r="J167" s="34" t="s">
        <v>80</v>
      </c>
      <c r="K167" s="34" t="s">
        <v>60</v>
      </c>
      <c r="L167" s="34" t="s">
        <v>81</v>
      </c>
      <c r="M167" s="34" t="s">
        <v>82</v>
      </c>
      <c r="T167" s="38"/>
    </row>
    <row r="168" customFormat="false" ht="15" hidden="false" customHeight="false" outlineLevel="0" collapsed="false">
      <c r="A168" s="0" t="s">
        <v>418</v>
      </c>
      <c r="B168" s="0" t="s">
        <v>419</v>
      </c>
      <c r="C168" s="34" t="s">
        <v>52</v>
      </c>
      <c r="D168" s="34" t="s">
        <v>59</v>
      </c>
      <c r="E168" s="34" t="s">
        <v>45</v>
      </c>
      <c r="F168" s="33" t="n">
        <v>171131</v>
      </c>
      <c r="G168" s="34" t="s">
        <v>49</v>
      </c>
      <c r="H168" s="34" t="s">
        <v>48</v>
      </c>
      <c r="I168" s="33" t="n">
        <v>4200</v>
      </c>
      <c r="J168" s="34" t="s">
        <v>80</v>
      </c>
      <c r="K168" s="34" t="s">
        <v>56</v>
      </c>
      <c r="L168" s="34" t="s">
        <v>81</v>
      </c>
      <c r="M168" s="34" t="s">
        <v>82</v>
      </c>
      <c r="T168" s="38"/>
    </row>
    <row r="169" customFormat="false" ht="15" hidden="false" customHeight="false" outlineLevel="0" collapsed="false">
      <c r="A169" s="0" t="s">
        <v>420</v>
      </c>
      <c r="B169" s="0" t="s">
        <v>421</v>
      </c>
      <c r="C169" s="34" t="s">
        <v>52</v>
      </c>
      <c r="D169" s="34" t="s">
        <v>53</v>
      </c>
      <c r="E169" s="34" t="s">
        <v>57</v>
      </c>
      <c r="F169" s="33" t="n">
        <v>133373</v>
      </c>
      <c r="G169" s="34" t="s">
        <v>43</v>
      </c>
      <c r="H169" s="34" t="s">
        <v>48</v>
      </c>
      <c r="I169" s="33" t="n">
        <v>2800</v>
      </c>
      <c r="J169" s="34" t="s">
        <v>80</v>
      </c>
      <c r="K169" s="34" t="s">
        <v>56</v>
      </c>
      <c r="L169" s="34" t="s">
        <v>110</v>
      </c>
      <c r="M169" s="34" t="s">
        <v>111</v>
      </c>
      <c r="T169" s="38"/>
    </row>
    <row r="170" customFormat="false" ht="15" hidden="false" customHeight="false" outlineLevel="0" collapsed="false">
      <c r="A170" s="0" t="s">
        <v>422</v>
      </c>
      <c r="B170" s="0" t="s">
        <v>423</v>
      </c>
      <c r="C170" s="34" t="s">
        <v>52</v>
      </c>
      <c r="D170" s="34" t="s">
        <v>53</v>
      </c>
      <c r="E170" s="34" t="s">
        <v>61</v>
      </c>
      <c r="F170" s="33" t="n">
        <v>136913</v>
      </c>
      <c r="G170" s="34" t="s">
        <v>49</v>
      </c>
      <c r="H170" s="34" t="s">
        <v>48</v>
      </c>
      <c r="I170" s="33" t="n">
        <v>4200</v>
      </c>
      <c r="J170" s="34" t="s">
        <v>80</v>
      </c>
      <c r="K170" s="34" t="s">
        <v>56</v>
      </c>
      <c r="L170" s="34" t="s">
        <v>110</v>
      </c>
      <c r="M170" s="34" t="s">
        <v>111</v>
      </c>
      <c r="T170" s="38"/>
    </row>
    <row r="171" customFormat="false" ht="15" hidden="false" customHeight="false" outlineLevel="0" collapsed="false">
      <c r="A171" s="0" t="s">
        <v>424</v>
      </c>
      <c r="B171" s="0" t="s">
        <v>425</v>
      </c>
      <c r="C171" s="34" t="s">
        <v>52</v>
      </c>
      <c r="D171" s="34" t="s">
        <v>53</v>
      </c>
      <c r="E171" s="34" t="s">
        <v>51</v>
      </c>
      <c r="F171" s="33" t="n">
        <v>138215</v>
      </c>
      <c r="G171" s="34" t="s">
        <v>49</v>
      </c>
      <c r="H171" s="34" t="s">
        <v>48</v>
      </c>
      <c r="I171" s="33" t="n">
        <v>4200</v>
      </c>
      <c r="J171" s="34" t="s">
        <v>80</v>
      </c>
      <c r="K171" s="34" t="s">
        <v>56</v>
      </c>
      <c r="L171" s="34" t="s">
        <v>110</v>
      </c>
      <c r="M171" s="34" t="s">
        <v>111</v>
      </c>
      <c r="T171" s="38"/>
    </row>
    <row r="172" customFormat="false" ht="15" hidden="false" customHeight="false" outlineLevel="0" collapsed="false">
      <c r="A172" s="0" t="s">
        <v>426</v>
      </c>
      <c r="B172" s="0" t="s">
        <v>427</v>
      </c>
      <c r="C172" s="34" t="s">
        <v>52</v>
      </c>
      <c r="D172" s="34" t="s">
        <v>62</v>
      </c>
      <c r="E172" s="34" t="s">
        <v>51</v>
      </c>
      <c r="F172" s="33" t="n">
        <v>140787</v>
      </c>
      <c r="G172" s="34" t="s">
        <v>49</v>
      </c>
      <c r="H172" s="34" t="s">
        <v>48</v>
      </c>
      <c r="I172" s="33" t="n">
        <v>4200</v>
      </c>
      <c r="J172" s="34" t="s">
        <v>80</v>
      </c>
      <c r="K172" s="34" t="s">
        <v>56</v>
      </c>
      <c r="L172" s="34" t="s">
        <v>96</v>
      </c>
      <c r="M172" s="34" t="s">
        <v>97</v>
      </c>
      <c r="T172" s="38"/>
    </row>
    <row r="173" customFormat="false" ht="15" hidden="false" customHeight="false" outlineLevel="0" collapsed="false">
      <c r="A173" s="0" t="s">
        <v>428</v>
      </c>
      <c r="B173" s="0" t="s">
        <v>429</v>
      </c>
      <c r="C173" s="34" t="s">
        <v>52</v>
      </c>
      <c r="D173" s="34" t="s">
        <v>47</v>
      </c>
      <c r="E173" s="34" t="s">
        <v>61</v>
      </c>
      <c r="F173" s="33" t="n">
        <v>124330</v>
      </c>
      <c r="G173" s="34" t="s">
        <v>49</v>
      </c>
      <c r="H173" s="34" t="s">
        <v>48</v>
      </c>
      <c r="I173" s="33" t="n">
        <v>4200</v>
      </c>
      <c r="J173" s="34" t="s">
        <v>80</v>
      </c>
      <c r="K173" s="34" t="s">
        <v>50</v>
      </c>
      <c r="L173" s="34" t="s">
        <v>102</v>
      </c>
      <c r="M173" s="34" t="s">
        <v>103</v>
      </c>
      <c r="T173" s="38"/>
    </row>
    <row r="174" customFormat="false" ht="15" hidden="false" customHeight="false" outlineLevel="0" collapsed="false">
      <c r="A174" s="0" t="s">
        <v>430</v>
      </c>
      <c r="B174" s="0" t="s">
        <v>431</v>
      </c>
      <c r="C174" s="34" t="s">
        <v>52</v>
      </c>
      <c r="D174" s="34" t="s">
        <v>63</v>
      </c>
      <c r="E174" s="34" t="s">
        <v>57</v>
      </c>
      <c r="F174" s="33" t="n">
        <v>125220</v>
      </c>
      <c r="G174" s="34" t="s">
        <v>43</v>
      </c>
      <c r="H174" s="34" t="s">
        <v>48</v>
      </c>
      <c r="I174" s="33" t="n">
        <v>2800</v>
      </c>
      <c r="J174" s="34" t="s">
        <v>80</v>
      </c>
      <c r="K174" s="34" t="s">
        <v>50</v>
      </c>
      <c r="L174" s="34" t="s">
        <v>116</v>
      </c>
      <c r="M174" s="34" t="s">
        <v>117</v>
      </c>
      <c r="T174" s="38"/>
    </row>
    <row r="175" customFormat="false" ht="15" hidden="false" customHeight="false" outlineLevel="0" collapsed="false">
      <c r="A175" s="0" t="s">
        <v>432</v>
      </c>
      <c r="B175" s="0" t="s">
        <v>433</v>
      </c>
      <c r="C175" s="34" t="s">
        <v>52</v>
      </c>
      <c r="D175" s="34" t="s">
        <v>53</v>
      </c>
      <c r="E175" s="34" t="s">
        <v>57</v>
      </c>
      <c r="F175" s="33" t="n">
        <v>132334</v>
      </c>
      <c r="G175" s="34" t="s">
        <v>43</v>
      </c>
      <c r="H175" s="34" t="s">
        <v>48</v>
      </c>
      <c r="I175" s="33" t="n">
        <v>2800</v>
      </c>
      <c r="J175" s="34" t="s">
        <v>80</v>
      </c>
      <c r="K175" s="34" t="s">
        <v>56</v>
      </c>
      <c r="L175" s="34" t="s">
        <v>110</v>
      </c>
      <c r="M175" s="34" t="s">
        <v>111</v>
      </c>
      <c r="T175" s="38"/>
    </row>
    <row r="176" customFormat="false" ht="15" hidden="false" customHeight="false" outlineLevel="0" collapsed="false">
      <c r="A176" s="0" t="s">
        <v>434</v>
      </c>
      <c r="B176" s="0" t="s">
        <v>435</v>
      </c>
      <c r="C176" s="34" t="s">
        <v>52</v>
      </c>
      <c r="D176" s="34" t="s">
        <v>47</v>
      </c>
      <c r="E176" s="34" t="s">
        <v>61</v>
      </c>
      <c r="F176" s="33" t="n">
        <v>158848</v>
      </c>
      <c r="G176" s="34" t="s">
        <v>43</v>
      </c>
      <c r="H176" s="34" t="s">
        <v>48</v>
      </c>
      <c r="I176" s="33" t="n">
        <v>2800</v>
      </c>
      <c r="J176" s="34" t="s">
        <v>80</v>
      </c>
      <c r="K176" s="34" t="s">
        <v>56</v>
      </c>
      <c r="L176" s="34" t="s">
        <v>102</v>
      </c>
      <c r="M176" s="34" t="s">
        <v>103</v>
      </c>
      <c r="T176" s="38"/>
    </row>
    <row r="177" customFormat="false" ht="15" hidden="false" customHeight="false" outlineLevel="0" collapsed="false">
      <c r="A177" s="0" t="s">
        <v>436</v>
      </c>
      <c r="B177" s="0" t="s">
        <v>437</v>
      </c>
      <c r="C177" s="34" t="s">
        <v>52</v>
      </c>
      <c r="D177" s="34" t="s">
        <v>47</v>
      </c>
      <c r="E177" s="34" t="s">
        <v>45</v>
      </c>
      <c r="F177" s="33" t="n">
        <v>160370</v>
      </c>
      <c r="G177" s="34" t="s">
        <v>49</v>
      </c>
      <c r="H177" s="34" t="s">
        <v>48</v>
      </c>
      <c r="I177" s="33" t="n">
        <v>4200</v>
      </c>
      <c r="J177" s="34" t="s">
        <v>80</v>
      </c>
      <c r="K177" s="34" t="s">
        <v>56</v>
      </c>
      <c r="L177" s="34" t="s">
        <v>102</v>
      </c>
      <c r="M177" s="34" t="s">
        <v>103</v>
      </c>
      <c r="T177" s="38"/>
    </row>
    <row r="178" customFormat="false" ht="15" hidden="false" customHeight="false" outlineLevel="0" collapsed="false">
      <c r="A178" s="0" t="s">
        <v>438</v>
      </c>
      <c r="B178" s="0" t="s">
        <v>147</v>
      </c>
      <c r="C178" s="34" t="s">
        <v>52</v>
      </c>
      <c r="D178" s="34" t="s">
        <v>62</v>
      </c>
      <c r="E178" s="34" t="s">
        <v>57</v>
      </c>
      <c r="F178" s="33" t="n">
        <v>157184</v>
      </c>
      <c r="G178" s="34" t="s">
        <v>43</v>
      </c>
      <c r="H178" s="34" t="s">
        <v>48</v>
      </c>
      <c r="I178" s="33" t="n">
        <v>2800</v>
      </c>
      <c r="J178" s="34" t="s">
        <v>80</v>
      </c>
      <c r="K178" s="34" t="s">
        <v>56</v>
      </c>
      <c r="L178" s="34" t="s">
        <v>96</v>
      </c>
      <c r="M178" s="34" t="s">
        <v>97</v>
      </c>
      <c r="T178" s="38"/>
    </row>
    <row r="179" customFormat="false" ht="15" hidden="false" customHeight="false" outlineLevel="0" collapsed="false">
      <c r="A179" s="0" t="s">
        <v>439</v>
      </c>
      <c r="B179" s="0" t="s">
        <v>440</v>
      </c>
      <c r="C179" s="34" t="s">
        <v>52</v>
      </c>
      <c r="D179" s="34" t="s">
        <v>47</v>
      </c>
      <c r="E179" s="34" t="s">
        <v>45</v>
      </c>
      <c r="F179" s="33" t="n">
        <v>149587</v>
      </c>
      <c r="G179" s="34" t="s">
        <v>49</v>
      </c>
      <c r="H179" s="34" t="s">
        <v>48</v>
      </c>
      <c r="I179" s="33" t="n">
        <v>4200</v>
      </c>
      <c r="J179" s="34" t="s">
        <v>80</v>
      </c>
      <c r="K179" s="34" t="s">
        <v>56</v>
      </c>
      <c r="L179" s="34" t="s">
        <v>102</v>
      </c>
      <c r="M179" s="34" t="s">
        <v>103</v>
      </c>
      <c r="T179" s="38"/>
    </row>
    <row r="180" customFormat="false" ht="15" hidden="false" customHeight="false" outlineLevel="0" collapsed="false">
      <c r="A180" s="0" t="s">
        <v>441</v>
      </c>
      <c r="B180" s="0" t="s">
        <v>442</v>
      </c>
      <c r="C180" s="34" t="s">
        <v>52</v>
      </c>
      <c r="D180" s="34" t="s">
        <v>63</v>
      </c>
      <c r="E180" s="34" t="s">
        <v>61</v>
      </c>
      <c r="F180" s="33" t="n">
        <v>149757</v>
      </c>
      <c r="G180" s="34" t="s">
        <v>43</v>
      </c>
      <c r="H180" s="34" t="s">
        <v>48</v>
      </c>
      <c r="I180" s="33" t="n">
        <v>2800</v>
      </c>
      <c r="J180" s="34" t="s">
        <v>80</v>
      </c>
      <c r="K180" s="34" t="s">
        <v>56</v>
      </c>
      <c r="L180" s="34" t="s">
        <v>116</v>
      </c>
      <c r="M180" s="34" t="s">
        <v>117</v>
      </c>
      <c r="T180" s="38"/>
    </row>
    <row r="181" customFormat="false" ht="15" hidden="false" customHeight="false" outlineLevel="0" collapsed="false">
      <c r="A181" s="0" t="s">
        <v>443</v>
      </c>
      <c r="B181" s="0" t="s">
        <v>444</v>
      </c>
      <c r="C181" s="34" t="s">
        <v>52</v>
      </c>
      <c r="D181" s="34" t="s">
        <v>47</v>
      </c>
      <c r="E181" s="34" t="s">
        <v>45</v>
      </c>
      <c r="F181" s="33" t="n">
        <v>142238</v>
      </c>
      <c r="G181" s="34" t="s">
        <v>49</v>
      </c>
      <c r="H181" s="34" t="s">
        <v>48</v>
      </c>
      <c r="I181" s="33" t="n">
        <v>4200</v>
      </c>
      <c r="J181" s="34" t="s">
        <v>80</v>
      </c>
      <c r="K181" s="34" t="s">
        <v>56</v>
      </c>
      <c r="L181" s="34" t="s">
        <v>102</v>
      </c>
      <c r="M181" s="34" t="s">
        <v>103</v>
      </c>
      <c r="T181" s="38"/>
    </row>
    <row r="182" customFormat="false" ht="15" hidden="false" customHeight="false" outlineLevel="0" collapsed="false">
      <c r="A182" s="0" t="s">
        <v>445</v>
      </c>
      <c r="B182" s="0" t="s">
        <v>446</v>
      </c>
      <c r="C182" s="34" t="s">
        <v>52</v>
      </c>
      <c r="D182" s="34" t="s">
        <v>53</v>
      </c>
      <c r="E182" s="34" t="s">
        <v>57</v>
      </c>
      <c r="F182" s="33" t="n">
        <v>144533</v>
      </c>
      <c r="G182" s="34" t="s">
        <v>49</v>
      </c>
      <c r="H182" s="34" t="s">
        <v>48</v>
      </c>
      <c r="I182" s="33" t="n">
        <v>4200</v>
      </c>
      <c r="J182" s="34" t="s">
        <v>80</v>
      </c>
      <c r="K182" s="34" t="s">
        <v>56</v>
      </c>
      <c r="L182" s="34" t="s">
        <v>110</v>
      </c>
      <c r="M182" s="34" t="s">
        <v>111</v>
      </c>
      <c r="T182" s="38"/>
    </row>
    <row r="183" customFormat="false" ht="15" hidden="false" customHeight="false" outlineLevel="0" collapsed="false">
      <c r="A183" s="0" t="s">
        <v>447</v>
      </c>
      <c r="B183" s="0" t="s">
        <v>448</v>
      </c>
      <c r="C183" s="34" t="s">
        <v>52</v>
      </c>
      <c r="D183" s="34" t="s">
        <v>53</v>
      </c>
      <c r="E183" s="34" t="s">
        <v>45</v>
      </c>
      <c r="F183" s="33" t="n">
        <v>145256</v>
      </c>
      <c r="G183" s="34" t="s">
        <v>49</v>
      </c>
      <c r="H183" s="34" t="s">
        <v>48</v>
      </c>
      <c r="I183" s="33" t="n">
        <v>4200</v>
      </c>
      <c r="J183" s="34" t="s">
        <v>80</v>
      </c>
      <c r="K183" s="34" t="s">
        <v>56</v>
      </c>
      <c r="L183" s="34" t="s">
        <v>110</v>
      </c>
      <c r="M183" s="34" t="s">
        <v>111</v>
      </c>
      <c r="T183" s="38"/>
    </row>
    <row r="184" customFormat="false" ht="15" hidden="false" customHeight="false" outlineLevel="0" collapsed="false">
      <c r="A184" s="0" t="s">
        <v>449</v>
      </c>
      <c r="B184" s="0" t="s">
        <v>450</v>
      </c>
      <c r="C184" s="34" t="s">
        <v>52</v>
      </c>
      <c r="D184" s="34" t="s">
        <v>63</v>
      </c>
      <c r="E184" s="34" t="s">
        <v>45</v>
      </c>
      <c r="F184" s="33" t="n">
        <v>148899</v>
      </c>
      <c r="G184" s="34" t="s">
        <v>43</v>
      </c>
      <c r="H184" s="34" t="s">
        <v>48</v>
      </c>
      <c r="I184" s="33" t="n">
        <v>2800</v>
      </c>
      <c r="J184" s="34" t="s">
        <v>80</v>
      </c>
      <c r="K184" s="34" t="s">
        <v>56</v>
      </c>
      <c r="L184" s="34" t="s">
        <v>116</v>
      </c>
      <c r="M184" s="34" t="s">
        <v>117</v>
      </c>
      <c r="T184" s="38"/>
    </row>
    <row r="185" customFormat="false" ht="15" hidden="false" customHeight="false" outlineLevel="0" collapsed="false">
      <c r="A185" s="0" t="s">
        <v>451</v>
      </c>
      <c r="B185" s="0" t="s">
        <v>452</v>
      </c>
      <c r="C185" s="34" t="s">
        <v>52</v>
      </c>
      <c r="D185" s="34" t="s">
        <v>59</v>
      </c>
      <c r="E185" s="34" t="s">
        <v>57</v>
      </c>
      <c r="F185" s="33" t="n">
        <v>148264</v>
      </c>
      <c r="G185" s="34" t="s">
        <v>43</v>
      </c>
      <c r="H185" s="34" t="s">
        <v>48</v>
      </c>
      <c r="I185" s="33" t="n">
        <v>2800</v>
      </c>
      <c r="J185" s="34" t="s">
        <v>80</v>
      </c>
      <c r="K185" s="34" t="s">
        <v>56</v>
      </c>
      <c r="L185" s="34" t="s">
        <v>81</v>
      </c>
      <c r="M185" s="34" t="s">
        <v>82</v>
      </c>
      <c r="T185" s="38"/>
    </row>
    <row r="186" customFormat="false" ht="15" hidden="false" customHeight="false" outlineLevel="0" collapsed="false">
      <c r="A186" s="0" t="s">
        <v>453</v>
      </c>
      <c r="B186" s="0" t="s">
        <v>454</v>
      </c>
      <c r="C186" s="34" t="s">
        <v>52</v>
      </c>
      <c r="D186" s="34" t="s">
        <v>63</v>
      </c>
      <c r="E186" s="34" t="s">
        <v>57</v>
      </c>
      <c r="F186" s="33" t="n">
        <v>99475</v>
      </c>
      <c r="G186" s="34" t="s">
        <v>43</v>
      </c>
      <c r="H186" s="34" t="s">
        <v>42</v>
      </c>
      <c r="I186" s="33" t="n">
        <v>1500</v>
      </c>
      <c r="J186" s="34" t="s">
        <v>80</v>
      </c>
      <c r="K186" s="34" t="s">
        <v>50</v>
      </c>
      <c r="L186" s="34" t="s">
        <v>116</v>
      </c>
      <c r="M186" s="34" t="s">
        <v>117</v>
      </c>
      <c r="T186" s="38"/>
    </row>
    <row r="187" customFormat="false" ht="15" hidden="false" customHeight="false" outlineLevel="0" collapsed="false">
      <c r="A187" s="0" t="s">
        <v>455</v>
      </c>
      <c r="B187" s="0" t="s">
        <v>456</v>
      </c>
      <c r="C187" s="34" t="s">
        <v>52</v>
      </c>
      <c r="D187" s="34" t="s">
        <v>62</v>
      </c>
      <c r="E187" s="34" t="s">
        <v>61</v>
      </c>
      <c r="F187" s="33" t="n">
        <v>99504</v>
      </c>
      <c r="G187" s="34" t="s">
        <v>43</v>
      </c>
      <c r="H187" s="34" t="s">
        <v>42</v>
      </c>
      <c r="I187" s="33" t="n">
        <v>1500</v>
      </c>
      <c r="J187" s="34" t="s">
        <v>80</v>
      </c>
      <c r="K187" s="34" t="s">
        <v>50</v>
      </c>
      <c r="L187" s="34" t="s">
        <v>96</v>
      </c>
      <c r="M187" s="34" t="s">
        <v>97</v>
      </c>
      <c r="T187" s="38"/>
    </row>
    <row r="188" customFormat="false" ht="15" hidden="false" customHeight="false" outlineLevel="0" collapsed="false">
      <c r="A188" s="0" t="s">
        <v>457</v>
      </c>
      <c r="B188" s="0" t="s">
        <v>458</v>
      </c>
      <c r="C188" s="34" t="s">
        <v>52</v>
      </c>
      <c r="D188" s="34" t="s">
        <v>59</v>
      </c>
      <c r="E188" s="34" t="s">
        <v>45</v>
      </c>
      <c r="F188" s="33" t="n">
        <v>105089</v>
      </c>
      <c r="G188" s="34" t="s">
        <v>43</v>
      </c>
      <c r="H188" s="34" t="s">
        <v>42</v>
      </c>
      <c r="I188" s="33" t="n">
        <v>1500</v>
      </c>
      <c r="J188" s="34" t="s">
        <v>80</v>
      </c>
      <c r="K188" s="34" t="s">
        <v>50</v>
      </c>
      <c r="L188" s="34" t="s">
        <v>81</v>
      </c>
      <c r="M188" s="34" t="s">
        <v>82</v>
      </c>
      <c r="T188" s="38"/>
    </row>
    <row r="189" customFormat="false" ht="15" hidden="false" customHeight="false" outlineLevel="0" collapsed="false">
      <c r="A189" s="0" t="s">
        <v>459</v>
      </c>
      <c r="B189" s="0" t="s">
        <v>460</v>
      </c>
      <c r="C189" s="34" t="s">
        <v>52</v>
      </c>
      <c r="D189" s="34" t="s">
        <v>63</v>
      </c>
      <c r="E189" s="34" t="s">
        <v>45</v>
      </c>
      <c r="F189" s="33" t="n">
        <v>110252</v>
      </c>
      <c r="G189" s="34" t="s">
        <v>43</v>
      </c>
      <c r="H189" s="34" t="s">
        <v>42</v>
      </c>
      <c r="I189" s="33" t="n">
        <v>1500</v>
      </c>
      <c r="J189" s="34" t="s">
        <v>80</v>
      </c>
      <c r="K189" s="34" t="s">
        <v>50</v>
      </c>
      <c r="L189" s="34" t="s">
        <v>116</v>
      </c>
      <c r="M189" s="34" t="s">
        <v>117</v>
      </c>
      <c r="T189" s="38"/>
    </row>
    <row r="190" customFormat="false" ht="15" hidden="false" customHeight="false" outlineLevel="0" collapsed="false">
      <c r="A190" s="0" t="s">
        <v>461</v>
      </c>
      <c r="B190" s="0" t="s">
        <v>446</v>
      </c>
      <c r="C190" s="34" t="s">
        <v>52</v>
      </c>
      <c r="D190" s="34" t="s">
        <v>63</v>
      </c>
      <c r="E190" s="34" t="s">
        <v>45</v>
      </c>
      <c r="F190" s="33" t="n">
        <v>106620</v>
      </c>
      <c r="G190" s="34" t="s">
        <v>43</v>
      </c>
      <c r="H190" s="34" t="s">
        <v>42</v>
      </c>
      <c r="I190" s="33" t="n">
        <v>1500</v>
      </c>
      <c r="J190" s="34" t="s">
        <v>80</v>
      </c>
      <c r="K190" s="34" t="s">
        <v>50</v>
      </c>
      <c r="L190" s="34" t="s">
        <v>116</v>
      </c>
      <c r="M190" s="34" t="s">
        <v>117</v>
      </c>
      <c r="T190" s="38"/>
    </row>
    <row r="191" customFormat="false" ht="15" hidden="false" customHeight="false" outlineLevel="0" collapsed="false">
      <c r="A191" s="0" t="s">
        <v>462</v>
      </c>
      <c r="B191" s="0" t="s">
        <v>463</v>
      </c>
      <c r="C191" s="34" t="s">
        <v>52</v>
      </c>
      <c r="D191" s="34" t="s">
        <v>63</v>
      </c>
      <c r="E191" s="34" t="s">
        <v>61</v>
      </c>
      <c r="F191" s="33" t="n">
        <v>53201</v>
      </c>
      <c r="G191" s="34" t="s">
        <v>43</v>
      </c>
      <c r="H191" s="34" t="s">
        <v>42</v>
      </c>
      <c r="I191" s="33" t="n">
        <v>1500</v>
      </c>
      <c r="J191" s="34" t="s">
        <v>80</v>
      </c>
      <c r="K191" s="34" t="s">
        <v>44</v>
      </c>
      <c r="L191" s="34" t="s">
        <v>116</v>
      </c>
      <c r="M191" s="34" t="s">
        <v>117</v>
      </c>
      <c r="T191" s="38"/>
    </row>
    <row r="192" customFormat="false" ht="15" hidden="false" customHeight="false" outlineLevel="0" collapsed="false">
      <c r="A192" s="0" t="s">
        <v>464</v>
      </c>
      <c r="B192" s="0" t="s">
        <v>465</v>
      </c>
      <c r="C192" s="34" t="s">
        <v>52</v>
      </c>
      <c r="D192" s="34" t="s">
        <v>62</v>
      </c>
      <c r="E192" s="34" t="s">
        <v>57</v>
      </c>
      <c r="F192" s="33" t="n">
        <v>55432</v>
      </c>
      <c r="G192" s="34" t="s">
        <v>43</v>
      </c>
      <c r="H192" s="34" t="s">
        <v>42</v>
      </c>
      <c r="I192" s="33" t="n">
        <v>1500</v>
      </c>
      <c r="J192" s="34" t="s">
        <v>80</v>
      </c>
      <c r="K192" s="34" t="s">
        <v>44</v>
      </c>
      <c r="L192" s="34" t="s">
        <v>96</v>
      </c>
      <c r="M192" s="34" t="s">
        <v>97</v>
      </c>
      <c r="T192" s="38"/>
    </row>
    <row r="193" customFormat="false" ht="15" hidden="false" customHeight="false" outlineLevel="0" collapsed="false">
      <c r="A193" s="0" t="s">
        <v>466</v>
      </c>
      <c r="B193" s="0" t="s">
        <v>467</v>
      </c>
      <c r="C193" s="34" t="s">
        <v>52</v>
      </c>
      <c r="D193" s="34" t="s">
        <v>62</v>
      </c>
      <c r="E193" s="34" t="s">
        <v>51</v>
      </c>
      <c r="F193" s="33" t="n">
        <v>88479</v>
      </c>
      <c r="G193" s="34" t="s">
        <v>43</v>
      </c>
      <c r="H193" s="34" t="s">
        <v>42</v>
      </c>
      <c r="I193" s="33" t="n">
        <v>1500</v>
      </c>
      <c r="J193" s="34" t="s">
        <v>80</v>
      </c>
      <c r="K193" s="34" t="s">
        <v>50</v>
      </c>
      <c r="L193" s="34" t="s">
        <v>96</v>
      </c>
      <c r="M193" s="34" t="s">
        <v>97</v>
      </c>
      <c r="T193" s="38"/>
    </row>
    <row r="194" customFormat="false" ht="15" hidden="false" customHeight="false" outlineLevel="0" collapsed="false">
      <c r="A194" s="0" t="s">
        <v>468</v>
      </c>
      <c r="B194" s="0" t="s">
        <v>469</v>
      </c>
      <c r="C194" s="34" t="s">
        <v>52</v>
      </c>
      <c r="D194" s="34" t="s">
        <v>62</v>
      </c>
      <c r="E194" s="34" t="s">
        <v>57</v>
      </c>
      <c r="F194" s="33" t="n">
        <v>82315</v>
      </c>
      <c r="G194" s="34" t="s">
        <v>43</v>
      </c>
      <c r="H194" s="34" t="s">
        <v>42</v>
      </c>
      <c r="I194" s="33" t="n">
        <v>1500</v>
      </c>
      <c r="J194" s="34" t="s">
        <v>80</v>
      </c>
      <c r="K194" s="34" t="s">
        <v>44</v>
      </c>
      <c r="L194" s="34" t="s">
        <v>96</v>
      </c>
      <c r="M194" s="34" t="s">
        <v>97</v>
      </c>
      <c r="T194" s="38"/>
    </row>
    <row r="195" customFormat="false" ht="15" hidden="false" customHeight="false" outlineLevel="0" collapsed="false">
      <c r="A195" s="0" t="s">
        <v>470</v>
      </c>
      <c r="B195" s="0" t="s">
        <v>471</v>
      </c>
      <c r="C195" s="34" t="s">
        <v>52</v>
      </c>
      <c r="D195" s="34" t="s">
        <v>53</v>
      </c>
      <c r="E195" s="34" t="s">
        <v>45</v>
      </c>
      <c r="F195" s="33" t="n">
        <v>75474</v>
      </c>
      <c r="G195" s="34" t="s">
        <v>43</v>
      </c>
      <c r="H195" s="34" t="s">
        <v>42</v>
      </c>
      <c r="I195" s="33" t="n">
        <v>1500</v>
      </c>
      <c r="J195" s="34" t="s">
        <v>80</v>
      </c>
      <c r="K195" s="34" t="s">
        <v>44</v>
      </c>
      <c r="L195" s="34" t="s">
        <v>110</v>
      </c>
      <c r="M195" s="34" t="s">
        <v>111</v>
      </c>
      <c r="T195" s="38"/>
    </row>
    <row r="196" customFormat="false" ht="15" hidden="false" customHeight="false" outlineLevel="0" collapsed="false">
      <c r="A196" s="0" t="s">
        <v>472</v>
      </c>
      <c r="B196" s="0" t="s">
        <v>473</v>
      </c>
      <c r="C196" s="34" t="s">
        <v>52</v>
      </c>
      <c r="D196" s="34" t="s">
        <v>62</v>
      </c>
      <c r="E196" s="34" t="s">
        <v>57</v>
      </c>
      <c r="F196" s="33" t="n">
        <v>77643</v>
      </c>
      <c r="G196" s="34" t="s">
        <v>55</v>
      </c>
      <c r="H196" s="34" t="s">
        <v>42</v>
      </c>
      <c r="I196" s="33" t="n">
        <v>9500</v>
      </c>
      <c r="J196" s="34" t="s">
        <v>80</v>
      </c>
      <c r="K196" s="34" t="s">
        <v>44</v>
      </c>
      <c r="L196" s="34" t="s">
        <v>96</v>
      </c>
      <c r="M196" s="34" t="s">
        <v>97</v>
      </c>
      <c r="T196" s="38"/>
    </row>
    <row r="197" customFormat="false" ht="15" hidden="false" customHeight="false" outlineLevel="0" collapsed="false">
      <c r="A197" s="0" t="s">
        <v>474</v>
      </c>
      <c r="B197" s="0" t="s">
        <v>475</v>
      </c>
      <c r="C197" s="34" t="s">
        <v>52</v>
      </c>
      <c r="D197" s="34" t="s">
        <v>59</v>
      </c>
      <c r="E197" s="34" t="s">
        <v>45</v>
      </c>
      <c r="F197" s="33" t="n">
        <v>174724</v>
      </c>
      <c r="G197" s="34" t="s">
        <v>43</v>
      </c>
      <c r="H197" s="34" t="s">
        <v>42</v>
      </c>
      <c r="I197" s="33" t="n">
        <v>1500</v>
      </c>
      <c r="J197" s="34" t="s">
        <v>80</v>
      </c>
      <c r="K197" s="34" t="s">
        <v>56</v>
      </c>
      <c r="L197" s="34" t="s">
        <v>81</v>
      </c>
      <c r="M197" s="34" t="s">
        <v>82</v>
      </c>
      <c r="T197" s="38"/>
    </row>
    <row r="198" customFormat="false" ht="15" hidden="false" customHeight="false" outlineLevel="0" collapsed="false">
      <c r="A198" s="0" t="s">
        <v>476</v>
      </c>
      <c r="B198" s="0" t="s">
        <v>477</v>
      </c>
      <c r="C198" s="34" t="s">
        <v>52</v>
      </c>
      <c r="D198" s="34" t="s">
        <v>53</v>
      </c>
      <c r="E198" s="34" t="s">
        <v>61</v>
      </c>
      <c r="F198" s="33" t="n">
        <v>180363</v>
      </c>
      <c r="G198" s="34" t="s">
        <v>43</v>
      </c>
      <c r="H198" s="34" t="s">
        <v>42</v>
      </c>
      <c r="I198" s="33" t="n">
        <v>1500</v>
      </c>
      <c r="J198" s="34" t="s">
        <v>80</v>
      </c>
      <c r="K198" s="34" t="s">
        <v>60</v>
      </c>
      <c r="L198" s="34" t="s">
        <v>110</v>
      </c>
      <c r="M198" s="34" t="s">
        <v>111</v>
      </c>
      <c r="T198" s="38"/>
    </row>
    <row r="199" customFormat="false" ht="15" hidden="false" customHeight="false" outlineLevel="0" collapsed="false">
      <c r="A199" s="0" t="s">
        <v>478</v>
      </c>
      <c r="B199" s="0" t="s">
        <v>479</v>
      </c>
      <c r="C199" s="34" t="s">
        <v>52</v>
      </c>
      <c r="D199" s="34" t="s">
        <v>47</v>
      </c>
      <c r="E199" s="34" t="s">
        <v>57</v>
      </c>
      <c r="F199" s="33" t="n">
        <v>164229</v>
      </c>
      <c r="G199" s="34" t="s">
        <v>43</v>
      </c>
      <c r="H199" s="34" t="s">
        <v>42</v>
      </c>
      <c r="I199" s="33" t="n">
        <v>1500</v>
      </c>
      <c r="J199" s="34" t="s">
        <v>80</v>
      </c>
      <c r="K199" s="34" t="s">
        <v>56</v>
      </c>
      <c r="L199" s="34" t="s">
        <v>102</v>
      </c>
      <c r="M199" s="34" t="s">
        <v>103</v>
      </c>
      <c r="T199" s="38"/>
    </row>
    <row r="200" customFormat="false" ht="15" hidden="false" customHeight="false" outlineLevel="0" collapsed="false">
      <c r="A200" s="0" t="s">
        <v>480</v>
      </c>
      <c r="B200" s="0" t="s">
        <v>135</v>
      </c>
      <c r="C200" s="34" t="s">
        <v>52</v>
      </c>
      <c r="D200" s="34" t="s">
        <v>53</v>
      </c>
      <c r="E200" s="34" t="s">
        <v>61</v>
      </c>
      <c r="F200" s="33" t="n">
        <v>172100</v>
      </c>
      <c r="G200" s="34" t="s">
        <v>55</v>
      </c>
      <c r="H200" s="34" t="s">
        <v>42</v>
      </c>
      <c r="I200" s="33" t="n">
        <v>9500</v>
      </c>
      <c r="J200" s="34" t="s">
        <v>80</v>
      </c>
      <c r="K200" s="34" t="s">
        <v>56</v>
      </c>
      <c r="L200" s="34" t="s">
        <v>110</v>
      </c>
      <c r="M200" s="34" t="s">
        <v>111</v>
      </c>
      <c r="T200" s="38"/>
    </row>
    <row r="201" customFormat="false" ht="15" hidden="false" customHeight="false" outlineLevel="0" collapsed="false">
      <c r="A201" s="0" t="s">
        <v>481</v>
      </c>
      <c r="B201" s="0" t="s">
        <v>482</v>
      </c>
      <c r="C201" s="34" t="s">
        <v>52</v>
      </c>
      <c r="D201" s="34" t="s">
        <v>63</v>
      </c>
      <c r="E201" s="34" t="s">
        <v>57</v>
      </c>
      <c r="F201" s="33" t="n">
        <v>194465</v>
      </c>
      <c r="G201" s="34" t="s">
        <v>43</v>
      </c>
      <c r="H201" s="34" t="s">
        <v>42</v>
      </c>
      <c r="I201" s="33" t="n">
        <v>1500</v>
      </c>
      <c r="J201" s="34" t="s">
        <v>80</v>
      </c>
      <c r="K201" s="34" t="s">
        <v>60</v>
      </c>
      <c r="L201" s="34" t="s">
        <v>116</v>
      </c>
      <c r="M201" s="34" t="s">
        <v>117</v>
      </c>
      <c r="T201" s="38"/>
    </row>
    <row r="202" customFormat="false" ht="15" hidden="false" customHeight="false" outlineLevel="0" collapsed="false">
      <c r="A202" s="0" t="s">
        <v>483</v>
      </c>
      <c r="B202" s="0" t="s">
        <v>484</v>
      </c>
      <c r="C202" s="34" t="s">
        <v>52</v>
      </c>
      <c r="D202" s="34" t="s">
        <v>63</v>
      </c>
      <c r="E202" s="34" t="s">
        <v>51</v>
      </c>
      <c r="F202" s="33" t="n">
        <v>197756</v>
      </c>
      <c r="G202" s="34" t="s">
        <v>43</v>
      </c>
      <c r="H202" s="34" t="s">
        <v>42</v>
      </c>
      <c r="I202" s="33" t="n">
        <v>1500</v>
      </c>
      <c r="J202" s="34" t="s">
        <v>80</v>
      </c>
      <c r="K202" s="34" t="s">
        <v>60</v>
      </c>
      <c r="L202" s="34" t="s">
        <v>116</v>
      </c>
      <c r="M202" s="34" t="s">
        <v>117</v>
      </c>
      <c r="T202" s="38"/>
    </row>
    <row r="203" customFormat="false" ht="15" hidden="false" customHeight="false" outlineLevel="0" collapsed="false">
      <c r="A203" s="0" t="s">
        <v>485</v>
      </c>
      <c r="B203" s="0" t="s">
        <v>486</v>
      </c>
      <c r="C203" s="34" t="s">
        <v>52</v>
      </c>
      <c r="D203" s="34" t="s">
        <v>59</v>
      </c>
      <c r="E203" s="34" t="s">
        <v>61</v>
      </c>
      <c r="F203" s="33" t="n">
        <v>189605</v>
      </c>
      <c r="G203" s="34" t="s">
        <v>43</v>
      </c>
      <c r="H203" s="34" t="s">
        <v>42</v>
      </c>
      <c r="I203" s="33" t="n">
        <v>1500</v>
      </c>
      <c r="J203" s="34" t="s">
        <v>80</v>
      </c>
      <c r="K203" s="34" t="s">
        <v>60</v>
      </c>
      <c r="L203" s="34" t="s">
        <v>81</v>
      </c>
      <c r="M203" s="34" t="s">
        <v>82</v>
      </c>
      <c r="T203" s="38"/>
    </row>
    <row r="204" customFormat="false" ht="15" hidden="false" customHeight="false" outlineLevel="0" collapsed="false">
      <c r="A204" s="0" t="s">
        <v>487</v>
      </c>
      <c r="B204" s="0" t="s">
        <v>488</v>
      </c>
      <c r="C204" s="34" t="s">
        <v>52</v>
      </c>
      <c r="D204" s="34" t="s">
        <v>63</v>
      </c>
      <c r="E204" s="34" t="s">
        <v>57</v>
      </c>
      <c r="F204" s="33" t="n">
        <v>162697</v>
      </c>
      <c r="G204" s="34" t="s">
        <v>43</v>
      </c>
      <c r="H204" s="34" t="s">
        <v>42</v>
      </c>
      <c r="I204" s="33" t="n">
        <v>1500</v>
      </c>
      <c r="J204" s="34" t="s">
        <v>80</v>
      </c>
      <c r="K204" s="34" t="s">
        <v>56</v>
      </c>
      <c r="L204" s="34" t="s">
        <v>116</v>
      </c>
      <c r="M204" s="34" t="s">
        <v>117</v>
      </c>
      <c r="T204" s="38"/>
    </row>
    <row r="205" customFormat="false" ht="15" hidden="false" customHeight="false" outlineLevel="0" collapsed="false">
      <c r="A205" s="0" t="s">
        <v>489</v>
      </c>
      <c r="B205" s="0" t="s">
        <v>490</v>
      </c>
      <c r="C205" s="34" t="s">
        <v>52</v>
      </c>
      <c r="D205" s="34" t="s">
        <v>47</v>
      </c>
      <c r="E205" s="34" t="s">
        <v>61</v>
      </c>
      <c r="F205" s="33" t="n">
        <v>134629</v>
      </c>
      <c r="G205" s="34" t="s">
        <v>43</v>
      </c>
      <c r="H205" s="34" t="s">
        <v>42</v>
      </c>
      <c r="I205" s="33" t="n">
        <v>1500</v>
      </c>
      <c r="J205" s="34" t="s">
        <v>80</v>
      </c>
      <c r="K205" s="34" t="s">
        <v>56</v>
      </c>
      <c r="L205" s="34" t="s">
        <v>102</v>
      </c>
      <c r="M205" s="34" t="s">
        <v>103</v>
      </c>
      <c r="T205" s="38"/>
    </row>
    <row r="206" customFormat="false" ht="15" hidden="false" customHeight="false" outlineLevel="0" collapsed="false">
      <c r="A206" s="0" t="s">
        <v>491</v>
      </c>
      <c r="B206" s="0" t="s">
        <v>492</v>
      </c>
      <c r="C206" s="34" t="s">
        <v>52</v>
      </c>
      <c r="D206" s="34" t="s">
        <v>47</v>
      </c>
      <c r="E206" s="34" t="s">
        <v>61</v>
      </c>
      <c r="F206" s="33" t="n">
        <v>135303</v>
      </c>
      <c r="G206" s="34" t="s">
        <v>43</v>
      </c>
      <c r="H206" s="34" t="s">
        <v>42</v>
      </c>
      <c r="I206" s="33" t="n">
        <v>1500</v>
      </c>
      <c r="J206" s="34" t="s">
        <v>80</v>
      </c>
      <c r="K206" s="34" t="s">
        <v>56</v>
      </c>
      <c r="L206" s="34" t="s">
        <v>102</v>
      </c>
      <c r="M206" s="34" t="s">
        <v>103</v>
      </c>
      <c r="T206" s="38"/>
    </row>
    <row r="207" customFormat="false" ht="15" hidden="false" customHeight="false" outlineLevel="0" collapsed="false">
      <c r="A207" s="0" t="s">
        <v>493</v>
      </c>
      <c r="B207" s="0" t="s">
        <v>494</v>
      </c>
      <c r="C207" s="34" t="s">
        <v>52</v>
      </c>
      <c r="D207" s="34" t="s">
        <v>47</v>
      </c>
      <c r="E207" s="34" t="s">
        <v>61</v>
      </c>
      <c r="F207" s="33" t="n">
        <v>132522</v>
      </c>
      <c r="G207" s="34" t="s">
        <v>43</v>
      </c>
      <c r="H207" s="34" t="s">
        <v>42</v>
      </c>
      <c r="I207" s="33" t="n">
        <v>1500</v>
      </c>
      <c r="J207" s="34" t="s">
        <v>80</v>
      </c>
      <c r="K207" s="34" t="s">
        <v>56</v>
      </c>
      <c r="L207" s="34" t="s">
        <v>102</v>
      </c>
      <c r="M207" s="34" t="s">
        <v>103</v>
      </c>
      <c r="T207" s="38"/>
    </row>
    <row r="208" customFormat="false" ht="15" hidden="false" customHeight="false" outlineLevel="0" collapsed="false">
      <c r="A208" s="0" t="s">
        <v>495</v>
      </c>
      <c r="B208" s="0" t="s">
        <v>496</v>
      </c>
      <c r="C208" s="34" t="s">
        <v>52</v>
      </c>
      <c r="D208" s="34" t="s">
        <v>53</v>
      </c>
      <c r="E208" s="34" t="s">
        <v>51</v>
      </c>
      <c r="F208" s="33" t="n">
        <v>125231</v>
      </c>
      <c r="G208" s="34" t="s">
        <v>43</v>
      </c>
      <c r="H208" s="34" t="s">
        <v>42</v>
      </c>
      <c r="I208" s="33" t="n">
        <v>1500</v>
      </c>
      <c r="J208" s="34" t="s">
        <v>80</v>
      </c>
      <c r="K208" s="34" t="s">
        <v>50</v>
      </c>
      <c r="L208" s="34" t="s">
        <v>110</v>
      </c>
      <c r="M208" s="34" t="s">
        <v>111</v>
      </c>
      <c r="T208" s="38"/>
    </row>
    <row r="209" customFormat="false" ht="15" hidden="false" customHeight="false" outlineLevel="0" collapsed="false">
      <c r="A209" s="0" t="s">
        <v>497</v>
      </c>
      <c r="B209" s="0" t="s">
        <v>467</v>
      </c>
      <c r="C209" s="34" t="s">
        <v>52</v>
      </c>
      <c r="D209" s="34" t="s">
        <v>63</v>
      </c>
      <c r="E209" s="34" t="s">
        <v>51</v>
      </c>
      <c r="F209" s="33" t="n">
        <v>153580</v>
      </c>
      <c r="G209" s="34" t="s">
        <v>43</v>
      </c>
      <c r="H209" s="34" t="s">
        <v>42</v>
      </c>
      <c r="I209" s="33" t="n">
        <v>1500</v>
      </c>
      <c r="J209" s="34" t="s">
        <v>80</v>
      </c>
      <c r="K209" s="34" t="s">
        <v>56</v>
      </c>
      <c r="L209" s="34" t="s">
        <v>116</v>
      </c>
      <c r="M209" s="34" t="s">
        <v>117</v>
      </c>
      <c r="T209" s="38"/>
    </row>
    <row r="210" customFormat="false" ht="15" hidden="false" customHeight="false" outlineLevel="0" collapsed="false">
      <c r="A210" s="0" t="s">
        <v>498</v>
      </c>
      <c r="B210" s="0" t="s">
        <v>499</v>
      </c>
      <c r="C210" s="34" t="s">
        <v>52</v>
      </c>
      <c r="D210" s="34" t="s">
        <v>62</v>
      </c>
      <c r="E210" s="34" t="s">
        <v>57</v>
      </c>
      <c r="F210" s="33" t="n">
        <v>149583</v>
      </c>
      <c r="G210" s="34" t="s">
        <v>43</v>
      </c>
      <c r="H210" s="34" t="s">
        <v>42</v>
      </c>
      <c r="I210" s="33" t="n">
        <v>1500</v>
      </c>
      <c r="J210" s="34" t="s">
        <v>80</v>
      </c>
      <c r="K210" s="34" t="s">
        <v>56</v>
      </c>
      <c r="L210" s="34" t="s">
        <v>96</v>
      </c>
      <c r="M210" s="34" t="s">
        <v>97</v>
      </c>
      <c r="T210" s="38"/>
    </row>
    <row r="211" customFormat="false" ht="15" hidden="false" customHeight="false" outlineLevel="0" collapsed="false">
      <c r="A211" s="0" t="s">
        <v>500</v>
      </c>
      <c r="B211" s="0" t="s">
        <v>501</v>
      </c>
      <c r="C211" s="34" t="s">
        <v>46</v>
      </c>
      <c r="D211" s="34" t="s">
        <v>59</v>
      </c>
      <c r="E211" s="34" t="s">
        <v>51</v>
      </c>
      <c r="F211" s="33" t="n">
        <v>117725</v>
      </c>
      <c r="G211" s="34" t="s">
        <v>43</v>
      </c>
      <c r="H211" s="34" t="s">
        <v>42</v>
      </c>
      <c r="I211" s="33" t="n">
        <v>1500</v>
      </c>
      <c r="J211" s="34" t="s">
        <v>80</v>
      </c>
      <c r="K211" s="34" t="s">
        <v>50</v>
      </c>
      <c r="L211" s="34" t="s">
        <v>81</v>
      </c>
      <c r="M211" s="34" t="s">
        <v>82</v>
      </c>
      <c r="T211" s="38"/>
    </row>
    <row r="212" customFormat="false" ht="15" hidden="false" customHeight="false" outlineLevel="0" collapsed="false">
      <c r="A212" s="0" t="s">
        <v>502</v>
      </c>
      <c r="B212" s="0" t="s">
        <v>127</v>
      </c>
      <c r="C212" s="34" t="s">
        <v>46</v>
      </c>
      <c r="D212" s="34" t="s">
        <v>47</v>
      </c>
      <c r="E212" s="34" t="s">
        <v>45</v>
      </c>
      <c r="F212" s="33" t="n">
        <v>112366</v>
      </c>
      <c r="G212" s="34" t="s">
        <v>43</v>
      </c>
      <c r="H212" s="34" t="s">
        <v>42</v>
      </c>
      <c r="I212" s="33" t="n">
        <v>1500</v>
      </c>
      <c r="J212" s="34" t="s">
        <v>80</v>
      </c>
      <c r="K212" s="34" t="s">
        <v>50</v>
      </c>
      <c r="L212" s="34" t="s">
        <v>102</v>
      </c>
      <c r="M212" s="34" t="s">
        <v>103</v>
      </c>
      <c r="T212" s="38"/>
    </row>
    <row r="213" customFormat="false" ht="15" hidden="false" customHeight="false" outlineLevel="0" collapsed="false">
      <c r="A213" s="0" t="s">
        <v>503</v>
      </c>
      <c r="B213" s="0" t="s">
        <v>504</v>
      </c>
      <c r="C213" s="34" t="s">
        <v>46</v>
      </c>
      <c r="D213" s="34" t="s">
        <v>62</v>
      </c>
      <c r="E213" s="34" t="s">
        <v>45</v>
      </c>
      <c r="F213" s="33" t="n">
        <v>65323</v>
      </c>
      <c r="G213" s="34" t="s">
        <v>43</v>
      </c>
      <c r="H213" s="34" t="s">
        <v>42</v>
      </c>
      <c r="I213" s="33" t="n">
        <v>1500</v>
      </c>
      <c r="J213" s="34" t="s">
        <v>80</v>
      </c>
      <c r="K213" s="34" t="s">
        <v>44</v>
      </c>
      <c r="L213" s="34" t="s">
        <v>96</v>
      </c>
      <c r="M213" s="34" t="s">
        <v>97</v>
      </c>
      <c r="T213" s="38"/>
    </row>
    <row r="214" customFormat="false" ht="15" hidden="false" customHeight="false" outlineLevel="0" collapsed="false">
      <c r="A214" s="0" t="s">
        <v>505</v>
      </c>
      <c r="B214" s="0" t="s">
        <v>147</v>
      </c>
      <c r="C214" s="34" t="s">
        <v>46</v>
      </c>
      <c r="D214" s="34" t="s">
        <v>47</v>
      </c>
      <c r="E214" s="34" t="s">
        <v>45</v>
      </c>
      <c r="F214" s="33" t="n">
        <v>54124</v>
      </c>
      <c r="G214" s="34" t="s">
        <v>55</v>
      </c>
      <c r="H214" s="34" t="s">
        <v>42</v>
      </c>
      <c r="I214" s="33" t="n">
        <v>9500</v>
      </c>
      <c r="J214" s="34" t="s">
        <v>80</v>
      </c>
      <c r="K214" s="34" t="s">
        <v>44</v>
      </c>
      <c r="L214" s="34" t="s">
        <v>102</v>
      </c>
      <c r="M214" s="34" t="s">
        <v>103</v>
      </c>
      <c r="T214" s="38"/>
    </row>
    <row r="215" customFormat="false" ht="15" hidden="false" customHeight="false" outlineLevel="0" collapsed="false">
      <c r="A215" s="0" t="s">
        <v>506</v>
      </c>
      <c r="B215" s="0" t="s">
        <v>507</v>
      </c>
      <c r="C215" s="34" t="s">
        <v>46</v>
      </c>
      <c r="D215" s="34" t="s">
        <v>62</v>
      </c>
      <c r="E215" s="34" t="s">
        <v>57</v>
      </c>
      <c r="F215" s="33" t="n">
        <v>55237</v>
      </c>
      <c r="G215" s="34" t="s">
        <v>43</v>
      </c>
      <c r="H215" s="34" t="s">
        <v>42</v>
      </c>
      <c r="I215" s="33" t="n">
        <v>1500</v>
      </c>
      <c r="J215" s="34" t="s">
        <v>80</v>
      </c>
      <c r="K215" s="34" t="s">
        <v>44</v>
      </c>
      <c r="L215" s="34" t="s">
        <v>96</v>
      </c>
      <c r="M215" s="34" t="s">
        <v>97</v>
      </c>
      <c r="T215" s="38"/>
    </row>
    <row r="216" customFormat="false" ht="15" hidden="false" customHeight="false" outlineLevel="0" collapsed="false">
      <c r="A216" s="0" t="s">
        <v>508</v>
      </c>
      <c r="B216" s="0" t="s">
        <v>501</v>
      </c>
      <c r="C216" s="34" t="s">
        <v>46</v>
      </c>
      <c r="D216" s="34" t="s">
        <v>59</v>
      </c>
      <c r="E216" s="34" t="s">
        <v>57</v>
      </c>
      <c r="F216" s="33" t="n">
        <v>78885</v>
      </c>
      <c r="G216" s="34" t="s">
        <v>43</v>
      </c>
      <c r="H216" s="34" t="s">
        <v>42</v>
      </c>
      <c r="I216" s="33" t="n">
        <v>1500</v>
      </c>
      <c r="J216" s="34" t="s">
        <v>80</v>
      </c>
      <c r="K216" s="34" t="s">
        <v>44</v>
      </c>
      <c r="L216" s="34" t="s">
        <v>81</v>
      </c>
      <c r="M216" s="34" t="s">
        <v>82</v>
      </c>
      <c r="T216" s="38"/>
    </row>
    <row r="217" customFormat="false" ht="15" hidden="false" customHeight="false" outlineLevel="0" collapsed="false">
      <c r="A217" s="0" t="s">
        <v>509</v>
      </c>
      <c r="B217" s="0" t="s">
        <v>510</v>
      </c>
      <c r="C217" s="34" t="s">
        <v>46</v>
      </c>
      <c r="D217" s="34" t="s">
        <v>63</v>
      </c>
      <c r="E217" s="34" t="s">
        <v>57</v>
      </c>
      <c r="F217" s="33" t="n">
        <v>71134</v>
      </c>
      <c r="G217" s="34" t="s">
        <v>43</v>
      </c>
      <c r="H217" s="34" t="s">
        <v>42</v>
      </c>
      <c r="I217" s="33" t="n">
        <v>1500</v>
      </c>
      <c r="J217" s="34" t="s">
        <v>80</v>
      </c>
      <c r="K217" s="34" t="s">
        <v>44</v>
      </c>
      <c r="L217" s="34" t="s">
        <v>116</v>
      </c>
      <c r="M217" s="34" t="s">
        <v>117</v>
      </c>
      <c r="T217" s="38"/>
    </row>
    <row r="218" customFormat="false" ht="15" hidden="false" customHeight="false" outlineLevel="0" collapsed="false">
      <c r="A218" s="0" t="s">
        <v>511</v>
      </c>
      <c r="B218" s="0" t="s">
        <v>186</v>
      </c>
      <c r="C218" s="34" t="s">
        <v>46</v>
      </c>
      <c r="D218" s="34" t="s">
        <v>63</v>
      </c>
      <c r="E218" s="34" t="s">
        <v>57</v>
      </c>
      <c r="F218" s="33" t="n">
        <v>174531</v>
      </c>
      <c r="G218" s="34" t="s">
        <v>43</v>
      </c>
      <c r="H218" s="34" t="s">
        <v>42</v>
      </c>
      <c r="I218" s="33" t="n">
        <v>1500</v>
      </c>
      <c r="J218" s="34" t="s">
        <v>80</v>
      </c>
      <c r="K218" s="34" t="s">
        <v>56</v>
      </c>
      <c r="L218" s="34" t="s">
        <v>116</v>
      </c>
      <c r="M218" s="34" t="s">
        <v>117</v>
      </c>
      <c r="T218" s="38"/>
    </row>
    <row r="219" customFormat="false" ht="15" hidden="false" customHeight="false" outlineLevel="0" collapsed="false">
      <c r="A219" s="0" t="s">
        <v>512</v>
      </c>
      <c r="B219" s="0" t="s">
        <v>513</v>
      </c>
      <c r="C219" s="34" t="s">
        <v>46</v>
      </c>
      <c r="D219" s="34" t="s">
        <v>59</v>
      </c>
      <c r="E219" s="34" t="s">
        <v>57</v>
      </c>
      <c r="F219" s="33" t="n">
        <v>173836</v>
      </c>
      <c r="G219" s="34" t="s">
        <v>43</v>
      </c>
      <c r="H219" s="34" t="s">
        <v>42</v>
      </c>
      <c r="I219" s="33" t="n">
        <v>1500</v>
      </c>
      <c r="J219" s="34" t="s">
        <v>80</v>
      </c>
      <c r="K219" s="34" t="s">
        <v>56</v>
      </c>
      <c r="L219" s="34" t="s">
        <v>81</v>
      </c>
      <c r="M219" s="34" t="s">
        <v>82</v>
      </c>
      <c r="T219" s="38"/>
    </row>
    <row r="220" customFormat="false" ht="15" hidden="false" customHeight="false" outlineLevel="0" collapsed="false">
      <c r="A220" s="0" t="s">
        <v>514</v>
      </c>
      <c r="B220" s="0" t="s">
        <v>115</v>
      </c>
      <c r="C220" s="34" t="s">
        <v>46</v>
      </c>
      <c r="D220" s="34" t="s">
        <v>47</v>
      </c>
      <c r="E220" s="34" t="s">
        <v>57</v>
      </c>
      <c r="F220" s="33" t="n">
        <v>164576</v>
      </c>
      <c r="G220" s="34" t="s">
        <v>43</v>
      </c>
      <c r="H220" s="34" t="s">
        <v>42</v>
      </c>
      <c r="I220" s="33" t="n">
        <v>1500</v>
      </c>
      <c r="J220" s="34" t="s">
        <v>80</v>
      </c>
      <c r="K220" s="34" t="s">
        <v>56</v>
      </c>
      <c r="L220" s="34" t="s">
        <v>102</v>
      </c>
      <c r="M220" s="34" t="s">
        <v>103</v>
      </c>
      <c r="T220" s="38"/>
    </row>
    <row r="221" customFormat="false" ht="15" hidden="false" customHeight="false" outlineLevel="0" collapsed="false">
      <c r="A221" s="0" t="s">
        <v>515</v>
      </c>
      <c r="B221" s="0" t="s">
        <v>516</v>
      </c>
      <c r="C221" s="34" t="s">
        <v>46</v>
      </c>
      <c r="D221" s="34" t="s">
        <v>53</v>
      </c>
      <c r="E221" s="34" t="s">
        <v>61</v>
      </c>
      <c r="F221" s="33" t="n">
        <v>168016</v>
      </c>
      <c r="G221" s="34" t="s">
        <v>43</v>
      </c>
      <c r="H221" s="34" t="s">
        <v>42</v>
      </c>
      <c r="I221" s="33" t="n">
        <v>1500</v>
      </c>
      <c r="J221" s="34" t="s">
        <v>80</v>
      </c>
      <c r="K221" s="34" t="s">
        <v>56</v>
      </c>
      <c r="L221" s="34" t="s">
        <v>110</v>
      </c>
      <c r="M221" s="34" t="s">
        <v>111</v>
      </c>
      <c r="T221" s="38"/>
    </row>
    <row r="222" customFormat="false" ht="15" hidden="false" customHeight="false" outlineLevel="0" collapsed="false">
      <c r="A222" s="0" t="s">
        <v>517</v>
      </c>
      <c r="B222" s="0" t="s">
        <v>518</v>
      </c>
      <c r="C222" s="34" t="s">
        <v>46</v>
      </c>
      <c r="D222" s="34" t="s">
        <v>59</v>
      </c>
      <c r="E222" s="34" t="s">
        <v>45</v>
      </c>
      <c r="F222" s="33" t="n">
        <v>170656</v>
      </c>
      <c r="G222" s="34" t="s">
        <v>43</v>
      </c>
      <c r="H222" s="34" t="s">
        <v>42</v>
      </c>
      <c r="I222" s="33" t="n">
        <v>1500</v>
      </c>
      <c r="J222" s="34" t="s">
        <v>80</v>
      </c>
      <c r="K222" s="34" t="s">
        <v>56</v>
      </c>
      <c r="L222" s="34" t="s">
        <v>81</v>
      </c>
      <c r="M222" s="34" t="s">
        <v>82</v>
      </c>
      <c r="T222" s="38"/>
    </row>
    <row r="223" customFormat="false" ht="15" hidden="false" customHeight="false" outlineLevel="0" collapsed="false">
      <c r="A223" s="0" t="s">
        <v>519</v>
      </c>
      <c r="B223" s="0" t="s">
        <v>520</v>
      </c>
      <c r="C223" s="34" t="s">
        <v>46</v>
      </c>
      <c r="D223" s="34" t="s">
        <v>59</v>
      </c>
      <c r="E223" s="34" t="s">
        <v>51</v>
      </c>
      <c r="F223" s="33" t="n">
        <v>171074</v>
      </c>
      <c r="G223" s="34" t="s">
        <v>55</v>
      </c>
      <c r="H223" s="34" t="s">
        <v>42</v>
      </c>
      <c r="I223" s="33" t="n">
        <v>9500</v>
      </c>
      <c r="J223" s="34" t="s">
        <v>80</v>
      </c>
      <c r="K223" s="34" t="s">
        <v>56</v>
      </c>
      <c r="L223" s="34" t="s">
        <v>81</v>
      </c>
      <c r="M223" s="34" t="s">
        <v>82</v>
      </c>
      <c r="T223" s="38"/>
    </row>
    <row r="224" customFormat="false" ht="15" hidden="false" customHeight="false" outlineLevel="0" collapsed="false">
      <c r="A224" s="0" t="s">
        <v>521</v>
      </c>
      <c r="B224" s="0" t="s">
        <v>153</v>
      </c>
      <c r="C224" s="34" t="s">
        <v>46</v>
      </c>
      <c r="D224" s="34" t="s">
        <v>62</v>
      </c>
      <c r="E224" s="34" t="s">
        <v>61</v>
      </c>
      <c r="F224" s="33" t="n">
        <v>192416</v>
      </c>
      <c r="G224" s="34" t="s">
        <v>43</v>
      </c>
      <c r="H224" s="34" t="s">
        <v>42</v>
      </c>
      <c r="I224" s="33" t="n">
        <v>1500</v>
      </c>
      <c r="J224" s="34" t="s">
        <v>80</v>
      </c>
      <c r="K224" s="34" t="s">
        <v>60</v>
      </c>
      <c r="L224" s="34" t="s">
        <v>96</v>
      </c>
      <c r="M224" s="34" t="s">
        <v>97</v>
      </c>
      <c r="T224" s="38"/>
    </row>
    <row r="225" customFormat="false" ht="15" hidden="false" customHeight="false" outlineLevel="0" collapsed="false">
      <c r="A225" s="0" t="s">
        <v>522</v>
      </c>
      <c r="B225" s="0" t="s">
        <v>523</v>
      </c>
      <c r="C225" s="34" t="s">
        <v>46</v>
      </c>
      <c r="D225" s="34" t="s">
        <v>47</v>
      </c>
      <c r="E225" s="34" t="s">
        <v>57</v>
      </c>
      <c r="F225" s="33" t="n">
        <v>127240</v>
      </c>
      <c r="G225" s="34" t="s">
        <v>43</v>
      </c>
      <c r="H225" s="34" t="s">
        <v>42</v>
      </c>
      <c r="I225" s="33" t="n">
        <v>1500</v>
      </c>
      <c r="J225" s="34" t="s">
        <v>80</v>
      </c>
      <c r="K225" s="34" t="s">
        <v>50</v>
      </c>
      <c r="L225" s="34" t="s">
        <v>102</v>
      </c>
      <c r="M225" s="34" t="s">
        <v>103</v>
      </c>
      <c r="T225" s="38"/>
    </row>
    <row r="226" customFormat="false" ht="15" hidden="false" customHeight="false" outlineLevel="0" collapsed="false">
      <c r="A226" s="0" t="s">
        <v>524</v>
      </c>
      <c r="B226" s="0" t="s">
        <v>404</v>
      </c>
      <c r="C226" s="34" t="s">
        <v>46</v>
      </c>
      <c r="D226" s="34" t="s">
        <v>47</v>
      </c>
      <c r="E226" s="34" t="s">
        <v>51</v>
      </c>
      <c r="F226" s="33" t="n">
        <v>129557</v>
      </c>
      <c r="G226" s="34" t="s">
        <v>43</v>
      </c>
      <c r="H226" s="34" t="s">
        <v>42</v>
      </c>
      <c r="I226" s="33" t="n">
        <v>1500</v>
      </c>
      <c r="J226" s="34" t="s">
        <v>80</v>
      </c>
      <c r="K226" s="34" t="s">
        <v>56</v>
      </c>
      <c r="L226" s="34" t="s">
        <v>102</v>
      </c>
      <c r="M226" s="34" t="s">
        <v>103</v>
      </c>
      <c r="T226" s="38"/>
    </row>
    <row r="227" customFormat="false" ht="15" hidden="false" customHeight="false" outlineLevel="0" collapsed="false">
      <c r="A227" s="0" t="s">
        <v>525</v>
      </c>
      <c r="B227" s="0" t="s">
        <v>429</v>
      </c>
      <c r="C227" s="34" t="s">
        <v>46</v>
      </c>
      <c r="D227" s="34" t="s">
        <v>59</v>
      </c>
      <c r="E227" s="34" t="s">
        <v>45</v>
      </c>
      <c r="F227" s="33" t="n">
        <v>134453</v>
      </c>
      <c r="G227" s="34" t="s">
        <v>43</v>
      </c>
      <c r="H227" s="34" t="s">
        <v>42</v>
      </c>
      <c r="I227" s="33" t="n">
        <v>1500</v>
      </c>
      <c r="J227" s="34" t="s">
        <v>80</v>
      </c>
      <c r="K227" s="34" t="s">
        <v>56</v>
      </c>
      <c r="L227" s="34" t="s">
        <v>81</v>
      </c>
      <c r="M227" s="34" t="s">
        <v>82</v>
      </c>
      <c r="T227" s="38"/>
    </row>
    <row r="228" customFormat="false" ht="15" hidden="false" customHeight="false" outlineLevel="0" collapsed="false">
      <c r="A228" s="0" t="s">
        <v>526</v>
      </c>
      <c r="B228" s="0" t="s">
        <v>527</v>
      </c>
      <c r="C228" s="34" t="s">
        <v>46</v>
      </c>
      <c r="D228" s="34" t="s">
        <v>59</v>
      </c>
      <c r="E228" s="34" t="s">
        <v>45</v>
      </c>
      <c r="F228" s="33" t="n">
        <v>143619</v>
      </c>
      <c r="G228" s="34" t="s">
        <v>43</v>
      </c>
      <c r="H228" s="34" t="s">
        <v>42</v>
      </c>
      <c r="I228" s="33" t="n">
        <v>1500</v>
      </c>
      <c r="J228" s="34" t="s">
        <v>80</v>
      </c>
      <c r="K228" s="34" t="s">
        <v>56</v>
      </c>
      <c r="L228" s="34" t="s">
        <v>81</v>
      </c>
      <c r="M228" s="34" t="s">
        <v>82</v>
      </c>
      <c r="T228" s="38"/>
    </row>
    <row r="229" customFormat="false" ht="15" hidden="false" customHeight="false" outlineLevel="0" collapsed="false">
      <c r="A229" s="0" t="s">
        <v>528</v>
      </c>
      <c r="B229" s="0" t="s">
        <v>529</v>
      </c>
      <c r="C229" s="34" t="s">
        <v>46</v>
      </c>
      <c r="D229" s="34" t="s">
        <v>59</v>
      </c>
      <c r="E229" s="34" t="s">
        <v>51</v>
      </c>
      <c r="F229" s="33" t="n">
        <v>149443</v>
      </c>
      <c r="G229" s="34" t="s">
        <v>55</v>
      </c>
      <c r="H229" s="34" t="s">
        <v>42</v>
      </c>
      <c r="I229" s="33" t="n">
        <v>9500</v>
      </c>
      <c r="J229" s="34" t="s">
        <v>80</v>
      </c>
      <c r="K229" s="34" t="s">
        <v>56</v>
      </c>
      <c r="L229" s="34" t="s">
        <v>81</v>
      </c>
      <c r="M229" s="34" t="s">
        <v>82</v>
      </c>
      <c r="T229" s="38"/>
    </row>
    <row r="230" customFormat="false" ht="15" hidden="false" customHeight="false" outlineLevel="0" collapsed="false">
      <c r="A230" s="0" t="s">
        <v>530</v>
      </c>
      <c r="B230" s="0" t="s">
        <v>531</v>
      </c>
      <c r="C230" s="34" t="s">
        <v>46</v>
      </c>
      <c r="D230" s="34" t="s">
        <v>59</v>
      </c>
      <c r="E230" s="34" t="s">
        <v>61</v>
      </c>
      <c r="F230" s="33" t="n">
        <v>100069</v>
      </c>
      <c r="G230" s="34" t="s">
        <v>49</v>
      </c>
      <c r="H230" s="34" t="s">
        <v>48</v>
      </c>
      <c r="I230" s="33" t="n">
        <v>4200</v>
      </c>
      <c r="J230" s="34" t="s">
        <v>80</v>
      </c>
      <c r="K230" s="34" t="s">
        <v>50</v>
      </c>
      <c r="L230" s="34" t="s">
        <v>81</v>
      </c>
      <c r="M230" s="34" t="s">
        <v>82</v>
      </c>
      <c r="T230" s="38"/>
    </row>
    <row r="231" customFormat="false" ht="15" hidden="false" customHeight="false" outlineLevel="0" collapsed="false">
      <c r="A231" s="0" t="s">
        <v>532</v>
      </c>
      <c r="B231" s="0" t="s">
        <v>533</v>
      </c>
      <c r="C231" s="34" t="s">
        <v>46</v>
      </c>
      <c r="D231" s="34" t="s">
        <v>62</v>
      </c>
      <c r="E231" s="34" t="s">
        <v>61</v>
      </c>
      <c r="F231" s="33" t="n">
        <v>99636</v>
      </c>
      <c r="G231" s="34" t="s">
        <v>49</v>
      </c>
      <c r="H231" s="34" t="s">
        <v>48</v>
      </c>
      <c r="I231" s="33" t="n">
        <v>4200</v>
      </c>
      <c r="J231" s="34" t="s">
        <v>80</v>
      </c>
      <c r="K231" s="34" t="s">
        <v>50</v>
      </c>
      <c r="L231" s="34" t="s">
        <v>96</v>
      </c>
      <c r="M231" s="34" t="s">
        <v>97</v>
      </c>
      <c r="T231" s="38"/>
    </row>
    <row r="232" customFormat="false" ht="15" hidden="false" customHeight="false" outlineLevel="0" collapsed="false">
      <c r="A232" s="0" t="s">
        <v>534</v>
      </c>
      <c r="B232" s="0" t="s">
        <v>535</v>
      </c>
      <c r="C232" s="34" t="s">
        <v>46</v>
      </c>
      <c r="D232" s="34" t="s">
        <v>63</v>
      </c>
      <c r="E232" s="34" t="s">
        <v>51</v>
      </c>
      <c r="F232" s="33" t="n">
        <v>100452</v>
      </c>
      <c r="G232" s="34" t="s">
        <v>49</v>
      </c>
      <c r="H232" s="34" t="s">
        <v>48</v>
      </c>
      <c r="I232" s="33" t="n">
        <v>4200</v>
      </c>
      <c r="J232" s="34" t="s">
        <v>80</v>
      </c>
      <c r="K232" s="34" t="s">
        <v>50</v>
      </c>
      <c r="L232" s="34" t="s">
        <v>116</v>
      </c>
      <c r="M232" s="34" t="s">
        <v>117</v>
      </c>
      <c r="T232" s="38"/>
    </row>
    <row r="233" customFormat="false" ht="15" hidden="false" customHeight="false" outlineLevel="0" collapsed="false">
      <c r="A233" s="0" t="s">
        <v>536</v>
      </c>
      <c r="B233" s="0" t="s">
        <v>537</v>
      </c>
      <c r="C233" s="34" t="s">
        <v>46</v>
      </c>
      <c r="D233" s="34" t="s">
        <v>63</v>
      </c>
      <c r="E233" s="34" t="s">
        <v>45</v>
      </c>
      <c r="F233" s="33" t="n">
        <v>96359</v>
      </c>
      <c r="G233" s="34" t="s">
        <v>43</v>
      </c>
      <c r="H233" s="34" t="s">
        <v>48</v>
      </c>
      <c r="I233" s="33" t="n">
        <v>2800</v>
      </c>
      <c r="J233" s="34" t="s">
        <v>80</v>
      </c>
      <c r="K233" s="34" t="s">
        <v>50</v>
      </c>
      <c r="L233" s="34" t="s">
        <v>116</v>
      </c>
      <c r="M233" s="34" t="s">
        <v>117</v>
      </c>
      <c r="T233" s="38"/>
    </row>
    <row r="234" customFormat="false" ht="15" hidden="false" customHeight="false" outlineLevel="0" collapsed="false">
      <c r="A234" s="0" t="s">
        <v>538</v>
      </c>
      <c r="B234" s="0" t="s">
        <v>291</v>
      </c>
      <c r="C234" s="34" t="s">
        <v>46</v>
      </c>
      <c r="D234" s="34" t="s">
        <v>47</v>
      </c>
      <c r="E234" s="34" t="s">
        <v>51</v>
      </c>
      <c r="F234" s="33" t="n">
        <v>91002</v>
      </c>
      <c r="G234" s="34" t="s">
        <v>49</v>
      </c>
      <c r="H234" s="34" t="s">
        <v>48</v>
      </c>
      <c r="I234" s="33" t="n">
        <v>4200</v>
      </c>
      <c r="J234" s="34" t="s">
        <v>80</v>
      </c>
      <c r="K234" s="34" t="s">
        <v>50</v>
      </c>
      <c r="L234" s="34" t="s">
        <v>102</v>
      </c>
      <c r="M234" s="34" t="s">
        <v>103</v>
      </c>
      <c r="T234" s="38"/>
    </row>
    <row r="235" customFormat="false" ht="15" hidden="false" customHeight="false" outlineLevel="0" collapsed="false">
      <c r="A235" s="0" t="s">
        <v>539</v>
      </c>
      <c r="B235" s="0" t="s">
        <v>540</v>
      </c>
      <c r="C235" s="34" t="s">
        <v>46</v>
      </c>
      <c r="D235" s="34" t="s">
        <v>62</v>
      </c>
      <c r="E235" s="34" t="s">
        <v>57</v>
      </c>
      <c r="F235" s="33" t="n">
        <v>91060</v>
      </c>
      <c r="G235" s="34" t="s">
        <v>49</v>
      </c>
      <c r="H235" s="34" t="s">
        <v>48</v>
      </c>
      <c r="I235" s="33" t="n">
        <v>4200</v>
      </c>
      <c r="J235" s="34" t="s">
        <v>80</v>
      </c>
      <c r="K235" s="34" t="s">
        <v>50</v>
      </c>
      <c r="L235" s="34" t="s">
        <v>96</v>
      </c>
      <c r="M235" s="34" t="s">
        <v>97</v>
      </c>
      <c r="T235" s="38"/>
    </row>
    <row r="236" customFormat="false" ht="15" hidden="false" customHeight="false" outlineLevel="0" collapsed="false">
      <c r="A236" s="0" t="s">
        <v>541</v>
      </c>
      <c r="B236" s="0" t="s">
        <v>542</v>
      </c>
      <c r="C236" s="34" t="s">
        <v>46</v>
      </c>
      <c r="D236" s="34" t="s">
        <v>59</v>
      </c>
      <c r="E236" s="34" t="s">
        <v>61</v>
      </c>
      <c r="F236" s="33" t="n">
        <v>94293</v>
      </c>
      <c r="G236" s="34" t="s">
        <v>43</v>
      </c>
      <c r="H236" s="34" t="s">
        <v>48</v>
      </c>
      <c r="I236" s="33" t="n">
        <v>2800</v>
      </c>
      <c r="J236" s="34" t="s">
        <v>80</v>
      </c>
      <c r="K236" s="34" t="s">
        <v>50</v>
      </c>
      <c r="L236" s="34" t="s">
        <v>81</v>
      </c>
      <c r="M236" s="34" t="s">
        <v>82</v>
      </c>
      <c r="T236" s="38"/>
    </row>
    <row r="237" customFormat="false" ht="15" hidden="false" customHeight="false" outlineLevel="0" collapsed="false">
      <c r="A237" s="0" t="s">
        <v>543</v>
      </c>
      <c r="B237" s="0" t="s">
        <v>544</v>
      </c>
      <c r="C237" s="34" t="s">
        <v>46</v>
      </c>
      <c r="D237" s="34" t="s">
        <v>59</v>
      </c>
      <c r="E237" s="34" t="s">
        <v>61</v>
      </c>
      <c r="F237" s="33" t="n">
        <v>94298</v>
      </c>
      <c r="G237" s="34" t="s">
        <v>43</v>
      </c>
      <c r="H237" s="34" t="s">
        <v>48</v>
      </c>
      <c r="I237" s="33" t="n">
        <v>2800</v>
      </c>
      <c r="J237" s="34" t="s">
        <v>80</v>
      </c>
      <c r="K237" s="34" t="s">
        <v>50</v>
      </c>
      <c r="L237" s="34" t="s">
        <v>81</v>
      </c>
      <c r="M237" s="34" t="s">
        <v>82</v>
      </c>
      <c r="T237" s="38"/>
    </row>
    <row r="238" customFormat="false" ht="15" hidden="false" customHeight="false" outlineLevel="0" collapsed="false">
      <c r="A238" s="0" t="s">
        <v>545</v>
      </c>
      <c r="B238" s="0" t="s">
        <v>546</v>
      </c>
      <c r="C238" s="34" t="s">
        <v>46</v>
      </c>
      <c r="D238" s="34" t="s">
        <v>53</v>
      </c>
      <c r="E238" s="34" t="s">
        <v>45</v>
      </c>
      <c r="F238" s="33" t="n">
        <v>95009</v>
      </c>
      <c r="G238" s="34" t="s">
        <v>43</v>
      </c>
      <c r="H238" s="34" t="s">
        <v>48</v>
      </c>
      <c r="I238" s="33" t="n">
        <v>2800</v>
      </c>
      <c r="J238" s="34" t="s">
        <v>80</v>
      </c>
      <c r="K238" s="34" t="s">
        <v>50</v>
      </c>
      <c r="L238" s="34" t="s">
        <v>110</v>
      </c>
      <c r="M238" s="34" t="s">
        <v>111</v>
      </c>
      <c r="T238" s="38"/>
    </row>
    <row r="239" customFormat="false" ht="15" hidden="false" customHeight="false" outlineLevel="0" collapsed="false">
      <c r="A239" s="0" t="s">
        <v>547</v>
      </c>
      <c r="B239" s="0" t="s">
        <v>548</v>
      </c>
      <c r="C239" s="34" t="s">
        <v>46</v>
      </c>
      <c r="D239" s="34" t="s">
        <v>47</v>
      </c>
      <c r="E239" s="34" t="s">
        <v>57</v>
      </c>
      <c r="F239" s="33" t="n">
        <v>92013</v>
      </c>
      <c r="G239" s="34" t="s">
        <v>43</v>
      </c>
      <c r="H239" s="34" t="s">
        <v>48</v>
      </c>
      <c r="I239" s="33" t="n">
        <v>2800</v>
      </c>
      <c r="J239" s="34" t="s">
        <v>80</v>
      </c>
      <c r="K239" s="34" t="s">
        <v>50</v>
      </c>
      <c r="L239" s="34" t="s">
        <v>102</v>
      </c>
      <c r="M239" s="34" t="s">
        <v>103</v>
      </c>
      <c r="T239" s="38"/>
    </row>
    <row r="240" customFormat="false" ht="15" hidden="false" customHeight="false" outlineLevel="0" collapsed="false">
      <c r="A240" s="0" t="s">
        <v>549</v>
      </c>
      <c r="B240" s="0" t="s">
        <v>550</v>
      </c>
      <c r="C240" s="34" t="s">
        <v>46</v>
      </c>
      <c r="D240" s="34" t="s">
        <v>59</v>
      </c>
      <c r="E240" s="34" t="s">
        <v>57</v>
      </c>
      <c r="F240" s="33" t="n">
        <v>106687</v>
      </c>
      <c r="G240" s="34" t="s">
        <v>43</v>
      </c>
      <c r="H240" s="34" t="s">
        <v>48</v>
      </c>
      <c r="I240" s="33" t="n">
        <v>2800</v>
      </c>
      <c r="J240" s="34" t="s">
        <v>80</v>
      </c>
      <c r="K240" s="34" t="s">
        <v>50</v>
      </c>
      <c r="L240" s="34" t="s">
        <v>81</v>
      </c>
      <c r="M240" s="34" t="s">
        <v>82</v>
      </c>
      <c r="T240" s="38"/>
    </row>
    <row r="241" customFormat="false" ht="15" hidden="false" customHeight="false" outlineLevel="0" collapsed="false">
      <c r="A241" s="0" t="s">
        <v>551</v>
      </c>
      <c r="B241" s="0" t="s">
        <v>552</v>
      </c>
      <c r="C241" s="34" t="s">
        <v>46</v>
      </c>
      <c r="D241" s="34" t="s">
        <v>63</v>
      </c>
      <c r="E241" s="34" t="s">
        <v>51</v>
      </c>
      <c r="F241" s="33" t="n">
        <v>119532</v>
      </c>
      <c r="G241" s="34" t="s">
        <v>43</v>
      </c>
      <c r="H241" s="34" t="s">
        <v>48</v>
      </c>
      <c r="I241" s="33" t="n">
        <v>2800</v>
      </c>
      <c r="J241" s="34" t="s">
        <v>80</v>
      </c>
      <c r="K241" s="34" t="s">
        <v>50</v>
      </c>
      <c r="L241" s="34" t="s">
        <v>116</v>
      </c>
      <c r="M241" s="34" t="s">
        <v>117</v>
      </c>
      <c r="T241" s="38"/>
    </row>
    <row r="242" customFormat="false" ht="15" hidden="false" customHeight="false" outlineLevel="0" collapsed="false">
      <c r="A242" s="0" t="s">
        <v>553</v>
      </c>
      <c r="B242" s="0" t="s">
        <v>554</v>
      </c>
      <c r="C242" s="34" t="s">
        <v>46</v>
      </c>
      <c r="D242" s="34" t="s">
        <v>62</v>
      </c>
      <c r="E242" s="34" t="s">
        <v>51</v>
      </c>
      <c r="F242" s="33" t="n">
        <v>121562</v>
      </c>
      <c r="G242" s="34" t="s">
        <v>43</v>
      </c>
      <c r="H242" s="34" t="s">
        <v>48</v>
      </c>
      <c r="I242" s="33" t="n">
        <v>2800</v>
      </c>
      <c r="J242" s="34" t="s">
        <v>80</v>
      </c>
      <c r="K242" s="34" t="s">
        <v>50</v>
      </c>
      <c r="L242" s="34" t="s">
        <v>96</v>
      </c>
      <c r="M242" s="34" t="s">
        <v>97</v>
      </c>
      <c r="T242" s="38"/>
    </row>
    <row r="243" customFormat="false" ht="15" hidden="false" customHeight="false" outlineLevel="0" collapsed="false">
      <c r="A243" s="0" t="s">
        <v>555</v>
      </c>
      <c r="B243" s="0" t="s">
        <v>556</v>
      </c>
      <c r="C243" s="34" t="s">
        <v>46</v>
      </c>
      <c r="D243" s="34" t="s">
        <v>47</v>
      </c>
      <c r="E243" s="34" t="s">
        <v>57</v>
      </c>
      <c r="F243" s="33" t="n">
        <v>114527</v>
      </c>
      <c r="G243" s="34" t="s">
        <v>43</v>
      </c>
      <c r="H243" s="34" t="s">
        <v>48</v>
      </c>
      <c r="I243" s="33" t="n">
        <v>2800</v>
      </c>
      <c r="J243" s="34" t="s">
        <v>80</v>
      </c>
      <c r="K243" s="34" t="s">
        <v>50</v>
      </c>
      <c r="L243" s="34" t="s">
        <v>102</v>
      </c>
      <c r="M243" s="34" t="s">
        <v>103</v>
      </c>
      <c r="T243" s="38"/>
    </row>
    <row r="244" customFormat="false" ht="15" hidden="false" customHeight="false" outlineLevel="0" collapsed="false">
      <c r="A244" s="0" t="s">
        <v>557</v>
      </c>
      <c r="B244" s="0" t="s">
        <v>558</v>
      </c>
      <c r="C244" s="34" t="s">
        <v>46</v>
      </c>
      <c r="D244" s="34" t="s">
        <v>53</v>
      </c>
      <c r="E244" s="34" t="s">
        <v>61</v>
      </c>
      <c r="F244" s="33" t="n">
        <v>107237</v>
      </c>
      <c r="G244" s="34" t="s">
        <v>49</v>
      </c>
      <c r="H244" s="34" t="s">
        <v>48</v>
      </c>
      <c r="I244" s="33" t="n">
        <v>4200</v>
      </c>
      <c r="J244" s="34" t="s">
        <v>80</v>
      </c>
      <c r="K244" s="34" t="s">
        <v>50</v>
      </c>
      <c r="L244" s="34" t="s">
        <v>110</v>
      </c>
      <c r="M244" s="34" t="s">
        <v>111</v>
      </c>
      <c r="T244" s="38"/>
    </row>
    <row r="245" customFormat="false" ht="15" hidden="false" customHeight="false" outlineLevel="0" collapsed="false">
      <c r="A245" s="0" t="s">
        <v>559</v>
      </c>
      <c r="B245" s="0" t="s">
        <v>560</v>
      </c>
      <c r="C245" s="34" t="s">
        <v>46</v>
      </c>
      <c r="D245" s="34" t="s">
        <v>63</v>
      </c>
      <c r="E245" s="34" t="s">
        <v>45</v>
      </c>
      <c r="F245" s="33" t="n">
        <v>107456</v>
      </c>
      <c r="G245" s="34" t="s">
        <v>49</v>
      </c>
      <c r="H245" s="34" t="s">
        <v>48</v>
      </c>
      <c r="I245" s="33" t="n">
        <v>4200</v>
      </c>
      <c r="J245" s="34" t="s">
        <v>80</v>
      </c>
      <c r="K245" s="34" t="s">
        <v>50</v>
      </c>
      <c r="L245" s="34" t="s">
        <v>116</v>
      </c>
      <c r="M245" s="34" t="s">
        <v>117</v>
      </c>
      <c r="T245" s="38"/>
    </row>
    <row r="246" customFormat="false" ht="15" hidden="false" customHeight="false" outlineLevel="0" collapsed="false">
      <c r="A246" s="0" t="s">
        <v>561</v>
      </c>
      <c r="B246" s="0" t="s">
        <v>562</v>
      </c>
      <c r="C246" s="34" t="s">
        <v>46</v>
      </c>
      <c r="D246" s="34" t="s">
        <v>62</v>
      </c>
      <c r="E246" s="34" t="s">
        <v>61</v>
      </c>
      <c r="F246" s="33" t="n">
        <v>108531</v>
      </c>
      <c r="G246" s="34" t="s">
        <v>49</v>
      </c>
      <c r="H246" s="34" t="s">
        <v>48</v>
      </c>
      <c r="I246" s="33" t="n">
        <v>4200</v>
      </c>
      <c r="J246" s="34" t="s">
        <v>80</v>
      </c>
      <c r="K246" s="34" t="s">
        <v>50</v>
      </c>
      <c r="L246" s="34" t="s">
        <v>96</v>
      </c>
      <c r="M246" s="34" t="s">
        <v>97</v>
      </c>
      <c r="T246" s="38"/>
    </row>
    <row r="247" customFormat="false" ht="15" hidden="false" customHeight="false" outlineLevel="0" collapsed="false">
      <c r="A247" s="0" t="s">
        <v>563</v>
      </c>
      <c r="B247" s="0" t="s">
        <v>192</v>
      </c>
      <c r="C247" s="34" t="s">
        <v>46</v>
      </c>
      <c r="D247" s="34" t="s">
        <v>59</v>
      </c>
      <c r="E247" s="34" t="s">
        <v>45</v>
      </c>
      <c r="F247" s="33" t="n">
        <v>113346</v>
      </c>
      <c r="G247" s="34" t="s">
        <v>49</v>
      </c>
      <c r="H247" s="34" t="s">
        <v>48</v>
      </c>
      <c r="I247" s="33" t="n">
        <v>4200</v>
      </c>
      <c r="J247" s="34" t="s">
        <v>80</v>
      </c>
      <c r="K247" s="34" t="s">
        <v>50</v>
      </c>
      <c r="L247" s="34" t="s">
        <v>81</v>
      </c>
      <c r="M247" s="34" t="s">
        <v>82</v>
      </c>
      <c r="T247" s="38"/>
    </row>
    <row r="248" customFormat="false" ht="15" hidden="false" customHeight="false" outlineLevel="0" collapsed="false">
      <c r="A248" s="0" t="s">
        <v>564</v>
      </c>
      <c r="B248" s="0" t="s">
        <v>565</v>
      </c>
      <c r="C248" s="34" t="s">
        <v>46</v>
      </c>
      <c r="D248" s="34" t="s">
        <v>62</v>
      </c>
      <c r="E248" s="34" t="s">
        <v>45</v>
      </c>
      <c r="F248" s="33" t="n">
        <v>113852</v>
      </c>
      <c r="G248" s="34" t="s">
        <v>49</v>
      </c>
      <c r="H248" s="34" t="s">
        <v>48</v>
      </c>
      <c r="I248" s="33" t="n">
        <v>4200</v>
      </c>
      <c r="J248" s="34" t="s">
        <v>80</v>
      </c>
      <c r="K248" s="34" t="s">
        <v>50</v>
      </c>
      <c r="L248" s="34" t="s">
        <v>96</v>
      </c>
      <c r="M248" s="34" t="s">
        <v>97</v>
      </c>
      <c r="T248" s="38"/>
    </row>
    <row r="249" customFormat="false" ht="15" hidden="false" customHeight="false" outlineLevel="0" collapsed="false">
      <c r="A249" s="0" t="s">
        <v>566</v>
      </c>
      <c r="B249" s="0" t="s">
        <v>567</v>
      </c>
      <c r="C249" s="34" t="s">
        <v>46</v>
      </c>
      <c r="D249" s="34" t="s">
        <v>47</v>
      </c>
      <c r="E249" s="34" t="s">
        <v>51</v>
      </c>
      <c r="F249" s="33" t="n">
        <v>73862</v>
      </c>
      <c r="G249" s="34" t="s">
        <v>49</v>
      </c>
      <c r="H249" s="34" t="s">
        <v>48</v>
      </c>
      <c r="I249" s="33" t="n">
        <v>4200</v>
      </c>
      <c r="J249" s="34" t="s">
        <v>80</v>
      </c>
      <c r="K249" s="34" t="s">
        <v>44</v>
      </c>
      <c r="L249" s="34" t="s">
        <v>102</v>
      </c>
      <c r="M249" s="34" t="s">
        <v>103</v>
      </c>
      <c r="T249" s="38"/>
    </row>
    <row r="250" customFormat="false" ht="15" hidden="false" customHeight="false" outlineLevel="0" collapsed="false">
      <c r="A250" s="0" t="s">
        <v>568</v>
      </c>
      <c r="B250" s="0" t="s">
        <v>569</v>
      </c>
      <c r="C250" s="34" t="s">
        <v>46</v>
      </c>
      <c r="D250" s="34" t="s">
        <v>53</v>
      </c>
      <c r="E250" s="34" t="s">
        <v>57</v>
      </c>
      <c r="F250" s="33" t="n">
        <v>88297</v>
      </c>
      <c r="G250" s="34" t="s">
        <v>43</v>
      </c>
      <c r="H250" s="34" t="s">
        <v>48</v>
      </c>
      <c r="I250" s="33" t="n">
        <v>2800</v>
      </c>
      <c r="J250" s="34" t="s">
        <v>80</v>
      </c>
      <c r="K250" s="34" t="s">
        <v>50</v>
      </c>
      <c r="L250" s="34" t="s">
        <v>110</v>
      </c>
      <c r="M250" s="34" t="s">
        <v>111</v>
      </c>
      <c r="T250" s="38"/>
    </row>
    <row r="251" customFormat="false" ht="15" hidden="false" customHeight="false" outlineLevel="0" collapsed="false">
      <c r="A251" s="0" t="s">
        <v>570</v>
      </c>
      <c r="B251" s="0" t="s">
        <v>571</v>
      </c>
      <c r="C251" s="34" t="s">
        <v>46</v>
      </c>
      <c r="D251" s="34" t="s">
        <v>62</v>
      </c>
      <c r="E251" s="34" t="s">
        <v>45</v>
      </c>
      <c r="F251" s="33" t="n">
        <v>64371</v>
      </c>
      <c r="G251" s="34" t="s">
        <v>49</v>
      </c>
      <c r="H251" s="34" t="s">
        <v>48</v>
      </c>
      <c r="I251" s="33" t="n">
        <v>4200</v>
      </c>
      <c r="J251" s="34" t="s">
        <v>80</v>
      </c>
      <c r="K251" s="34" t="s">
        <v>44</v>
      </c>
      <c r="L251" s="34" t="s">
        <v>96</v>
      </c>
      <c r="M251" s="34" t="s">
        <v>97</v>
      </c>
      <c r="T251" s="38"/>
    </row>
    <row r="252" customFormat="false" ht="15" hidden="false" customHeight="false" outlineLevel="0" collapsed="false">
      <c r="A252" s="0" t="s">
        <v>572</v>
      </c>
      <c r="B252" s="0" t="s">
        <v>573</v>
      </c>
      <c r="C252" s="34" t="s">
        <v>46</v>
      </c>
      <c r="D252" s="34" t="s">
        <v>62</v>
      </c>
      <c r="E252" s="34" t="s">
        <v>45</v>
      </c>
      <c r="F252" s="33" t="n">
        <v>64444</v>
      </c>
      <c r="G252" s="34" t="s">
        <v>49</v>
      </c>
      <c r="H252" s="34" t="s">
        <v>48</v>
      </c>
      <c r="I252" s="33" t="n">
        <v>4200</v>
      </c>
      <c r="J252" s="34" t="s">
        <v>80</v>
      </c>
      <c r="K252" s="34" t="s">
        <v>44</v>
      </c>
      <c r="L252" s="34" t="s">
        <v>96</v>
      </c>
      <c r="M252" s="34" t="s">
        <v>97</v>
      </c>
      <c r="T252" s="38"/>
    </row>
    <row r="253" customFormat="false" ht="15" hidden="false" customHeight="false" outlineLevel="0" collapsed="false">
      <c r="A253" s="0" t="s">
        <v>574</v>
      </c>
      <c r="B253" s="0" t="s">
        <v>575</v>
      </c>
      <c r="C253" s="34" t="s">
        <v>46</v>
      </c>
      <c r="D253" s="34" t="s">
        <v>47</v>
      </c>
      <c r="E253" s="34" t="s">
        <v>57</v>
      </c>
      <c r="F253" s="33" t="n">
        <v>65002</v>
      </c>
      <c r="G253" s="34" t="s">
        <v>43</v>
      </c>
      <c r="H253" s="34" t="s">
        <v>48</v>
      </c>
      <c r="I253" s="33" t="n">
        <v>2800</v>
      </c>
      <c r="J253" s="34" t="s">
        <v>80</v>
      </c>
      <c r="K253" s="34" t="s">
        <v>44</v>
      </c>
      <c r="L253" s="34" t="s">
        <v>102</v>
      </c>
      <c r="M253" s="34" t="s">
        <v>103</v>
      </c>
      <c r="T253" s="38"/>
    </row>
    <row r="254" customFormat="false" ht="15" hidden="false" customHeight="false" outlineLevel="0" collapsed="false">
      <c r="A254" s="0" t="s">
        <v>576</v>
      </c>
      <c r="B254" s="0" t="s">
        <v>577</v>
      </c>
      <c r="C254" s="34" t="s">
        <v>46</v>
      </c>
      <c r="D254" s="34" t="s">
        <v>63</v>
      </c>
      <c r="E254" s="34" t="s">
        <v>61</v>
      </c>
      <c r="F254" s="33" t="n">
        <v>65040</v>
      </c>
      <c r="G254" s="34" t="s">
        <v>49</v>
      </c>
      <c r="H254" s="34" t="s">
        <v>48</v>
      </c>
      <c r="I254" s="33" t="n">
        <v>4200</v>
      </c>
      <c r="J254" s="34" t="s">
        <v>80</v>
      </c>
      <c r="K254" s="34" t="s">
        <v>44</v>
      </c>
      <c r="L254" s="34" t="s">
        <v>116</v>
      </c>
      <c r="M254" s="34" t="s">
        <v>117</v>
      </c>
      <c r="T254" s="38"/>
    </row>
    <row r="255" customFormat="false" ht="15" hidden="false" customHeight="false" outlineLevel="0" collapsed="false">
      <c r="A255" s="0" t="s">
        <v>578</v>
      </c>
      <c r="B255" s="0" t="s">
        <v>579</v>
      </c>
      <c r="C255" s="34" t="s">
        <v>46</v>
      </c>
      <c r="D255" s="34" t="s">
        <v>53</v>
      </c>
      <c r="E255" s="34" t="s">
        <v>51</v>
      </c>
      <c r="F255" s="33" t="n">
        <v>65556</v>
      </c>
      <c r="G255" s="34" t="s">
        <v>49</v>
      </c>
      <c r="H255" s="34" t="s">
        <v>48</v>
      </c>
      <c r="I255" s="33" t="n">
        <v>4200</v>
      </c>
      <c r="J255" s="34" t="s">
        <v>80</v>
      </c>
      <c r="K255" s="34" t="s">
        <v>44</v>
      </c>
      <c r="L255" s="34" t="s">
        <v>110</v>
      </c>
      <c r="M255" s="34" t="s">
        <v>111</v>
      </c>
      <c r="T255" s="38"/>
    </row>
    <row r="256" customFormat="false" ht="15" hidden="false" customHeight="false" outlineLevel="0" collapsed="false">
      <c r="A256" s="0" t="s">
        <v>580</v>
      </c>
      <c r="B256" s="0" t="s">
        <v>581</v>
      </c>
      <c r="C256" s="34" t="s">
        <v>46</v>
      </c>
      <c r="D256" s="34" t="s">
        <v>62</v>
      </c>
      <c r="E256" s="34" t="s">
        <v>51</v>
      </c>
      <c r="F256" s="33" t="n">
        <v>64779</v>
      </c>
      <c r="G256" s="34" t="s">
        <v>43</v>
      </c>
      <c r="H256" s="34" t="s">
        <v>48</v>
      </c>
      <c r="I256" s="33" t="n">
        <v>2800</v>
      </c>
      <c r="J256" s="34" t="s">
        <v>80</v>
      </c>
      <c r="K256" s="34" t="s">
        <v>44</v>
      </c>
      <c r="L256" s="34" t="s">
        <v>96</v>
      </c>
      <c r="M256" s="34" t="s">
        <v>97</v>
      </c>
      <c r="T256" s="38"/>
    </row>
    <row r="257" customFormat="false" ht="15" hidden="false" customHeight="false" outlineLevel="0" collapsed="false">
      <c r="A257" s="0" t="s">
        <v>582</v>
      </c>
      <c r="B257" s="0" t="s">
        <v>583</v>
      </c>
      <c r="C257" s="34" t="s">
        <v>46</v>
      </c>
      <c r="D257" s="34" t="s">
        <v>59</v>
      </c>
      <c r="E257" s="34" t="s">
        <v>61</v>
      </c>
      <c r="F257" s="33" t="n">
        <v>58910</v>
      </c>
      <c r="G257" s="34" t="s">
        <v>49</v>
      </c>
      <c r="H257" s="34" t="s">
        <v>48</v>
      </c>
      <c r="I257" s="33" t="n">
        <v>4200</v>
      </c>
      <c r="J257" s="34" t="s">
        <v>80</v>
      </c>
      <c r="K257" s="34" t="s">
        <v>44</v>
      </c>
      <c r="L257" s="34" t="s">
        <v>81</v>
      </c>
      <c r="M257" s="34" t="s">
        <v>82</v>
      </c>
      <c r="T257" s="38"/>
    </row>
    <row r="258" customFormat="false" ht="15" hidden="false" customHeight="false" outlineLevel="0" collapsed="false">
      <c r="A258" s="0" t="s">
        <v>584</v>
      </c>
      <c r="B258" s="0" t="s">
        <v>585</v>
      </c>
      <c r="C258" s="34" t="s">
        <v>46</v>
      </c>
      <c r="D258" s="34" t="s">
        <v>63</v>
      </c>
      <c r="E258" s="34" t="s">
        <v>57</v>
      </c>
      <c r="F258" s="33" t="n">
        <v>53413</v>
      </c>
      <c r="G258" s="34" t="s">
        <v>43</v>
      </c>
      <c r="H258" s="34" t="s">
        <v>48</v>
      </c>
      <c r="I258" s="33" t="n">
        <v>2800</v>
      </c>
      <c r="J258" s="34" t="s">
        <v>80</v>
      </c>
      <c r="K258" s="34" t="s">
        <v>44</v>
      </c>
      <c r="L258" s="34" t="s">
        <v>116</v>
      </c>
      <c r="M258" s="34" t="s">
        <v>117</v>
      </c>
      <c r="T258" s="38"/>
    </row>
    <row r="259" customFormat="false" ht="15" hidden="false" customHeight="false" outlineLevel="0" collapsed="false">
      <c r="A259" s="0" t="s">
        <v>586</v>
      </c>
      <c r="B259" s="0" t="s">
        <v>587</v>
      </c>
      <c r="C259" s="34" t="s">
        <v>46</v>
      </c>
      <c r="D259" s="34" t="s">
        <v>62</v>
      </c>
      <c r="E259" s="34" t="s">
        <v>57</v>
      </c>
      <c r="F259" s="33" t="n">
        <v>53652</v>
      </c>
      <c r="G259" s="34" t="s">
        <v>43</v>
      </c>
      <c r="H259" s="34" t="s">
        <v>48</v>
      </c>
      <c r="I259" s="33" t="n">
        <v>2800</v>
      </c>
      <c r="J259" s="34" t="s">
        <v>80</v>
      </c>
      <c r="K259" s="34" t="s">
        <v>44</v>
      </c>
      <c r="L259" s="34" t="s">
        <v>96</v>
      </c>
      <c r="M259" s="34" t="s">
        <v>97</v>
      </c>
      <c r="T259" s="38"/>
    </row>
    <row r="260" customFormat="false" ht="15" hidden="false" customHeight="false" outlineLevel="0" collapsed="false">
      <c r="A260" s="0" t="s">
        <v>588</v>
      </c>
      <c r="B260" s="0" t="s">
        <v>309</v>
      </c>
      <c r="C260" s="34" t="s">
        <v>46</v>
      </c>
      <c r="D260" s="34" t="s">
        <v>53</v>
      </c>
      <c r="E260" s="34" t="s">
        <v>57</v>
      </c>
      <c r="F260" s="33" t="n">
        <v>53783</v>
      </c>
      <c r="G260" s="34" t="s">
        <v>49</v>
      </c>
      <c r="H260" s="34" t="s">
        <v>48</v>
      </c>
      <c r="I260" s="33" t="n">
        <v>4200</v>
      </c>
      <c r="J260" s="34" t="s">
        <v>80</v>
      </c>
      <c r="K260" s="34" t="s">
        <v>44</v>
      </c>
      <c r="L260" s="34" t="s">
        <v>110</v>
      </c>
      <c r="M260" s="34" t="s">
        <v>111</v>
      </c>
      <c r="T260" s="38"/>
    </row>
    <row r="261" customFormat="false" ht="15" hidden="false" customHeight="false" outlineLevel="0" collapsed="false">
      <c r="A261" s="0" t="s">
        <v>589</v>
      </c>
      <c r="B261" s="0" t="s">
        <v>590</v>
      </c>
      <c r="C261" s="34" t="s">
        <v>46</v>
      </c>
      <c r="D261" s="34" t="s">
        <v>63</v>
      </c>
      <c r="E261" s="34" t="s">
        <v>57</v>
      </c>
      <c r="F261" s="33" t="n">
        <v>56705</v>
      </c>
      <c r="G261" s="34" t="s">
        <v>49</v>
      </c>
      <c r="H261" s="34" t="s">
        <v>48</v>
      </c>
      <c r="I261" s="33" t="n">
        <v>4200</v>
      </c>
      <c r="J261" s="34" t="s">
        <v>80</v>
      </c>
      <c r="K261" s="34" t="s">
        <v>44</v>
      </c>
      <c r="L261" s="34" t="s">
        <v>116</v>
      </c>
      <c r="M261" s="34" t="s">
        <v>117</v>
      </c>
      <c r="T261" s="38"/>
    </row>
    <row r="262" customFormat="false" ht="15" hidden="false" customHeight="false" outlineLevel="0" collapsed="false">
      <c r="A262" s="0" t="s">
        <v>591</v>
      </c>
      <c r="B262" s="0" t="s">
        <v>592</v>
      </c>
      <c r="C262" s="34" t="s">
        <v>46</v>
      </c>
      <c r="D262" s="34" t="s">
        <v>53</v>
      </c>
      <c r="E262" s="34" t="s">
        <v>51</v>
      </c>
      <c r="F262" s="33" t="n">
        <v>79925</v>
      </c>
      <c r="G262" s="34" t="s">
        <v>43</v>
      </c>
      <c r="H262" s="34" t="s">
        <v>48</v>
      </c>
      <c r="I262" s="33" t="n">
        <v>2800</v>
      </c>
      <c r="J262" s="34" t="s">
        <v>80</v>
      </c>
      <c r="K262" s="34" t="s">
        <v>44</v>
      </c>
      <c r="L262" s="34" t="s">
        <v>110</v>
      </c>
      <c r="M262" s="34" t="s">
        <v>111</v>
      </c>
      <c r="T262" s="38"/>
    </row>
    <row r="263" customFormat="false" ht="15" hidden="false" customHeight="false" outlineLevel="0" collapsed="false">
      <c r="A263" s="0" t="s">
        <v>593</v>
      </c>
      <c r="B263" s="0" t="s">
        <v>594</v>
      </c>
      <c r="C263" s="34" t="s">
        <v>46</v>
      </c>
      <c r="D263" s="34" t="s">
        <v>53</v>
      </c>
      <c r="E263" s="34" t="s">
        <v>57</v>
      </c>
      <c r="F263" s="33" t="n">
        <v>80260</v>
      </c>
      <c r="G263" s="34" t="s">
        <v>43</v>
      </c>
      <c r="H263" s="34" t="s">
        <v>48</v>
      </c>
      <c r="I263" s="33" t="n">
        <v>2800</v>
      </c>
      <c r="J263" s="34" t="s">
        <v>80</v>
      </c>
      <c r="K263" s="34" t="s">
        <v>44</v>
      </c>
      <c r="L263" s="34" t="s">
        <v>110</v>
      </c>
      <c r="M263" s="34" t="s">
        <v>111</v>
      </c>
      <c r="T263" s="38"/>
    </row>
    <row r="264" customFormat="false" ht="15" hidden="false" customHeight="false" outlineLevel="0" collapsed="false">
      <c r="A264" s="0" t="s">
        <v>595</v>
      </c>
      <c r="B264" s="0" t="s">
        <v>141</v>
      </c>
      <c r="C264" s="34" t="s">
        <v>46</v>
      </c>
      <c r="D264" s="34" t="s">
        <v>62</v>
      </c>
      <c r="E264" s="34" t="s">
        <v>61</v>
      </c>
      <c r="F264" s="33" t="n">
        <v>82240</v>
      </c>
      <c r="G264" s="34" t="s">
        <v>43</v>
      </c>
      <c r="H264" s="34" t="s">
        <v>48</v>
      </c>
      <c r="I264" s="33" t="n">
        <v>2800</v>
      </c>
      <c r="J264" s="34" t="s">
        <v>80</v>
      </c>
      <c r="K264" s="34" t="s">
        <v>44</v>
      </c>
      <c r="L264" s="34" t="s">
        <v>96</v>
      </c>
      <c r="M264" s="34" t="s">
        <v>97</v>
      </c>
      <c r="T264" s="38"/>
    </row>
    <row r="265" customFormat="false" ht="15" hidden="false" customHeight="false" outlineLevel="0" collapsed="false">
      <c r="A265" s="0" t="s">
        <v>596</v>
      </c>
      <c r="B265" s="0" t="s">
        <v>597</v>
      </c>
      <c r="C265" s="34" t="s">
        <v>46</v>
      </c>
      <c r="D265" s="34" t="s">
        <v>53</v>
      </c>
      <c r="E265" s="34" t="s">
        <v>61</v>
      </c>
      <c r="F265" s="33" t="n">
        <v>83783</v>
      </c>
      <c r="G265" s="34" t="s">
        <v>43</v>
      </c>
      <c r="H265" s="34" t="s">
        <v>48</v>
      </c>
      <c r="I265" s="33" t="n">
        <v>2800</v>
      </c>
      <c r="J265" s="34" t="s">
        <v>80</v>
      </c>
      <c r="K265" s="34" t="s">
        <v>50</v>
      </c>
      <c r="L265" s="34" t="s">
        <v>110</v>
      </c>
      <c r="M265" s="34" t="s">
        <v>111</v>
      </c>
      <c r="T265" s="38"/>
    </row>
    <row r="266" customFormat="false" ht="15" hidden="false" customHeight="false" outlineLevel="0" collapsed="false">
      <c r="A266" s="0" t="s">
        <v>598</v>
      </c>
      <c r="B266" s="0" t="s">
        <v>599</v>
      </c>
      <c r="C266" s="34" t="s">
        <v>46</v>
      </c>
      <c r="D266" s="34" t="s">
        <v>53</v>
      </c>
      <c r="E266" s="34" t="s">
        <v>61</v>
      </c>
      <c r="F266" s="33" t="n">
        <v>86751</v>
      </c>
      <c r="G266" s="34" t="s">
        <v>43</v>
      </c>
      <c r="H266" s="34" t="s">
        <v>48</v>
      </c>
      <c r="I266" s="33" t="n">
        <v>2800</v>
      </c>
      <c r="J266" s="34" t="s">
        <v>80</v>
      </c>
      <c r="K266" s="34" t="s">
        <v>50</v>
      </c>
      <c r="L266" s="34" t="s">
        <v>110</v>
      </c>
      <c r="M266" s="34" t="s">
        <v>111</v>
      </c>
      <c r="T266" s="38"/>
    </row>
    <row r="267" customFormat="false" ht="15" hidden="false" customHeight="false" outlineLevel="0" collapsed="false">
      <c r="A267" s="0" t="s">
        <v>600</v>
      </c>
      <c r="B267" s="0" t="s">
        <v>601</v>
      </c>
      <c r="C267" s="34" t="s">
        <v>46</v>
      </c>
      <c r="D267" s="34" t="s">
        <v>63</v>
      </c>
      <c r="E267" s="34" t="s">
        <v>45</v>
      </c>
      <c r="F267" s="33" t="n">
        <v>70058</v>
      </c>
      <c r="G267" s="34" t="s">
        <v>49</v>
      </c>
      <c r="H267" s="34" t="s">
        <v>48</v>
      </c>
      <c r="I267" s="33" t="n">
        <v>4200</v>
      </c>
      <c r="J267" s="34" t="s">
        <v>80</v>
      </c>
      <c r="K267" s="34" t="s">
        <v>44</v>
      </c>
      <c r="L267" s="34" t="s">
        <v>116</v>
      </c>
      <c r="M267" s="34" t="s">
        <v>117</v>
      </c>
      <c r="T267" s="38"/>
    </row>
    <row r="268" customFormat="false" ht="15" hidden="false" customHeight="false" outlineLevel="0" collapsed="false">
      <c r="A268" s="0" t="s">
        <v>602</v>
      </c>
      <c r="B268" s="0" t="s">
        <v>603</v>
      </c>
      <c r="C268" s="34" t="s">
        <v>46</v>
      </c>
      <c r="D268" s="34" t="s">
        <v>59</v>
      </c>
      <c r="E268" s="34" t="s">
        <v>57</v>
      </c>
      <c r="F268" s="33" t="n">
        <v>73196</v>
      </c>
      <c r="G268" s="34" t="s">
        <v>43</v>
      </c>
      <c r="H268" s="34" t="s">
        <v>48</v>
      </c>
      <c r="I268" s="33" t="n">
        <v>2800</v>
      </c>
      <c r="J268" s="34" t="s">
        <v>80</v>
      </c>
      <c r="K268" s="34" t="s">
        <v>44</v>
      </c>
      <c r="L268" s="34" t="s">
        <v>81</v>
      </c>
      <c r="M268" s="34" t="s">
        <v>82</v>
      </c>
      <c r="T268" s="38"/>
    </row>
    <row r="269" customFormat="false" ht="15" hidden="false" customHeight="false" outlineLevel="0" collapsed="false">
      <c r="A269" s="0" t="s">
        <v>604</v>
      </c>
      <c r="B269" s="0" t="s">
        <v>605</v>
      </c>
      <c r="C269" s="34" t="s">
        <v>46</v>
      </c>
      <c r="D269" s="34" t="s">
        <v>63</v>
      </c>
      <c r="E269" s="34" t="s">
        <v>51</v>
      </c>
      <c r="F269" s="33" t="n">
        <v>76298</v>
      </c>
      <c r="G269" s="34" t="s">
        <v>49</v>
      </c>
      <c r="H269" s="34" t="s">
        <v>48</v>
      </c>
      <c r="I269" s="33" t="n">
        <v>4200</v>
      </c>
      <c r="J269" s="34" t="s">
        <v>80</v>
      </c>
      <c r="K269" s="34" t="s">
        <v>44</v>
      </c>
      <c r="L269" s="34" t="s">
        <v>116</v>
      </c>
      <c r="M269" s="34" t="s">
        <v>117</v>
      </c>
      <c r="T269" s="38"/>
    </row>
    <row r="270" customFormat="false" ht="15" hidden="false" customHeight="false" outlineLevel="0" collapsed="false">
      <c r="A270" s="0" t="s">
        <v>606</v>
      </c>
      <c r="B270" s="0" t="s">
        <v>607</v>
      </c>
      <c r="C270" s="34" t="s">
        <v>46</v>
      </c>
      <c r="D270" s="34" t="s">
        <v>59</v>
      </c>
      <c r="E270" s="34" t="s">
        <v>61</v>
      </c>
      <c r="F270" s="33" t="n">
        <v>66666</v>
      </c>
      <c r="G270" s="34" t="s">
        <v>49</v>
      </c>
      <c r="H270" s="34" t="s">
        <v>48</v>
      </c>
      <c r="I270" s="33" t="n">
        <v>4200</v>
      </c>
      <c r="J270" s="34" t="s">
        <v>80</v>
      </c>
      <c r="K270" s="34" t="s">
        <v>44</v>
      </c>
      <c r="L270" s="34" t="s">
        <v>81</v>
      </c>
      <c r="M270" s="34" t="s">
        <v>82</v>
      </c>
      <c r="T270" s="38"/>
    </row>
    <row r="271" customFormat="false" ht="15" hidden="false" customHeight="false" outlineLevel="0" collapsed="false">
      <c r="A271" s="0" t="s">
        <v>608</v>
      </c>
      <c r="B271" s="0" t="s">
        <v>609</v>
      </c>
      <c r="C271" s="34" t="s">
        <v>46</v>
      </c>
      <c r="D271" s="34" t="s">
        <v>47</v>
      </c>
      <c r="E271" s="34" t="s">
        <v>61</v>
      </c>
      <c r="F271" s="33" t="n">
        <v>123099</v>
      </c>
      <c r="G271" s="34" t="s">
        <v>49</v>
      </c>
      <c r="H271" s="34" t="s">
        <v>48</v>
      </c>
      <c r="I271" s="33" t="n">
        <v>4200</v>
      </c>
      <c r="J271" s="34" t="s">
        <v>80</v>
      </c>
      <c r="K271" s="34" t="s">
        <v>50</v>
      </c>
      <c r="L271" s="34" t="s">
        <v>102</v>
      </c>
      <c r="M271" s="34" t="s">
        <v>103</v>
      </c>
      <c r="T271" s="38"/>
    </row>
    <row r="272" customFormat="false" ht="15" hidden="false" customHeight="false" outlineLevel="0" collapsed="false">
      <c r="A272" s="0" t="s">
        <v>610</v>
      </c>
      <c r="B272" s="0" t="s">
        <v>611</v>
      </c>
      <c r="C272" s="34" t="s">
        <v>46</v>
      </c>
      <c r="D272" s="34" t="s">
        <v>59</v>
      </c>
      <c r="E272" s="34" t="s">
        <v>57</v>
      </c>
      <c r="F272" s="33" t="n">
        <v>123583</v>
      </c>
      <c r="G272" s="34" t="s">
        <v>43</v>
      </c>
      <c r="H272" s="34" t="s">
        <v>48</v>
      </c>
      <c r="I272" s="33" t="n">
        <v>2800</v>
      </c>
      <c r="J272" s="34" t="s">
        <v>80</v>
      </c>
      <c r="K272" s="34" t="s">
        <v>50</v>
      </c>
      <c r="L272" s="34" t="s">
        <v>81</v>
      </c>
      <c r="M272" s="34" t="s">
        <v>82</v>
      </c>
      <c r="T272" s="38"/>
    </row>
    <row r="273" customFormat="false" ht="15" hidden="false" customHeight="false" outlineLevel="0" collapsed="false">
      <c r="A273" s="0" t="s">
        <v>612</v>
      </c>
      <c r="B273" s="0" t="s">
        <v>406</v>
      </c>
      <c r="C273" s="34" t="s">
        <v>46</v>
      </c>
      <c r="D273" s="34" t="s">
        <v>53</v>
      </c>
      <c r="E273" s="34" t="s">
        <v>45</v>
      </c>
      <c r="F273" s="33" t="n">
        <v>174875</v>
      </c>
      <c r="G273" s="34" t="s">
        <v>49</v>
      </c>
      <c r="H273" s="34" t="s">
        <v>48</v>
      </c>
      <c r="I273" s="33" t="n">
        <v>4200</v>
      </c>
      <c r="J273" s="34" t="s">
        <v>80</v>
      </c>
      <c r="K273" s="34" t="s">
        <v>56</v>
      </c>
      <c r="L273" s="34" t="s">
        <v>110</v>
      </c>
      <c r="M273" s="34" t="s">
        <v>111</v>
      </c>
      <c r="T273" s="38"/>
    </row>
    <row r="274" customFormat="false" ht="15" hidden="false" customHeight="false" outlineLevel="0" collapsed="false">
      <c r="A274" s="0" t="s">
        <v>613</v>
      </c>
      <c r="B274" s="0" t="s">
        <v>614</v>
      </c>
      <c r="C274" s="34" t="s">
        <v>46</v>
      </c>
      <c r="D274" s="34" t="s">
        <v>59</v>
      </c>
      <c r="E274" s="34" t="s">
        <v>45</v>
      </c>
      <c r="F274" s="33" t="n">
        <v>176905</v>
      </c>
      <c r="G274" s="34" t="s">
        <v>43</v>
      </c>
      <c r="H274" s="34" t="s">
        <v>48</v>
      </c>
      <c r="I274" s="33" t="n">
        <v>2800</v>
      </c>
      <c r="J274" s="34" t="s">
        <v>80</v>
      </c>
      <c r="K274" s="34" t="s">
        <v>56</v>
      </c>
      <c r="L274" s="34" t="s">
        <v>81</v>
      </c>
      <c r="M274" s="34" t="s">
        <v>82</v>
      </c>
      <c r="T274" s="38"/>
    </row>
    <row r="275" customFormat="false" ht="15" hidden="false" customHeight="false" outlineLevel="0" collapsed="false">
      <c r="A275" s="0" t="s">
        <v>615</v>
      </c>
      <c r="B275" s="0" t="s">
        <v>616</v>
      </c>
      <c r="C275" s="34" t="s">
        <v>46</v>
      </c>
      <c r="D275" s="34" t="s">
        <v>53</v>
      </c>
      <c r="E275" s="34" t="s">
        <v>61</v>
      </c>
      <c r="F275" s="33" t="n">
        <v>177136</v>
      </c>
      <c r="G275" s="34" t="s">
        <v>43</v>
      </c>
      <c r="H275" s="34" t="s">
        <v>48</v>
      </c>
      <c r="I275" s="33" t="n">
        <v>2800</v>
      </c>
      <c r="J275" s="34" t="s">
        <v>80</v>
      </c>
      <c r="K275" s="34" t="s">
        <v>56</v>
      </c>
      <c r="L275" s="34" t="s">
        <v>110</v>
      </c>
      <c r="M275" s="34" t="s">
        <v>111</v>
      </c>
      <c r="T275" s="38"/>
    </row>
    <row r="276" customFormat="false" ht="15" hidden="false" customHeight="false" outlineLevel="0" collapsed="false">
      <c r="A276" s="0" t="s">
        <v>617</v>
      </c>
      <c r="B276" s="0" t="s">
        <v>618</v>
      </c>
      <c r="C276" s="34" t="s">
        <v>46</v>
      </c>
      <c r="D276" s="34" t="s">
        <v>53</v>
      </c>
      <c r="E276" s="34" t="s">
        <v>57</v>
      </c>
      <c r="F276" s="33" t="n">
        <v>182016</v>
      </c>
      <c r="G276" s="34" t="s">
        <v>49</v>
      </c>
      <c r="H276" s="34" t="s">
        <v>48</v>
      </c>
      <c r="I276" s="33" t="n">
        <v>4200</v>
      </c>
      <c r="J276" s="34" t="s">
        <v>80</v>
      </c>
      <c r="K276" s="34" t="s">
        <v>60</v>
      </c>
      <c r="L276" s="34" t="s">
        <v>110</v>
      </c>
      <c r="M276" s="34" t="s">
        <v>111</v>
      </c>
      <c r="T276" s="38"/>
    </row>
    <row r="277" customFormat="false" ht="15" hidden="false" customHeight="false" outlineLevel="0" collapsed="false">
      <c r="A277" s="0" t="s">
        <v>619</v>
      </c>
      <c r="B277" s="0" t="s">
        <v>620</v>
      </c>
      <c r="C277" s="34" t="s">
        <v>46</v>
      </c>
      <c r="D277" s="34" t="s">
        <v>63</v>
      </c>
      <c r="E277" s="34" t="s">
        <v>51</v>
      </c>
      <c r="F277" s="33" t="n">
        <v>168509</v>
      </c>
      <c r="G277" s="34" t="s">
        <v>49</v>
      </c>
      <c r="H277" s="34" t="s">
        <v>48</v>
      </c>
      <c r="I277" s="33" t="n">
        <v>4200</v>
      </c>
      <c r="J277" s="34" t="s">
        <v>80</v>
      </c>
      <c r="K277" s="34" t="s">
        <v>56</v>
      </c>
      <c r="L277" s="34" t="s">
        <v>116</v>
      </c>
      <c r="M277" s="34" t="s">
        <v>117</v>
      </c>
      <c r="T277" s="38"/>
    </row>
    <row r="278" customFormat="false" ht="15" hidden="false" customHeight="false" outlineLevel="0" collapsed="false">
      <c r="A278" s="0" t="s">
        <v>621</v>
      </c>
      <c r="B278" s="0" t="s">
        <v>137</v>
      </c>
      <c r="C278" s="34" t="s">
        <v>46</v>
      </c>
      <c r="D278" s="34" t="s">
        <v>63</v>
      </c>
      <c r="E278" s="34" t="s">
        <v>51</v>
      </c>
      <c r="F278" s="33" t="n">
        <v>173162</v>
      </c>
      <c r="G278" s="34" t="s">
        <v>43</v>
      </c>
      <c r="H278" s="34" t="s">
        <v>48</v>
      </c>
      <c r="I278" s="33" t="n">
        <v>2800</v>
      </c>
      <c r="J278" s="34" t="s">
        <v>80</v>
      </c>
      <c r="K278" s="34" t="s">
        <v>56</v>
      </c>
      <c r="L278" s="34" t="s">
        <v>116</v>
      </c>
      <c r="M278" s="34" t="s">
        <v>117</v>
      </c>
      <c r="T278" s="38"/>
    </row>
    <row r="279" customFormat="false" ht="15" hidden="false" customHeight="false" outlineLevel="0" collapsed="false">
      <c r="A279" s="0" t="s">
        <v>622</v>
      </c>
      <c r="B279" s="0" t="s">
        <v>623</v>
      </c>
      <c r="C279" s="34" t="s">
        <v>46</v>
      </c>
      <c r="D279" s="34" t="s">
        <v>63</v>
      </c>
      <c r="E279" s="34" t="s">
        <v>51</v>
      </c>
      <c r="F279" s="33" t="n">
        <v>169560</v>
      </c>
      <c r="G279" s="34" t="s">
        <v>49</v>
      </c>
      <c r="H279" s="34" t="s">
        <v>48</v>
      </c>
      <c r="I279" s="33" t="n">
        <v>4200</v>
      </c>
      <c r="J279" s="34" t="s">
        <v>80</v>
      </c>
      <c r="K279" s="34" t="s">
        <v>56</v>
      </c>
      <c r="L279" s="34" t="s">
        <v>116</v>
      </c>
      <c r="M279" s="34" t="s">
        <v>117</v>
      </c>
      <c r="T279" s="38"/>
    </row>
    <row r="280" customFormat="false" ht="15" hidden="false" customHeight="false" outlineLevel="0" collapsed="false">
      <c r="A280" s="0" t="s">
        <v>624</v>
      </c>
      <c r="B280" s="0" t="s">
        <v>279</v>
      </c>
      <c r="C280" s="34" t="s">
        <v>46</v>
      </c>
      <c r="D280" s="34" t="s">
        <v>62</v>
      </c>
      <c r="E280" s="34" t="s">
        <v>45</v>
      </c>
      <c r="F280" s="33" t="n">
        <v>169772</v>
      </c>
      <c r="G280" s="34" t="s">
        <v>43</v>
      </c>
      <c r="H280" s="34" t="s">
        <v>48</v>
      </c>
      <c r="I280" s="33" t="n">
        <v>2800</v>
      </c>
      <c r="J280" s="34" t="s">
        <v>80</v>
      </c>
      <c r="K280" s="34" t="s">
        <v>56</v>
      </c>
      <c r="L280" s="34" t="s">
        <v>96</v>
      </c>
      <c r="M280" s="34" t="s">
        <v>97</v>
      </c>
      <c r="T280" s="38"/>
    </row>
    <row r="281" customFormat="false" ht="15" hidden="false" customHeight="false" outlineLevel="0" collapsed="false">
      <c r="A281" s="0" t="s">
        <v>625</v>
      </c>
      <c r="B281" s="0" t="s">
        <v>307</v>
      </c>
      <c r="C281" s="34" t="s">
        <v>46</v>
      </c>
      <c r="D281" s="34" t="s">
        <v>62</v>
      </c>
      <c r="E281" s="34" t="s">
        <v>57</v>
      </c>
      <c r="F281" s="33" t="n">
        <v>199282</v>
      </c>
      <c r="G281" s="34" t="s">
        <v>49</v>
      </c>
      <c r="H281" s="34" t="s">
        <v>48</v>
      </c>
      <c r="I281" s="33" t="n">
        <v>4200</v>
      </c>
      <c r="J281" s="34" t="s">
        <v>80</v>
      </c>
      <c r="K281" s="34" t="s">
        <v>60</v>
      </c>
      <c r="L281" s="34" t="s">
        <v>96</v>
      </c>
      <c r="M281" s="34" t="s">
        <v>97</v>
      </c>
      <c r="T281" s="38"/>
    </row>
    <row r="282" customFormat="false" ht="15" hidden="false" customHeight="false" outlineLevel="0" collapsed="false">
      <c r="A282" s="0" t="s">
        <v>626</v>
      </c>
      <c r="B282" s="0" t="s">
        <v>627</v>
      </c>
      <c r="C282" s="34" t="s">
        <v>46</v>
      </c>
      <c r="D282" s="34" t="s">
        <v>62</v>
      </c>
      <c r="E282" s="34" t="s">
        <v>45</v>
      </c>
      <c r="F282" s="33" t="n">
        <v>199455</v>
      </c>
      <c r="G282" s="34" t="s">
        <v>43</v>
      </c>
      <c r="H282" s="34" t="s">
        <v>48</v>
      </c>
      <c r="I282" s="33" t="n">
        <v>2800</v>
      </c>
      <c r="J282" s="34" t="s">
        <v>80</v>
      </c>
      <c r="K282" s="34" t="s">
        <v>60</v>
      </c>
      <c r="L282" s="34" t="s">
        <v>96</v>
      </c>
      <c r="M282" s="34" t="s">
        <v>97</v>
      </c>
      <c r="T282" s="38"/>
    </row>
    <row r="283" customFormat="false" ht="15" hidden="false" customHeight="false" outlineLevel="0" collapsed="false">
      <c r="A283" s="0" t="s">
        <v>628</v>
      </c>
      <c r="B283" s="0" t="s">
        <v>629</v>
      </c>
      <c r="C283" s="34" t="s">
        <v>46</v>
      </c>
      <c r="D283" s="34" t="s">
        <v>62</v>
      </c>
      <c r="E283" s="34" t="s">
        <v>51</v>
      </c>
      <c r="F283" s="33" t="n">
        <v>190396</v>
      </c>
      <c r="G283" s="34" t="s">
        <v>49</v>
      </c>
      <c r="H283" s="34" t="s">
        <v>48</v>
      </c>
      <c r="I283" s="33" t="n">
        <v>4200</v>
      </c>
      <c r="J283" s="34" t="s">
        <v>80</v>
      </c>
      <c r="K283" s="34" t="s">
        <v>60</v>
      </c>
      <c r="L283" s="34" t="s">
        <v>96</v>
      </c>
      <c r="M283" s="34" t="s">
        <v>97</v>
      </c>
      <c r="T283" s="38"/>
    </row>
    <row r="284" customFormat="false" ht="15" hidden="false" customHeight="false" outlineLevel="0" collapsed="false">
      <c r="A284" s="0" t="s">
        <v>630</v>
      </c>
      <c r="B284" s="0" t="s">
        <v>631</v>
      </c>
      <c r="C284" s="34" t="s">
        <v>46</v>
      </c>
      <c r="D284" s="34" t="s">
        <v>47</v>
      </c>
      <c r="E284" s="34" t="s">
        <v>61</v>
      </c>
      <c r="F284" s="33" t="n">
        <v>186997</v>
      </c>
      <c r="G284" s="34" t="s">
        <v>43</v>
      </c>
      <c r="H284" s="34" t="s">
        <v>48</v>
      </c>
      <c r="I284" s="33" t="n">
        <v>2800</v>
      </c>
      <c r="J284" s="34" t="s">
        <v>80</v>
      </c>
      <c r="K284" s="34" t="s">
        <v>60</v>
      </c>
      <c r="L284" s="34" t="s">
        <v>102</v>
      </c>
      <c r="M284" s="34" t="s">
        <v>103</v>
      </c>
      <c r="T284" s="38"/>
    </row>
    <row r="285" customFormat="false" ht="15" hidden="false" customHeight="false" outlineLevel="0" collapsed="false">
      <c r="A285" s="0" t="s">
        <v>632</v>
      </c>
      <c r="B285" s="0" t="s">
        <v>633</v>
      </c>
      <c r="C285" s="34" t="s">
        <v>46</v>
      </c>
      <c r="D285" s="34" t="s">
        <v>63</v>
      </c>
      <c r="E285" s="34" t="s">
        <v>61</v>
      </c>
      <c r="F285" s="33" t="n">
        <v>188377</v>
      </c>
      <c r="G285" s="34" t="s">
        <v>49</v>
      </c>
      <c r="H285" s="34" t="s">
        <v>48</v>
      </c>
      <c r="I285" s="33" t="n">
        <v>4200</v>
      </c>
      <c r="J285" s="34" t="s">
        <v>80</v>
      </c>
      <c r="K285" s="34" t="s">
        <v>60</v>
      </c>
      <c r="L285" s="34" t="s">
        <v>116</v>
      </c>
      <c r="M285" s="34" t="s">
        <v>117</v>
      </c>
      <c r="T285" s="38"/>
    </row>
    <row r="286" customFormat="false" ht="15" hidden="false" customHeight="false" outlineLevel="0" collapsed="false">
      <c r="A286" s="0" t="s">
        <v>634</v>
      </c>
      <c r="B286" s="0" t="s">
        <v>635</v>
      </c>
      <c r="C286" s="34" t="s">
        <v>46</v>
      </c>
      <c r="D286" s="34" t="s">
        <v>62</v>
      </c>
      <c r="E286" s="34" t="s">
        <v>45</v>
      </c>
      <c r="F286" s="33" t="n">
        <v>189143</v>
      </c>
      <c r="G286" s="34" t="s">
        <v>49</v>
      </c>
      <c r="H286" s="34" t="s">
        <v>48</v>
      </c>
      <c r="I286" s="33" t="n">
        <v>4200</v>
      </c>
      <c r="J286" s="34" t="s">
        <v>80</v>
      </c>
      <c r="K286" s="34" t="s">
        <v>60</v>
      </c>
      <c r="L286" s="34" t="s">
        <v>96</v>
      </c>
      <c r="M286" s="34" t="s">
        <v>97</v>
      </c>
      <c r="T286" s="38"/>
    </row>
    <row r="287" customFormat="false" ht="15" hidden="false" customHeight="false" outlineLevel="0" collapsed="false">
      <c r="A287" s="0" t="s">
        <v>636</v>
      </c>
      <c r="B287" s="0" t="s">
        <v>637</v>
      </c>
      <c r="C287" s="34" t="s">
        <v>46</v>
      </c>
      <c r="D287" s="34" t="s">
        <v>62</v>
      </c>
      <c r="E287" s="34" t="s">
        <v>61</v>
      </c>
      <c r="F287" s="33" t="n">
        <v>189877</v>
      </c>
      <c r="G287" s="34" t="s">
        <v>49</v>
      </c>
      <c r="H287" s="34" t="s">
        <v>48</v>
      </c>
      <c r="I287" s="33" t="n">
        <v>4200</v>
      </c>
      <c r="J287" s="34" t="s">
        <v>80</v>
      </c>
      <c r="K287" s="34" t="s">
        <v>60</v>
      </c>
      <c r="L287" s="34" t="s">
        <v>96</v>
      </c>
      <c r="M287" s="34" t="s">
        <v>97</v>
      </c>
      <c r="T287" s="38"/>
    </row>
    <row r="288" customFormat="false" ht="15" hidden="false" customHeight="false" outlineLevel="0" collapsed="false">
      <c r="A288" s="0" t="s">
        <v>638</v>
      </c>
      <c r="B288" s="0" t="s">
        <v>639</v>
      </c>
      <c r="C288" s="34" t="s">
        <v>46</v>
      </c>
      <c r="D288" s="34" t="s">
        <v>59</v>
      </c>
      <c r="E288" s="34" t="s">
        <v>57</v>
      </c>
      <c r="F288" s="33" t="n">
        <v>133788</v>
      </c>
      <c r="G288" s="34" t="s">
        <v>43</v>
      </c>
      <c r="H288" s="34" t="s">
        <v>48</v>
      </c>
      <c r="I288" s="33" t="n">
        <v>2800</v>
      </c>
      <c r="J288" s="34" t="s">
        <v>80</v>
      </c>
      <c r="K288" s="34" t="s">
        <v>56</v>
      </c>
      <c r="L288" s="34" t="s">
        <v>81</v>
      </c>
      <c r="M288" s="34" t="s">
        <v>82</v>
      </c>
      <c r="T288" s="38"/>
    </row>
    <row r="289" customFormat="false" ht="15" hidden="false" customHeight="false" outlineLevel="0" collapsed="false">
      <c r="A289" s="0" t="s">
        <v>640</v>
      </c>
      <c r="B289" s="0" t="s">
        <v>641</v>
      </c>
      <c r="C289" s="34" t="s">
        <v>46</v>
      </c>
      <c r="D289" s="34" t="s">
        <v>47</v>
      </c>
      <c r="E289" s="34" t="s">
        <v>51</v>
      </c>
      <c r="F289" s="33" t="n">
        <v>162955</v>
      </c>
      <c r="G289" s="34" t="s">
        <v>43</v>
      </c>
      <c r="H289" s="34" t="s">
        <v>48</v>
      </c>
      <c r="I289" s="33" t="n">
        <v>2800</v>
      </c>
      <c r="J289" s="34" t="s">
        <v>80</v>
      </c>
      <c r="K289" s="34" t="s">
        <v>56</v>
      </c>
      <c r="L289" s="34" t="s">
        <v>102</v>
      </c>
      <c r="M289" s="34" t="s">
        <v>103</v>
      </c>
      <c r="T289" s="38"/>
    </row>
    <row r="290" customFormat="false" ht="15" hidden="false" customHeight="false" outlineLevel="0" collapsed="false">
      <c r="A290" s="0" t="s">
        <v>642</v>
      </c>
      <c r="B290" s="0" t="s">
        <v>609</v>
      </c>
      <c r="C290" s="34" t="s">
        <v>46</v>
      </c>
      <c r="D290" s="34" t="s">
        <v>63</v>
      </c>
      <c r="E290" s="34" t="s">
        <v>61</v>
      </c>
      <c r="F290" s="33" t="n">
        <v>134456</v>
      </c>
      <c r="G290" s="34" t="s">
        <v>43</v>
      </c>
      <c r="H290" s="34" t="s">
        <v>48</v>
      </c>
      <c r="I290" s="33" t="n">
        <v>2800</v>
      </c>
      <c r="J290" s="34" t="s">
        <v>80</v>
      </c>
      <c r="K290" s="34" t="s">
        <v>56</v>
      </c>
      <c r="L290" s="34" t="s">
        <v>116</v>
      </c>
      <c r="M290" s="34" t="s">
        <v>117</v>
      </c>
      <c r="T290" s="38"/>
    </row>
    <row r="291" customFormat="false" ht="15" hidden="false" customHeight="false" outlineLevel="0" collapsed="false">
      <c r="A291" s="0" t="s">
        <v>643</v>
      </c>
      <c r="B291" s="0" t="s">
        <v>644</v>
      </c>
      <c r="C291" s="34" t="s">
        <v>46</v>
      </c>
      <c r="D291" s="34" t="s">
        <v>47</v>
      </c>
      <c r="E291" s="34" t="s">
        <v>45</v>
      </c>
      <c r="F291" s="33" t="n">
        <v>140590</v>
      </c>
      <c r="G291" s="34" t="s">
        <v>43</v>
      </c>
      <c r="H291" s="34" t="s">
        <v>48</v>
      </c>
      <c r="I291" s="33" t="n">
        <v>2800</v>
      </c>
      <c r="J291" s="34" t="s">
        <v>80</v>
      </c>
      <c r="K291" s="34" t="s">
        <v>56</v>
      </c>
      <c r="L291" s="34" t="s">
        <v>102</v>
      </c>
      <c r="M291" s="34" t="s">
        <v>103</v>
      </c>
      <c r="T291" s="38"/>
    </row>
    <row r="292" customFormat="false" ht="15" hidden="false" customHeight="false" outlineLevel="0" collapsed="false">
      <c r="A292" s="0" t="s">
        <v>645</v>
      </c>
      <c r="B292" s="0" t="s">
        <v>646</v>
      </c>
      <c r="C292" s="34" t="s">
        <v>46</v>
      </c>
      <c r="D292" s="34" t="s">
        <v>62</v>
      </c>
      <c r="E292" s="34" t="s">
        <v>57</v>
      </c>
      <c r="F292" s="33" t="n">
        <v>136438</v>
      </c>
      <c r="G292" s="34" t="s">
        <v>43</v>
      </c>
      <c r="H292" s="34" t="s">
        <v>48</v>
      </c>
      <c r="I292" s="33" t="n">
        <v>2800</v>
      </c>
      <c r="J292" s="34" t="s">
        <v>80</v>
      </c>
      <c r="K292" s="34" t="s">
        <v>56</v>
      </c>
      <c r="L292" s="34" t="s">
        <v>96</v>
      </c>
      <c r="M292" s="34" t="s">
        <v>97</v>
      </c>
      <c r="T292" s="38"/>
    </row>
    <row r="293" customFormat="false" ht="15" hidden="false" customHeight="false" outlineLevel="0" collapsed="false">
      <c r="A293" s="0" t="s">
        <v>647</v>
      </c>
      <c r="B293" s="0" t="s">
        <v>648</v>
      </c>
      <c r="C293" s="34" t="s">
        <v>46</v>
      </c>
      <c r="D293" s="34" t="s">
        <v>59</v>
      </c>
      <c r="E293" s="34" t="s">
        <v>45</v>
      </c>
      <c r="F293" s="33" t="n">
        <v>126047</v>
      </c>
      <c r="G293" s="34" t="s">
        <v>43</v>
      </c>
      <c r="H293" s="34" t="s">
        <v>48</v>
      </c>
      <c r="I293" s="33" t="n">
        <v>2800</v>
      </c>
      <c r="J293" s="34" t="s">
        <v>80</v>
      </c>
      <c r="K293" s="34" t="s">
        <v>50</v>
      </c>
      <c r="L293" s="34" t="s">
        <v>81</v>
      </c>
      <c r="M293" s="34" t="s">
        <v>82</v>
      </c>
      <c r="T293" s="38"/>
    </row>
    <row r="294" customFormat="false" ht="15" hidden="false" customHeight="false" outlineLevel="0" collapsed="false">
      <c r="A294" s="0" t="s">
        <v>649</v>
      </c>
      <c r="B294" s="0" t="s">
        <v>215</v>
      </c>
      <c r="C294" s="34" t="s">
        <v>46</v>
      </c>
      <c r="D294" s="34" t="s">
        <v>47</v>
      </c>
      <c r="E294" s="34" t="s">
        <v>57</v>
      </c>
      <c r="F294" s="33" t="n">
        <v>126586</v>
      </c>
      <c r="G294" s="34" t="s">
        <v>49</v>
      </c>
      <c r="H294" s="34" t="s">
        <v>48</v>
      </c>
      <c r="I294" s="33" t="n">
        <v>4200</v>
      </c>
      <c r="J294" s="34" t="s">
        <v>80</v>
      </c>
      <c r="K294" s="34" t="s">
        <v>50</v>
      </c>
      <c r="L294" s="34" t="s">
        <v>102</v>
      </c>
      <c r="M294" s="34" t="s">
        <v>103</v>
      </c>
      <c r="T294" s="38"/>
    </row>
    <row r="295" customFormat="false" ht="15" hidden="false" customHeight="false" outlineLevel="0" collapsed="false">
      <c r="A295" s="0" t="s">
        <v>650</v>
      </c>
      <c r="B295" s="0" t="s">
        <v>651</v>
      </c>
      <c r="C295" s="34" t="s">
        <v>46</v>
      </c>
      <c r="D295" s="34" t="s">
        <v>53</v>
      </c>
      <c r="E295" s="34" t="s">
        <v>57</v>
      </c>
      <c r="F295" s="33" t="n">
        <v>130848</v>
      </c>
      <c r="G295" s="34" t="s">
        <v>43</v>
      </c>
      <c r="H295" s="34" t="s">
        <v>48</v>
      </c>
      <c r="I295" s="33" t="n">
        <v>2800</v>
      </c>
      <c r="J295" s="34" t="s">
        <v>80</v>
      </c>
      <c r="K295" s="34" t="s">
        <v>56</v>
      </c>
      <c r="L295" s="34" t="s">
        <v>110</v>
      </c>
      <c r="M295" s="34" t="s">
        <v>111</v>
      </c>
      <c r="T295" s="38"/>
    </row>
    <row r="296" customFormat="false" ht="15" hidden="false" customHeight="false" outlineLevel="0" collapsed="false">
      <c r="A296" s="0" t="s">
        <v>652</v>
      </c>
      <c r="B296" s="0" t="s">
        <v>471</v>
      </c>
      <c r="C296" s="34" t="s">
        <v>46</v>
      </c>
      <c r="D296" s="34" t="s">
        <v>62</v>
      </c>
      <c r="E296" s="34" t="s">
        <v>57</v>
      </c>
      <c r="F296" s="33" t="n">
        <v>132030</v>
      </c>
      <c r="G296" s="34" t="s">
        <v>49</v>
      </c>
      <c r="H296" s="34" t="s">
        <v>48</v>
      </c>
      <c r="I296" s="33" t="n">
        <v>4200</v>
      </c>
      <c r="J296" s="34" t="s">
        <v>80</v>
      </c>
      <c r="K296" s="34" t="s">
        <v>56</v>
      </c>
      <c r="L296" s="34" t="s">
        <v>96</v>
      </c>
      <c r="M296" s="34" t="s">
        <v>97</v>
      </c>
      <c r="T296" s="38"/>
    </row>
    <row r="297" customFormat="false" ht="15" hidden="false" customHeight="false" outlineLevel="0" collapsed="false">
      <c r="A297" s="0" t="s">
        <v>653</v>
      </c>
      <c r="B297" s="0" t="s">
        <v>654</v>
      </c>
      <c r="C297" s="34" t="s">
        <v>46</v>
      </c>
      <c r="D297" s="34" t="s">
        <v>62</v>
      </c>
      <c r="E297" s="34" t="s">
        <v>61</v>
      </c>
      <c r="F297" s="33" t="n">
        <v>127306</v>
      </c>
      <c r="G297" s="34" t="s">
        <v>43</v>
      </c>
      <c r="H297" s="34" t="s">
        <v>48</v>
      </c>
      <c r="I297" s="33" t="n">
        <v>2800</v>
      </c>
      <c r="J297" s="34" t="s">
        <v>80</v>
      </c>
      <c r="K297" s="34" t="s">
        <v>50</v>
      </c>
      <c r="L297" s="34" t="s">
        <v>96</v>
      </c>
      <c r="M297" s="34" t="s">
        <v>97</v>
      </c>
      <c r="T297" s="38"/>
    </row>
    <row r="298" customFormat="false" ht="15" hidden="false" customHeight="false" outlineLevel="0" collapsed="false">
      <c r="A298" s="0" t="s">
        <v>655</v>
      </c>
      <c r="B298" s="0" t="s">
        <v>656</v>
      </c>
      <c r="C298" s="34" t="s">
        <v>46</v>
      </c>
      <c r="D298" s="34" t="s">
        <v>47</v>
      </c>
      <c r="E298" s="34" t="s">
        <v>51</v>
      </c>
      <c r="F298" s="33" t="n">
        <v>141821</v>
      </c>
      <c r="G298" s="34" t="s">
        <v>49</v>
      </c>
      <c r="H298" s="34" t="s">
        <v>48</v>
      </c>
      <c r="I298" s="33" t="n">
        <v>4200</v>
      </c>
      <c r="J298" s="34" t="s">
        <v>80</v>
      </c>
      <c r="K298" s="34" t="s">
        <v>56</v>
      </c>
      <c r="L298" s="34" t="s">
        <v>102</v>
      </c>
      <c r="M298" s="34" t="s">
        <v>103</v>
      </c>
      <c r="T298" s="38"/>
    </row>
    <row r="299" customFormat="false" ht="15" hidden="false" customHeight="false" outlineLevel="0" collapsed="false">
      <c r="A299" s="0" t="s">
        <v>657</v>
      </c>
      <c r="B299" s="0" t="s">
        <v>658</v>
      </c>
      <c r="C299" s="34" t="s">
        <v>46</v>
      </c>
      <c r="D299" s="34" t="s">
        <v>59</v>
      </c>
      <c r="E299" s="34" t="s">
        <v>51</v>
      </c>
      <c r="F299" s="33" t="n">
        <v>151196</v>
      </c>
      <c r="G299" s="34" t="s">
        <v>43</v>
      </c>
      <c r="H299" s="34" t="s">
        <v>48</v>
      </c>
      <c r="I299" s="33" t="n">
        <v>2800</v>
      </c>
      <c r="J299" s="34" t="s">
        <v>80</v>
      </c>
      <c r="K299" s="34" t="s">
        <v>56</v>
      </c>
      <c r="L299" s="34" t="s">
        <v>81</v>
      </c>
      <c r="M299" s="34" t="s">
        <v>82</v>
      </c>
      <c r="T299" s="38"/>
    </row>
    <row r="300" customFormat="false" ht="15" hidden="false" customHeight="false" outlineLevel="0" collapsed="false">
      <c r="A300" s="0" t="s">
        <v>659</v>
      </c>
      <c r="B300" s="0" t="s">
        <v>660</v>
      </c>
      <c r="C300" s="34" t="s">
        <v>46</v>
      </c>
      <c r="D300" s="34" t="s">
        <v>59</v>
      </c>
      <c r="E300" s="34" t="s">
        <v>51</v>
      </c>
      <c r="F300" s="33" t="n">
        <v>155074</v>
      </c>
      <c r="G300" s="34" t="s">
        <v>43</v>
      </c>
      <c r="H300" s="34" t="s">
        <v>48</v>
      </c>
      <c r="I300" s="33" t="n">
        <v>2800</v>
      </c>
      <c r="J300" s="34" t="s">
        <v>80</v>
      </c>
      <c r="K300" s="34" t="s">
        <v>56</v>
      </c>
      <c r="L300" s="34" t="s">
        <v>81</v>
      </c>
      <c r="M300" s="34" t="s">
        <v>82</v>
      </c>
      <c r="T300" s="38"/>
    </row>
    <row r="301" customFormat="false" ht="15" hidden="false" customHeight="false" outlineLevel="0" collapsed="false">
      <c r="A301" s="0" t="s">
        <v>661</v>
      </c>
      <c r="B301" s="0" t="s">
        <v>662</v>
      </c>
      <c r="C301" s="34" t="s">
        <v>46</v>
      </c>
      <c r="D301" s="34" t="s">
        <v>53</v>
      </c>
      <c r="E301" s="34" t="s">
        <v>57</v>
      </c>
      <c r="F301" s="33" t="n">
        <v>157659</v>
      </c>
      <c r="G301" s="34" t="s">
        <v>43</v>
      </c>
      <c r="H301" s="34" t="s">
        <v>48</v>
      </c>
      <c r="I301" s="33" t="n">
        <v>2800</v>
      </c>
      <c r="J301" s="34" t="s">
        <v>80</v>
      </c>
      <c r="K301" s="34" t="s">
        <v>56</v>
      </c>
      <c r="L301" s="34" t="s">
        <v>110</v>
      </c>
      <c r="M301" s="34" t="s">
        <v>111</v>
      </c>
      <c r="T301" s="38"/>
    </row>
    <row r="302" customFormat="false" ht="15" hidden="false" customHeight="false" outlineLevel="0" collapsed="false">
      <c r="A302" s="0" t="s">
        <v>663</v>
      </c>
      <c r="B302" s="0" t="s">
        <v>664</v>
      </c>
      <c r="C302" s="34" t="s">
        <v>46</v>
      </c>
      <c r="D302" s="34" t="s">
        <v>53</v>
      </c>
      <c r="E302" s="34" t="s">
        <v>45</v>
      </c>
      <c r="F302" s="33" t="n">
        <v>146861</v>
      </c>
      <c r="G302" s="34" t="s">
        <v>43</v>
      </c>
      <c r="H302" s="34" t="s">
        <v>48</v>
      </c>
      <c r="I302" s="33" t="n">
        <v>2800</v>
      </c>
      <c r="J302" s="34" t="s">
        <v>80</v>
      </c>
      <c r="K302" s="34" t="s">
        <v>56</v>
      </c>
      <c r="L302" s="34" t="s">
        <v>110</v>
      </c>
      <c r="M302" s="34" t="s">
        <v>111</v>
      </c>
      <c r="T302" s="38"/>
    </row>
    <row r="303" customFormat="false" ht="15" hidden="false" customHeight="false" outlineLevel="0" collapsed="false">
      <c r="A303" s="0" t="s">
        <v>665</v>
      </c>
      <c r="B303" s="0" t="s">
        <v>666</v>
      </c>
      <c r="C303" s="34" t="s">
        <v>46</v>
      </c>
      <c r="D303" s="34" t="s">
        <v>62</v>
      </c>
      <c r="E303" s="34" t="s">
        <v>61</v>
      </c>
      <c r="F303" s="33" t="n">
        <v>142515</v>
      </c>
      <c r="G303" s="34" t="s">
        <v>49</v>
      </c>
      <c r="H303" s="34" t="s">
        <v>48</v>
      </c>
      <c r="I303" s="33" t="n">
        <v>4200</v>
      </c>
      <c r="J303" s="34" t="s">
        <v>80</v>
      </c>
      <c r="K303" s="34" t="s">
        <v>56</v>
      </c>
      <c r="L303" s="34" t="s">
        <v>96</v>
      </c>
      <c r="M303" s="34" t="s">
        <v>97</v>
      </c>
      <c r="T303" s="38"/>
    </row>
    <row r="304" customFormat="false" ht="15" hidden="false" customHeight="false" outlineLevel="0" collapsed="false">
      <c r="A304" s="0" t="s">
        <v>667</v>
      </c>
      <c r="B304" s="0" t="s">
        <v>668</v>
      </c>
      <c r="C304" s="34" t="s">
        <v>46</v>
      </c>
      <c r="D304" s="34" t="s">
        <v>47</v>
      </c>
      <c r="E304" s="34" t="s">
        <v>45</v>
      </c>
      <c r="F304" s="33" t="n">
        <v>149005</v>
      </c>
      <c r="G304" s="34" t="s">
        <v>43</v>
      </c>
      <c r="H304" s="34" t="s">
        <v>48</v>
      </c>
      <c r="I304" s="33" t="n">
        <v>2800</v>
      </c>
      <c r="J304" s="34" t="s">
        <v>80</v>
      </c>
      <c r="K304" s="34" t="s">
        <v>56</v>
      </c>
      <c r="L304" s="34" t="s">
        <v>102</v>
      </c>
      <c r="M304" s="34" t="s">
        <v>103</v>
      </c>
      <c r="T304" s="38"/>
    </row>
    <row r="305" customFormat="false" ht="15" hidden="false" customHeight="false" outlineLevel="0" collapsed="false">
      <c r="A305" s="0" t="s">
        <v>669</v>
      </c>
      <c r="B305" s="0" t="s">
        <v>670</v>
      </c>
      <c r="C305" s="34" t="s">
        <v>46</v>
      </c>
      <c r="D305" s="34" t="s">
        <v>53</v>
      </c>
      <c r="E305" s="34" t="s">
        <v>57</v>
      </c>
      <c r="F305" s="33" t="n">
        <v>147359</v>
      </c>
      <c r="G305" s="34" t="s">
        <v>43</v>
      </c>
      <c r="H305" s="34" t="s">
        <v>48</v>
      </c>
      <c r="I305" s="33" t="n">
        <v>2800</v>
      </c>
      <c r="J305" s="34" t="s">
        <v>80</v>
      </c>
      <c r="K305" s="34" t="s">
        <v>56</v>
      </c>
      <c r="L305" s="34" t="s">
        <v>110</v>
      </c>
      <c r="M305" s="34" t="s">
        <v>111</v>
      </c>
      <c r="T305" s="38"/>
    </row>
    <row r="306" customFormat="false" ht="15" hidden="false" customHeight="false" outlineLevel="0" collapsed="false">
      <c r="A306" s="0" t="s">
        <v>671</v>
      </c>
      <c r="B306" s="0" t="s">
        <v>672</v>
      </c>
      <c r="C306" s="34" t="s">
        <v>46</v>
      </c>
      <c r="D306" s="34" t="s">
        <v>59</v>
      </c>
      <c r="E306" s="34" t="s">
        <v>61</v>
      </c>
      <c r="F306" s="33" t="n">
        <v>148391</v>
      </c>
      <c r="G306" s="34" t="s">
        <v>43</v>
      </c>
      <c r="H306" s="34" t="s">
        <v>48</v>
      </c>
      <c r="I306" s="33" t="n">
        <v>2800</v>
      </c>
      <c r="J306" s="34" t="s">
        <v>80</v>
      </c>
      <c r="K306" s="34" t="s">
        <v>56</v>
      </c>
      <c r="L306" s="34" t="s">
        <v>81</v>
      </c>
      <c r="M306" s="34" t="s">
        <v>82</v>
      </c>
      <c r="T306" s="38"/>
    </row>
    <row r="307" customFormat="false" ht="15" hidden="false" customHeight="false" outlineLevel="0" collapsed="false">
      <c r="A307" s="0" t="s">
        <v>673</v>
      </c>
      <c r="B307" s="0" t="s">
        <v>674</v>
      </c>
      <c r="C307" s="34" t="s">
        <v>46</v>
      </c>
      <c r="D307" s="34" t="s">
        <v>59</v>
      </c>
      <c r="E307" s="34" t="s">
        <v>61</v>
      </c>
      <c r="F307" s="33" t="n">
        <v>100168</v>
      </c>
      <c r="G307" s="34" t="s">
        <v>49</v>
      </c>
      <c r="H307" s="34" t="s">
        <v>54</v>
      </c>
      <c r="I307" s="33" t="n">
        <v>6750</v>
      </c>
      <c r="J307" s="34" t="s">
        <v>80</v>
      </c>
      <c r="K307" s="34" t="s">
        <v>50</v>
      </c>
      <c r="L307" s="34" t="s">
        <v>81</v>
      </c>
      <c r="M307" s="34" t="s">
        <v>82</v>
      </c>
      <c r="T307" s="38"/>
    </row>
    <row r="308" customFormat="false" ht="15" hidden="false" customHeight="false" outlineLevel="0" collapsed="false">
      <c r="A308" s="0" t="s">
        <v>675</v>
      </c>
      <c r="B308" s="0" t="s">
        <v>676</v>
      </c>
      <c r="C308" s="34" t="s">
        <v>46</v>
      </c>
      <c r="D308" s="34" t="s">
        <v>63</v>
      </c>
      <c r="E308" s="34" t="s">
        <v>61</v>
      </c>
      <c r="F308" s="33" t="n">
        <v>100563</v>
      </c>
      <c r="G308" s="34" t="s">
        <v>55</v>
      </c>
      <c r="H308" s="34" t="s">
        <v>54</v>
      </c>
      <c r="I308" s="33" t="n">
        <v>9000</v>
      </c>
      <c r="J308" s="34" t="s">
        <v>80</v>
      </c>
      <c r="K308" s="34" t="s">
        <v>50</v>
      </c>
      <c r="L308" s="34" t="s">
        <v>116</v>
      </c>
      <c r="M308" s="34" t="s">
        <v>117</v>
      </c>
      <c r="T308" s="38"/>
    </row>
    <row r="309" customFormat="false" ht="15" hidden="false" customHeight="false" outlineLevel="0" collapsed="false">
      <c r="A309" s="0" t="s">
        <v>677</v>
      </c>
      <c r="B309" s="0" t="s">
        <v>678</v>
      </c>
      <c r="C309" s="34" t="s">
        <v>46</v>
      </c>
      <c r="D309" s="34" t="s">
        <v>47</v>
      </c>
      <c r="E309" s="34" t="s">
        <v>61</v>
      </c>
      <c r="F309" s="33" t="n">
        <v>103873</v>
      </c>
      <c r="G309" s="34" t="s">
        <v>55</v>
      </c>
      <c r="H309" s="34" t="s">
        <v>54</v>
      </c>
      <c r="I309" s="33" t="n">
        <v>9000</v>
      </c>
      <c r="J309" s="34" t="s">
        <v>80</v>
      </c>
      <c r="K309" s="34" t="s">
        <v>50</v>
      </c>
      <c r="L309" s="34" t="s">
        <v>102</v>
      </c>
      <c r="M309" s="34" t="s">
        <v>103</v>
      </c>
      <c r="T309" s="38"/>
    </row>
    <row r="310" customFormat="false" ht="15" hidden="false" customHeight="false" outlineLevel="0" collapsed="false">
      <c r="A310" s="0" t="s">
        <v>679</v>
      </c>
      <c r="B310" s="0" t="s">
        <v>192</v>
      </c>
      <c r="C310" s="34" t="s">
        <v>46</v>
      </c>
      <c r="D310" s="34" t="s">
        <v>62</v>
      </c>
      <c r="E310" s="34" t="s">
        <v>57</v>
      </c>
      <c r="F310" s="33" t="n">
        <v>95118</v>
      </c>
      <c r="G310" s="34" t="s">
        <v>55</v>
      </c>
      <c r="H310" s="34" t="s">
        <v>54</v>
      </c>
      <c r="I310" s="33" t="n">
        <v>9000</v>
      </c>
      <c r="J310" s="34" t="s">
        <v>80</v>
      </c>
      <c r="K310" s="34" t="s">
        <v>50</v>
      </c>
      <c r="L310" s="34" t="s">
        <v>96</v>
      </c>
      <c r="M310" s="34" t="s">
        <v>97</v>
      </c>
      <c r="T310" s="38"/>
    </row>
    <row r="311" customFormat="false" ht="15" hidden="false" customHeight="false" outlineLevel="0" collapsed="false">
      <c r="A311" s="0" t="s">
        <v>680</v>
      </c>
      <c r="B311" s="0" t="s">
        <v>340</v>
      </c>
      <c r="C311" s="34" t="s">
        <v>46</v>
      </c>
      <c r="D311" s="34" t="s">
        <v>59</v>
      </c>
      <c r="E311" s="34" t="s">
        <v>51</v>
      </c>
      <c r="F311" s="33" t="n">
        <v>89352</v>
      </c>
      <c r="G311" s="34" t="s">
        <v>49</v>
      </c>
      <c r="H311" s="34" t="s">
        <v>54</v>
      </c>
      <c r="I311" s="33" t="n">
        <v>6750</v>
      </c>
      <c r="J311" s="34" t="s">
        <v>80</v>
      </c>
      <c r="K311" s="34" t="s">
        <v>50</v>
      </c>
      <c r="L311" s="34" t="s">
        <v>81</v>
      </c>
      <c r="M311" s="34" t="s">
        <v>82</v>
      </c>
      <c r="T311" s="38"/>
    </row>
    <row r="312" customFormat="false" ht="15" hidden="false" customHeight="false" outlineLevel="0" collapsed="false">
      <c r="A312" s="0" t="s">
        <v>681</v>
      </c>
      <c r="B312" s="0" t="s">
        <v>682</v>
      </c>
      <c r="C312" s="34" t="s">
        <v>46</v>
      </c>
      <c r="D312" s="34" t="s">
        <v>63</v>
      </c>
      <c r="E312" s="34" t="s">
        <v>57</v>
      </c>
      <c r="F312" s="33" t="n">
        <v>89823</v>
      </c>
      <c r="G312" s="34" t="s">
        <v>55</v>
      </c>
      <c r="H312" s="34" t="s">
        <v>54</v>
      </c>
      <c r="I312" s="33" t="n">
        <v>9000</v>
      </c>
      <c r="J312" s="34" t="s">
        <v>80</v>
      </c>
      <c r="K312" s="34" t="s">
        <v>50</v>
      </c>
      <c r="L312" s="34" t="s">
        <v>116</v>
      </c>
      <c r="M312" s="34" t="s">
        <v>117</v>
      </c>
      <c r="T312" s="38"/>
    </row>
    <row r="313" customFormat="false" ht="15" hidden="false" customHeight="false" outlineLevel="0" collapsed="false">
      <c r="A313" s="0" t="s">
        <v>683</v>
      </c>
      <c r="B313" s="0" t="s">
        <v>684</v>
      </c>
      <c r="C313" s="34" t="s">
        <v>46</v>
      </c>
      <c r="D313" s="34" t="s">
        <v>53</v>
      </c>
      <c r="E313" s="34" t="s">
        <v>57</v>
      </c>
      <c r="F313" s="33" t="n">
        <v>89974</v>
      </c>
      <c r="G313" s="34" t="s">
        <v>55</v>
      </c>
      <c r="H313" s="34" t="s">
        <v>54</v>
      </c>
      <c r="I313" s="33" t="n">
        <v>9000</v>
      </c>
      <c r="J313" s="34" t="s">
        <v>80</v>
      </c>
      <c r="K313" s="34" t="s">
        <v>50</v>
      </c>
      <c r="L313" s="34" t="s">
        <v>110</v>
      </c>
      <c r="M313" s="34" t="s">
        <v>111</v>
      </c>
      <c r="T313" s="38"/>
    </row>
    <row r="314" customFormat="false" ht="15" hidden="false" customHeight="false" outlineLevel="0" collapsed="false">
      <c r="A314" s="0" t="s">
        <v>685</v>
      </c>
      <c r="B314" s="0" t="s">
        <v>686</v>
      </c>
      <c r="C314" s="34" t="s">
        <v>46</v>
      </c>
      <c r="D314" s="34" t="s">
        <v>53</v>
      </c>
      <c r="E314" s="34" t="s">
        <v>45</v>
      </c>
      <c r="F314" s="33" t="n">
        <v>90099</v>
      </c>
      <c r="G314" s="34" t="s">
        <v>55</v>
      </c>
      <c r="H314" s="34" t="s">
        <v>54</v>
      </c>
      <c r="I314" s="33" t="n">
        <v>9000</v>
      </c>
      <c r="J314" s="34" t="s">
        <v>80</v>
      </c>
      <c r="K314" s="34" t="s">
        <v>50</v>
      </c>
      <c r="L314" s="34" t="s">
        <v>110</v>
      </c>
      <c r="M314" s="34" t="s">
        <v>111</v>
      </c>
      <c r="T314" s="38"/>
    </row>
    <row r="315" customFormat="false" ht="15" hidden="false" customHeight="false" outlineLevel="0" collapsed="false">
      <c r="A315" s="0" t="s">
        <v>687</v>
      </c>
      <c r="B315" s="0" t="s">
        <v>688</v>
      </c>
      <c r="C315" s="34" t="s">
        <v>46</v>
      </c>
      <c r="D315" s="34" t="s">
        <v>47</v>
      </c>
      <c r="E315" s="34" t="s">
        <v>45</v>
      </c>
      <c r="F315" s="33" t="n">
        <v>92565</v>
      </c>
      <c r="G315" s="34" t="s">
        <v>55</v>
      </c>
      <c r="H315" s="34" t="s">
        <v>54</v>
      </c>
      <c r="I315" s="33" t="n">
        <v>9000</v>
      </c>
      <c r="J315" s="34" t="s">
        <v>80</v>
      </c>
      <c r="K315" s="34" t="s">
        <v>50</v>
      </c>
      <c r="L315" s="34" t="s">
        <v>102</v>
      </c>
      <c r="M315" s="34" t="s">
        <v>103</v>
      </c>
      <c r="T315" s="38"/>
    </row>
    <row r="316" customFormat="false" ht="15" hidden="false" customHeight="false" outlineLevel="0" collapsed="false">
      <c r="A316" s="0" t="s">
        <v>689</v>
      </c>
      <c r="B316" s="0" t="s">
        <v>690</v>
      </c>
      <c r="C316" s="34" t="s">
        <v>46</v>
      </c>
      <c r="D316" s="34" t="s">
        <v>62</v>
      </c>
      <c r="E316" s="34" t="s">
        <v>51</v>
      </c>
      <c r="F316" s="33" t="n">
        <v>94869</v>
      </c>
      <c r="G316" s="34" t="s">
        <v>49</v>
      </c>
      <c r="H316" s="34" t="s">
        <v>54</v>
      </c>
      <c r="I316" s="33" t="n">
        <v>6750</v>
      </c>
      <c r="J316" s="34" t="s">
        <v>80</v>
      </c>
      <c r="K316" s="34" t="s">
        <v>50</v>
      </c>
      <c r="L316" s="34" t="s">
        <v>96</v>
      </c>
      <c r="M316" s="34" t="s">
        <v>97</v>
      </c>
      <c r="T316" s="38"/>
    </row>
    <row r="317" customFormat="false" ht="15" hidden="false" customHeight="false" outlineLevel="0" collapsed="false">
      <c r="A317" s="0" t="s">
        <v>691</v>
      </c>
      <c r="B317" s="0" t="s">
        <v>692</v>
      </c>
      <c r="C317" s="34" t="s">
        <v>46</v>
      </c>
      <c r="D317" s="34" t="s">
        <v>63</v>
      </c>
      <c r="E317" s="34" t="s">
        <v>45</v>
      </c>
      <c r="F317" s="33" t="n">
        <v>115427</v>
      </c>
      <c r="G317" s="34" t="s">
        <v>55</v>
      </c>
      <c r="H317" s="34" t="s">
        <v>54</v>
      </c>
      <c r="I317" s="33" t="n">
        <v>9000</v>
      </c>
      <c r="J317" s="34" t="s">
        <v>80</v>
      </c>
      <c r="K317" s="34" t="s">
        <v>50</v>
      </c>
      <c r="L317" s="34" t="s">
        <v>116</v>
      </c>
      <c r="M317" s="34" t="s">
        <v>117</v>
      </c>
      <c r="T317" s="38"/>
    </row>
    <row r="318" customFormat="false" ht="15" hidden="false" customHeight="false" outlineLevel="0" collapsed="false">
      <c r="A318" s="0" t="s">
        <v>693</v>
      </c>
      <c r="B318" s="0" t="s">
        <v>316</v>
      </c>
      <c r="C318" s="34" t="s">
        <v>46</v>
      </c>
      <c r="D318" s="34" t="s">
        <v>62</v>
      </c>
      <c r="E318" s="34" t="s">
        <v>51</v>
      </c>
      <c r="F318" s="33" t="n">
        <v>119005</v>
      </c>
      <c r="G318" s="34" t="s">
        <v>55</v>
      </c>
      <c r="H318" s="34" t="s">
        <v>54</v>
      </c>
      <c r="I318" s="33" t="n">
        <v>9000</v>
      </c>
      <c r="J318" s="34" t="s">
        <v>80</v>
      </c>
      <c r="K318" s="34" t="s">
        <v>50</v>
      </c>
      <c r="L318" s="34" t="s">
        <v>96</v>
      </c>
      <c r="M318" s="34" t="s">
        <v>97</v>
      </c>
      <c r="T318" s="38"/>
    </row>
    <row r="319" customFormat="false" ht="15" hidden="false" customHeight="false" outlineLevel="0" collapsed="false">
      <c r="A319" s="0" t="s">
        <v>694</v>
      </c>
      <c r="B319" s="0" t="s">
        <v>695</v>
      </c>
      <c r="C319" s="34" t="s">
        <v>46</v>
      </c>
      <c r="D319" s="34" t="s">
        <v>63</v>
      </c>
      <c r="E319" s="34" t="s">
        <v>45</v>
      </c>
      <c r="F319" s="33" t="n">
        <v>120691</v>
      </c>
      <c r="G319" s="34" t="s">
        <v>55</v>
      </c>
      <c r="H319" s="34" t="s">
        <v>54</v>
      </c>
      <c r="I319" s="33" t="n">
        <v>9000</v>
      </c>
      <c r="J319" s="34" t="s">
        <v>80</v>
      </c>
      <c r="K319" s="34" t="s">
        <v>50</v>
      </c>
      <c r="L319" s="34" t="s">
        <v>116</v>
      </c>
      <c r="M319" s="34" t="s">
        <v>117</v>
      </c>
      <c r="T319" s="38"/>
    </row>
    <row r="320" customFormat="false" ht="15" hidden="false" customHeight="false" outlineLevel="0" collapsed="false">
      <c r="A320" s="0" t="s">
        <v>696</v>
      </c>
      <c r="B320" s="0" t="s">
        <v>697</v>
      </c>
      <c r="C320" s="34" t="s">
        <v>46</v>
      </c>
      <c r="D320" s="34" t="s">
        <v>47</v>
      </c>
      <c r="E320" s="34" t="s">
        <v>51</v>
      </c>
      <c r="F320" s="33" t="n">
        <v>120700</v>
      </c>
      <c r="G320" s="34" t="s">
        <v>55</v>
      </c>
      <c r="H320" s="34" t="s">
        <v>54</v>
      </c>
      <c r="I320" s="33" t="n">
        <v>9000</v>
      </c>
      <c r="J320" s="34" t="s">
        <v>80</v>
      </c>
      <c r="K320" s="34" t="s">
        <v>50</v>
      </c>
      <c r="L320" s="34" t="s">
        <v>102</v>
      </c>
      <c r="M320" s="34" t="s">
        <v>103</v>
      </c>
      <c r="T320" s="38"/>
    </row>
    <row r="321" customFormat="false" ht="15" hidden="false" customHeight="false" outlineLevel="0" collapsed="false">
      <c r="A321" s="0" t="s">
        <v>698</v>
      </c>
      <c r="B321" s="0" t="s">
        <v>699</v>
      </c>
      <c r="C321" s="34" t="s">
        <v>46</v>
      </c>
      <c r="D321" s="34" t="s">
        <v>47</v>
      </c>
      <c r="E321" s="34" t="s">
        <v>61</v>
      </c>
      <c r="F321" s="33" t="n">
        <v>120785</v>
      </c>
      <c r="G321" s="34" t="s">
        <v>55</v>
      </c>
      <c r="H321" s="34" t="s">
        <v>54</v>
      </c>
      <c r="I321" s="33" t="n">
        <v>9000</v>
      </c>
      <c r="J321" s="34" t="s">
        <v>80</v>
      </c>
      <c r="K321" s="34" t="s">
        <v>50</v>
      </c>
      <c r="L321" s="34" t="s">
        <v>102</v>
      </c>
      <c r="M321" s="34" t="s">
        <v>103</v>
      </c>
      <c r="T321" s="38"/>
    </row>
    <row r="322" customFormat="false" ht="15" hidden="false" customHeight="false" outlineLevel="0" collapsed="false">
      <c r="A322" s="0" t="s">
        <v>700</v>
      </c>
      <c r="B322" s="0" t="s">
        <v>701</v>
      </c>
      <c r="C322" s="34" t="s">
        <v>46</v>
      </c>
      <c r="D322" s="34" t="s">
        <v>53</v>
      </c>
      <c r="E322" s="34" t="s">
        <v>51</v>
      </c>
      <c r="F322" s="33" t="n">
        <v>121187</v>
      </c>
      <c r="G322" s="34" t="s">
        <v>55</v>
      </c>
      <c r="H322" s="34" t="s">
        <v>54</v>
      </c>
      <c r="I322" s="33" t="n">
        <v>9000</v>
      </c>
      <c r="J322" s="34" t="s">
        <v>80</v>
      </c>
      <c r="K322" s="34" t="s">
        <v>50</v>
      </c>
      <c r="L322" s="34" t="s">
        <v>110</v>
      </c>
      <c r="M322" s="34" t="s">
        <v>111</v>
      </c>
      <c r="T322" s="38"/>
    </row>
    <row r="323" customFormat="false" ht="15" hidden="false" customHeight="false" outlineLevel="0" collapsed="false">
      <c r="A323" s="0" t="s">
        <v>702</v>
      </c>
      <c r="B323" s="0" t="s">
        <v>703</v>
      </c>
      <c r="C323" s="34" t="s">
        <v>46</v>
      </c>
      <c r="D323" s="34" t="s">
        <v>62</v>
      </c>
      <c r="E323" s="34" t="s">
        <v>61</v>
      </c>
      <c r="F323" s="33" t="n">
        <v>122457</v>
      </c>
      <c r="G323" s="34" t="s">
        <v>55</v>
      </c>
      <c r="H323" s="34" t="s">
        <v>54</v>
      </c>
      <c r="I323" s="33" t="n">
        <v>9000</v>
      </c>
      <c r="J323" s="34" t="s">
        <v>80</v>
      </c>
      <c r="K323" s="34" t="s">
        <v>50</v>
      </c>
      <c r="L323" s="34" t="s">
        <v>96</v>
      </c>
      <c r="M323" s="34" t="s">
        <v>97</v>
      </c>
      <c r="T323" s="38"/>
    </row>
    <row r="324" customFormat="false" ht="15" hidden="false" customHeight="false" outlineLevel="0" collapsed="false">
      <c r="A324" s="0" t="s">
        <v>704</v>
      </c>
      <c r="B324" s="0" t="s">
        <v>705</v>
      </c>
      <c r="C324" s="34" t="s">
        <v>46</v>
      </c>
      <c r="D324" s="34" t="s">
        <v>47</v>
      </c>
      <c r="E324" s="34" t="s">
        <v>61</v>
      </c>
      <c r="F324" s="33" t="n">
        <v>114059</v>
      </c>
      <c r="G324" s="34" t="s">
        <v>49</v>
      </c>
      <c r="H324" s="34" t="s">
        <v>54</v>
      </c>
      <c r="I324" s="33" t="n">
        <v>6750</v>
      </c>
      <c r="J324" s="34" t="s">
        <v>80</v>
      </c>
      <c r="K324" s="34" t="s">
        <v>50</v>
      </c>
      <c r="L324" s="34" t="s">
        <v>102</v>
      </c>
      <c r="M324" s="34" t="s">
        <v>103</v>
      </c>
      <c r="T324" s="38"/>
    </row>
    <row r="325" customFormat="false" ht="15" hidden="false" customHeight="false" outlineLevel="0" collapsed="false">
      <c r="A325" s="0" t="s">
        <v>706</v>
      </c>
      <c r="B325" s="0" t="s">
        <v>707</v>
      </c>
      <c r="C325" s="34" t="s">
        <v>46</v>
      </c>
      <c r="D325" s="34" t="s">
        <v>59</v>
      </c>
      <c r="E325" s="34" t="s">
        <v>57</v>
      </c>
      <c r="F325" s="33" t="n">
        <v>107147</v>
      </c>
      <c r="G325" s="34" t="s">
        <v>55</v>
      </c>
      <c r="H325" s="34" t="s">
        <v>54</v>
      </c>
      <c r="I325" s="33" t="n">
        <v>9000</v>
      </c>
      <c r="J325" s="34" t="s">
        <v>80</v>
      </c>
      <c r="K325" s="34" t="s">
        <v>50</v>
      </c>
      <c r="L325" s="34" t="s">
        <v>81</v>
      </c>
      <c r="M325" s="34" t="s">
        <v>82</v>
      </c>
      <c r="T325" s="38"/>
    </row>
    <row r="326" customFormat="false" ht="15" hidden="false" customHeight="false" outlineLevel="0" collapsed="false">
      <c r="A326" s="0" t="s">
        <v>708</v>
      </c>
      <c r="B326" s="0" t="s">
        <v>709</v>
      </c>
      <c r="C326" s="34" t="s">
        <v>46</v>
      </c>
      <c r="D326" s="34" t="s">
        <v>47</v>
      </c>
      <c r="E326" s="34" t="s">
        <v>57</v>
      </c>
      <c r="F326" s="33" t="n">
        <v>107580</v>
      </c>
      <c r="G326" s="34" t="s">
        <v>55</v>
      </c>
      <c r="H326" s="34" t="s">
        <v>54</v>
      </c>
      <c r="I326" s="33" t="n">
        <v>9000</v>
      </c>
      <c r="J326" s="34" t="s">
        <v>80</v>
      </c>
      <c r="K326" s="34" t="s">
        <v>50</v>
      </c>
      <c r="L326" s="34" t="s">
        <v>102</v>
      </c>
      <c r="M326" s="34" t="s">
        <v>103</v>
      </c>
      <c r="T326" s="38"/>
    </row>
    <row r="327" customFormat="false" ht="15" hidden="false" customHeight="false" outlineLevel="0" collapsed="false">
      <c r="A327" s="0" t="s">
        <v>710</v>
      </c>
      <c r="B327" s="0" t="s">
        <v>711</v>
      </c>
      <c r="C327" s="34" t="s">
        <v>46</v>
      </c>
      <c r="D327" s="34" t="s">
        <v>59</v>
      </c>
      <c r="E327" s="34" t="s">
        <v>57</v>
      </c>
      <c r="F327" s="33" t="n">
        <v>109050</v>
      </c>
      <c r="G327" s="34" t="s">
        <v>55</v>
      </c>
      <c r="H327" s="34" t="s">
        <v>54</v>
      </c>
      <c r="I327" s="33" t="n">
        <v>9000</v>
      </c>
      <c r="J327" s="34" t="s">
        <v>80</v>
      </c>
      <c r="K327" s="34" t="s">
        <v>50</v>
      </c>
      <c r="L327" s="34" t="s">
        <v>81</v>
      </c>
      <c r="M327" s="34" t="s">
        <v>82</v>
      </c>
      <c r="T327" s="38"/>
    </row>
    <row r="328" customFormat="false" ht="15" hidden="false" customHeight="false" outlineLevel="0" collapsed="false">
      <c r="A328" s="0" t="s">
        <v>712</v>
      </c>
      <c r="B328" s="0" t="s">
        <v>713</v>
      </c>
      <c r="C328" s="34" t="s">
        <v>46</v>
      </c>
      <c r="D328" s="34" t="s">
        <v>47</v>
      </c>
      <c r="E328" s="34" t="s">
        <v>57</v>
      </c>
      <c r="F328" s="33" t="n">
        <v>110262</v>
      </c>
      <c r="G328" s="34" t="s">
        <v>49</v>
      </c>
      <c r="H328" s="34" t="s">
        <v>54</v>
      </c>
      <c r="I328" s="33" t="n">
        <v>6750</v>
      </c>
      <c r="J328" s="34" t="s">
        <v>80</v>
      </c>
      <c r="K328" s="34" t="s">
        <v>50</v>
      </c>
      <c r="L328" s="34" t="s">
        <v>102</v>
      </c>
      <c r="M328" s="34" t="s">
        <v>103</v>
      </c>
      <c r="T328" s="38"/>
    </row>
    <row r="329" customFormat="false" ht="15" hidden="false" customHeight="false" outlineLevel="0" collapsed="false">
      <c r="A329" s="0" t="s">
        <v>714</v>
      </c>
      <c r="B329" s="0" t="s">
        <v>715</v>
      </c>
      <c r="C329" s="34" t="s">
        <v>46</v>
      </c>
      <c r="D329" s="34" t="s">
        <v>59</v>
      </c>
      <c r="E329" s="34" t="s">
        <v>45</v>
      </c>
      <c r="F329" s="33" t="n">
        <v>60451</v>
      </c>
      <c r="G329" s="34" t="s">
        <v>55</v>
      </c>
      <c r="H329" s="34" t="s">
        <v>54</v>
      </c>
      <c r="I329" s="33" t="n">
        <v>9000</v>
      </c>
      <c r="J329" s="34" t="s">
        <v>80</v>
      </c>
      <c r="K329" s="34" t="s">
        <v>44</v>
      </c>
      <c r="L329" s="34" t="s">
        <v>81</v>
      </c>
      <c r="M329" s="34" t="s">
        <v>82</v>
      </c>
      <c r="T329" s="38"/>
    </row>
    <row r="330" customFormat="false" ht="15" hidden="false" customHeight="false" outlineLevel="0" collapsed="false">
      <c r="A330" s="0" t="s">
        <v>716</v>
      </c>
      <c r="B330" s="0" t="s">
        <v>717</v>
      </c>
      <c r="C330" s="34" t="s">
        <v>46</v>
      </c>
      <c r="D330" s="34" t="s">
        <v>47</v>
      </c>
      <c r="E330" s="34" t="s">
        <v>57</v>
      </c>
      <c r="F330" s="33" t="n">
        <v>60594</v>
      </c>
      <c r="G330" s="34" t="s">
        <v>49</v>
      </c>
      <c r="H330" s="34" t="s">
        <v>54</v>
      </c>
      <c r="I330" s="33" t="n">
        <v>6750</v>
      </c>
      <c r="J330" s="34" t="s">
        <v>80</v>
      </c>
      <c r="K330" s="34" t="s">
        <v>44</v>
      </c>
      <c r="L330" s="34" t="s">
        <v>102</v>
      </c>
      <c r="M330" s="34" t="s">
        <v>103</v>
      </c>
      <c r="T330" s="38"/>
    </row>
    <row r="331" customFormat="false" ht="15" hidden="false" customHeight="false" outlineLevel="0" collapsed="false">
      <c r="A331" s="0" t="s">
        <v>718</v>
      </c>
      <c r="B331" s="0" t="s">
        <v>719</v>
      </c>
      <c r="C331" s="34" t="s">
        <v>46</v>
      </c>
      <c r="D331" s="34" t="s">
        <v>53</v>
      </c>
      <c r="E331" s="34" t="s">
        <v>45</v>
      </c>
      <c r="F331" s="33" t="n">
        <v>62199</v>
      </c>
      <c r="G331" s="34" t="s">
        <v>55</v>
      </c>
      <c r="H331" s="34" t="s">
        <v>54</v>
      </c>
      <c r="I331" s="33" t="n">
        <v>9000</v>
      </c>
      <c r="J331" s="34" t="s">
        <v>80</v>
      </c>
      <c r="K331" s="34" t="s">
        <v>44</v>
      </c>
      <c r="L331" s="34" t="s">
        <v>110</v>
      </c>
      <c r="M331" s="34" t="s">
        <v>111</v>
      </c>
      <c r="T331" s="38"/>
    </row>
    <row r="332" customFormat="false" ht="15" hidden="false" customHeight="false" outlineLevel="0" collapsed="false">
      <c r="A332" s="0" t="s">
        <v>720</v>
      </c>
      <c r="B332" s="0" t="s">
        <v>721</v>
      </c>
      <c r="C332" s="34" t="s">
        <v>46</v>
      </c>
      <c r="D332" s="34" t="s">
        <v>62</v>
      </c>
      <c r="E332" s="34" t="s">
        <v>51</v>
      </c>
      <c r="F332" s="33" t="n">
        <v>62405</v>
      </c>
      <c r="G332" s="34" t="s">
        <v>49</v>
      </c>
      <c r="H332" s="34" t="s">
        <v>54</v>
      </c>
      <c r="I332" s="33" t="n">
        <v>6750</v>
      </c>
      <c r="J332" s="34" t="s">
        <v>80</v>
      </c>
      <c r="K332" s="34" t="s">
        <v>44</v>
      </c>
      <c r="L332" s="34" t="s">
        <v>96</v>
      </c>
      <c r="M332" s="34" t="s">
        <v>97</v>
      </c>
      <c r="T332" s="38"/>
    </row>
    <row r="333" customFormat="false" ht="15" hidden="false" customHeight="false" outlineLevel="0" collapsed="false">
      <c r="A333" s="0" t="s">
        <v>722</v>
      </c>
      <c r="B333" s="0" t="s">
        <v>723</v>
      </c>
      <c r="C333" s="34" t="s">
        <v>46</v>
      </c>
      <c r="D333" s="34" t="s">
        <v>59</v>
      </c>
      <c r="E333" s="34" t="s">
        <v>51</v>
      </c>
      <c r="F333" s="33" t="n">
        <v>64003</v>
      </c>
      <c r="G333" s="34" t="s">
        <v>55</v>
      </c>
      <c r="H333" s="34" t="s">
        <v>54</v>
      </c>
      <c r="I333" s="33" t="n">
        <v>9000</v>
      </c>
      <c r="J333" s="34" t="s">
        <v>80</v>
      </c>
      <c r="K333" s="34" t="s">
        <v>44</v>
      </c>
      <c r="L333" s="34" t="s">
        <v>81</v>
      </c>
      <c r="M333" s="34" t="s">
        <v>82</v>
      </c>
      <c r="T333" s="38"/>
    </row>
    <row r="334" customFormat="false" ht="15" hidden="false" customHeight="false" outlineLevel="0" collapsed="false">
      <c r="A334" s="0" t="s">
        <v>724</v>
      </c>
      <c r="B334" s="0" t="s">
        <v>725</v>
      </c>
      <c r="C334" s="34" t="s">
        <v>46</v>
      </c>
      <c r="D334" s="34" t="s">
        <v>62</v>
      </c>
      <c r="E334" s="34" t="s">
        <v>61</v>
      </c>
      <c r="F334" s="33" t="n">
        <v>65646</v>
      </c>
      <c r="G334" s="34" t="s">
        <v>55</v>
      </c>
      <c r="H334" s="34" t="s">
        <v>54</v>
      </c>
      <c r="I334" s="33" t="n">
        <v>9000</v>
      </c>
      <c r="J334" s="34" t="s">
        <v>80</v>
      </c>
      <c r="K334" s="34" t="s">
        <v>44</v>
      </c>
      <c r="L334" s="34" t="s">
        <v>96</v>
      </c>
      <c r="M334" s="34" t="s">
        <v>97</v>
      </c>
      <c r="T334" s="38"/>
    </row>
    <row r="335" customFormat="false" ht="15" hidden="false" customHeight="false" outlineLevel="0" collapsed="false">
      <c r="A335" s="0" t="s">
        <v>726</v>
      </c>
      <c r="B335" s="0" t="s">
        <v>727</v>
      </c>
      <c r="C335" s="34" t="s">
        <v>46</v>
      </c>
      <c r="D335" s="34" t="s">
        <v>53</v>
      </c>
      <c r="E335" s="34" t="s">
        <v>51</v>
      </c>
      <c r="F335" s="33" t="n">
        <v>65949</v>
      </c>
      <c r="G335" s="34" t="s">
        <v>49</v>
      </c>
      <c r="H335" s="34" t="s">
        <v>54</v>
      </c>
      <c r="I335" s="33" t="n">
        <v>6750</v>
      </c>
      <c r="J335" s="34" t="s">
        <v>80</v>
      </c>
      <c r="K335" s="34" t="s">
        <v>44</v>
      </c>
      <c r="L335" s="34" t="s">
        <v>110</v>
      </c>
      <c r="M335" s="34" t="s">
        <v>111</v>
      </c>
      <c r="T335" s="38"/>
    </row>
    <row r="336" customFormat="false" ht="15" hidden="false" customHeight="false" outlineLevel="0" collapsed="false">
      <c r="A336" s="0" t="s">
        <v>728</v>
      </c>
      <c r="B336" s="0" t="s">
        <v>729</v>
      </c>
      <c r="C336" s="34" t="s">
        <v>46</v>
      </c>
      <c r="D336" s="34" t="s">
        <v>63</v>
      </c>
      <c r="E336" s="34" t="s">
        <v>61</v>
      </c>
      <c r="F336" s="33" t="n">
        <v>50006</v>
      </c>
      <c r="G336" s="34" t="s">
        <v>49</v>
      </c>
      <c r="H336" s="34" t="s">
        <v>54</v>
      </c>
      <c r="I336" s="33" t="n">
        <v>6750</v>
      </c>
      <c r="J336" s="34" t="s">
        <v>80</v>
      </c>
      <c r="K336" s="34" t="s">
        <v>44</v>
      </c>
      <c r="L336" s="34" t="s">
        <v>116</v>
      </c>
      <c r="M336" s="34" t="s">
        <v>117</v>
      </c>
      <c r="T336" s="38"/>
    </row>
    <row r="337" customFormat="false" ht="15" hidden="false" customHeight="false" outlineLevel="0" collapsed="false">
      <c r="A337" s="0" t="s">
        <v>730</v>
      </c>
      <c r="B337" s="0" t="s">
        <v>705</v>
      </c>
      <c r="C337" s="34" t="s">
        <v>46</v>
      </c>
      <c r="D337" s="34" t="s">
        <v>47</v>
      </c>
      <c r="E337" s="34" t="s">
        <v>45</v>
      </c>
      <c r="F337" s="33" t="n">
        <v>53697</v>
      </c>
      <c r="G337" s="34" t="s">
        <v>49</v>
      </c>
      <c r="H337" s="34" t="s">
        <v>54</v>
      </c>
      <c r="I337" s="33" t="n">
        <v>6750</v>
      </c>
      <c r="J337" s="34" t="s">
        <v>80</v>
      </c>
      <c r="K337" s="34" t="s">
        <v>44</v>
      </c>
      <c r="L337" s="34" t="s">
        <v>102</v>
      </c>
      <c r="M337" s="34" t="s">
        <v>103</v>
      </c>
      <c r="T337" s="38"/>
    </row>
    <row r="338" customFormat="false" ht="15" hidden="false" customHeight="false" outlineLevel="0" collapsed="false">
      <c r="A338" s="0" t="s">
        <v>731</v>
      </c>
      <c r="B338" s="0" t="s">
        <v>732</v>
      </c>
      <c r="C338" s="34" t="s">
        <v>46</v>
      </c>
      <c r="D338" s="34" t="s">
        <v>47</v>
      </c>
      <c r="E338" s="34" t="s">
        <v>57</v>
      </c>
      <c r="F338" s="33" t="n">
        <v>56880</v>
      </c>
      <c r="G338" s="34" t="s">
        <v>55</v>
      </c>
      <c r="H338" s="34" t="s">
        <v>54</v>
      </c>
      <c r="I338" s="33" t="n">
        <v>9000</v>
      </c>
      <c r="J338" s="34" t="s">
        <v>80</v>
      </c>
      <c r="K338" s="34" t="s">
        <v>44</v>
      </c>
      <c r="L338" s="34" t="s">
        <v>102</v>
      </c>
      <c r="M338" s="34" t="s">
        <v>103</v>
      </c>
      <c r="T338" s="38"/>
    </row>
    <row r="339" customFormat="false" ht="15" hidden="false" customHeight="false" outlineLevel="0" collapsed="false">
      <c r="A339" s="0" t="s">
        <v>733</v>
      </c>
      <c r="B339" s="0" t="s">
        <v>236</v>
      </c>
      <c r="C339" s="34" t="s">
        <v>46</v>
      </c>
      <c r="D339" s="34" t="s">
        <v>63</v>
      </c>
      <c r="E339" s="34" t="s">
        <v>57</v>
      </c>
      <c r="F339" s="33" t="n">
        <v>80155</v>
      </c>
      <c r="G339" s="34" t="s">
        <v>49</v>
      </c>
      <c r="H339" s="34" t="s">
        <v>54</v>
      </c>
      <c r="I339" s="33" t="n">
        <v>6750</v>
      </c>
      <c r="J339" s="34" t="s">
        <v>80</v>
      </c>
      <c r="K339" s="34" t="s">
        <v>44</v>
      </c>
      <c r="L339" s="34" t="s">
        <v>116</v>
      </c>
      <c r="M339" s="34" t="s">
        <v>117</v>
      </c>
      <c r="T339" s="38"/>
    </row>
    <row r="340" customFormat="false" ht="15" hidden="false" customHeight="false" outlineLevel="0" collapsed="false">
      <c r="A340" s="0" t="s">
        <v>734</v>
      </c>
      <c r="B340" s="0" t="s">
        <v>735</v>
      </c>
      <c r="C340" s="34" t="s">
        <v>46</v>
      </c>
      <c r="D340" s="34" t="s">
        <v>59</v>
      </c>
      <c r="E340" s="34" t="s">
        <v>61</v>
      </c>
      <c r="F340" s="33" t="n">
        <v>81702</v>
      </c>
      <c r="G340" s="34" t="s">
        <v>55</v>
      </c>
      <c r="H340" s="34" t="s">
        <v>54</v>
      </c>
      <c r="I340" s="33" t="n">
        <v>9000</v>
      </c>
      <c r="J340" s="34" t="s">
        <v>80</v>
      </c>
      <c r="K340" s="34" t="s">
        <v>44</v>
      </c>
      <c r="L340" s="34" t="s">
        <v>81</v>
      </c>
      <c r="M340" s="34" t="s">
        <v>82</v>
      </c>
      <c r="T340" s="38"/>
    </row>
    <row r="341" customFormat="false" ht="15" hidden="false" customHeight="false" outlineLevel="0" collapsed="false">
      <c r="A341" s="0" t="s">
        <v>736</v>
      </c>
      <c r="B341" s="0" t="s">
        <v>737</v>
      </c>
      <c r="C341" s="34" t="s">
        <v>46</v>
      </c>
      <c r="D341" s="34" t="s">
        <v>47</v>
      </c>
      <c r="E341" s="34" t="s">
        <v>57</v>
      </c>
      <c r="F341" s="33" t="n">
        <v>81759</v>
      </c>
      <c r="G341" s="34" t="s">
        <v>55</v>
      </c>
      <c r="H341" s="34" t="s">
        <v>54</v>
      </c>
      <c r="I341" s="33" t="n">
        <v>9000</v>
      </c>
      <c r="J341" s="34" t="s">
        <v>80</v>
      </c>
      <c r="K341" s="34" t="s">
        <v>44</v>
      </c>
      <c r="L341" s="34" t="s">
        <v>102</v>
      </c>
      <c r="M341" s="34" t="s">
        <v>103</v>
      </c>
      <c r="T341" s="38"/>
    </row>
    <row r="342" customFormat="false" ht="15" hidden="false" customHeight="false" outlineLevel="0" collapsed="false">
      <c r="A342" s="0" t="s">
        <v>738</v>
      </c>
      <c r="B342" s="0" t="s">
        <v>739</v>
      </c>
      <c r="C342" s="34" t="s">
        <v>46</v>
      </c>
      <c r="D342" s="34" t="s">
        <v>62</v>
      </c>
      <c r="E342" s="34" t="s">
        <v>51</v>
      </c>
      <c r="F342" s="33" t="n">
        <v>82301</v>
      </c>
      <c r="G342" s="34" t="s">
        <v>49</v>
      </c>
      <c r="H342" s="34" t="s">
        <v>54</v>
      </c>
      <c r="I342" s="33" t="n">
        <v>6750</v>
      </c>
      <c r="J342" s="34" t="s">
        <v>80</v>
      </c>
      <c r="K342" s="34" t="s">
        <v>44</v>
      </c>
      <c r="L342" s="34" t="s">
        <v>96</v>
      </c>
      <c r="M342" s="34" t="s">
        <v>97</v>
      </c>
      <c r="T342" s="38"/>
    </row>
    <row r="343" customFormat="false" ht="15" hidden="false" customHeight="false" outlineLevel="0" collapsed="false">
      <c r="A343" s="0" t="s">
        <v>740</v>
      </c>
      <c r="B343" s="0" t="s">
        <v>410</v>
      </c>
      <c r="C343" s="34" t="s">
        <v>46</v>
      </c>
      <c r="D343" s="34" t="s">
        <v>53</v>
      </c>
      <c r="E343" s="34" t="s">
        <v>57</v>
      </c>
      <c r="F343" s="33" t="n">
        <v>85685</v>
      </c>
      <c r="G343" s="34" t="s">
        <v>55</v>
      </c>
      <c r="H343" s="34" t="s">
        <v>54</v>
      </c>
      <c r="I343" s="33" t="n">
        <v>9000</v>
      </c>
      <c r="J343" s="34" t="s">
        <v>80</v>
      </c>
      <c r="K343" s="34" t="s">
        <v>50</v>
      </c>
      <c r="L343" s="34" t="s">
        <v>110</v>
      </c>
      <c r="M343" s="34" t="s">
        <v>111</v>
      </c>
      <c r="T343" s="38"/>
    </row>
    <row r="344" customFormat="false" ht="15" hidden="false" customHeight="false" outlineLevel="0" collapsed="false">
      <c r="A344" s="0" t="s">
        <v>741</v>
      </c>
      <c r="B344" s="0" t="s">
        <v>742</v>
      </c>
      <c r="C344" s="34" t="s">
        <v>46</v>
      </c>
      <c r="D344" s="34" t="s">
        <v>47</v>
      </c>
      <c r="E344" s="34" t="s">
        <v>57</v>
      </c>
      <c r="F344" s="33" t="n">
        <v>79352</v>
      </c>
      <c r="G344" s="34" t="s">
        <v>49</v>
      </c>
      <c r="H344" s="34" t="s">
        <v>54</v>
      </c>
      <c r="I344" s="33" t="n">
        <v>6750</v>
      </c>
      <c r="J344" s="34" t="s">
        <v>80</v>
      </c>
      <c r="K344" s="34" t="s">
        <v>44</v>
      </c>
      <c r="L344" s="34" t="s">
        <v>102</v>
      </c>
      <c r="M344" s="34" t="s">
        <v>103</v>
      </c>
      <c r="T344" s="38"/>
    </row>
    <row r="345" customFormat="false" ht="15" hidden="false" customHeight="false" outlineLevel="0" collapsed="false">
      <c r="A345" s="0" t="s">
        <v>743</v>
      </c>
      <c r="B345" s="0" t="s">
        <v>334</v>
      </c>
      <c r="C345" s="34" t="s">
        <v>46</v>
      </c>
      <c r="D345" s="34" t="s">
        <v>62</v>
      </c>
      <c r="E345" s="34" t="s">
        <v>51</v>
      </c>
      <c r="F345" s="33" t="n">
        <v>70734</v>
      </c>
      <c r="G345" s="34" t="s">
        <v>55</v>
      </c>
      <c r="H345" s="34" t="s">
        <v>54</v>
      </c>
      <c r="I345" s="33" t="n">
        <v>9000</v>
      </c>
      <c r="J345" s="34" t="s">
        <v>80</v>
      </c>
      <c r="K345" s="34" t="s">
        <v>44</v>
      </c>
      <c r="L345" s="34" t="s">
        <v>96</v>
      </c>
      <c r="M345" s="34" t="s">
        <v>97</v>
      </c>
      <c r="T345" s="38"/>
    </row>
    <row r="346" customFormat="false" ht="15" hidden="false" customHeight="false" outlineLevel="0" collapsed="false">
      <c r="A346" s="0" t="s">
        <v>744</v>
      </c>
      <c r="B346" s="0" t="s">
        <v>745</v>
      </c>
      <c r="C346" s="34" t="s">
        <v>46</v>
      </c>
      <c r="D346" s="34" t="s">
        <v>59</v>
      </c>
      <c r="E346" s="34" t="s">
        <v>61</v>
      </c>
      <c r="F346" s="33" t="n">
        <v>73728</v>
      </c>
      <c r="G346" s="34" t="s">
        <v>55</v>
      </c>
      <c r="H346" s="34" t="s">
        <v>54</v>
      </c>
      <c r="I346" s="33" t="n">
        <v>9000</v>
      </c>
      <c r="J346" s="34" t="s">
        <v>80</v>
      </c>
      <c r="K346" s="34" t="s">
        <v>44</v>
      </c>
      <c r="L346" s="34" t="s">
        <v>81</v>
      </c>
      <c r="M346" s="34" t="s">
        <v>82</v>
      </c>
      <c r="T346" s="38"/>
    </row>
    <row r="347" customFormat="false" ht="15" hidden="false" customHeight="false" outlineLevel="0" collapsed="false">
      <c r="A347" s="0" t="s">
        <v>746</v>
      </c>
      <c r="B347" s="0" t="s">
        <v>747</v>
      </c>
      <c r="C347" s="34" t="s">
        <v>46</v>
      </c>
      <c r="D347" s="34" t="s">
        <v>62</v>
      </c>
      <c r="E347" s="34" t="s">
        <v>51</v>
      </c>
      <c r="F347" s="33" t="n">
        <v>76045</v>
      </c>
      <c r="G347" s="34" t="s">
        <v>55</v>
      </c>
      <c r="H347" s="34" t="s">
        <v>54</v>
      </c>
      <c r="I347" s="33" t="n">
        <v>9000</v>
      </c>
      <c r="J347" s="34" t="s">
        <v>80</v>
      </c>
      <c r="K347" s="34" t="s">
        <v>44</v>
      </c>
      <c r="L347" s="34" t="s">
        <v>96</v>
      </c>
      <c r="M347" s="34" t="s">
        <v>97</v>
      </c>
      <c r="T347" s="38"/>
    </row>
    <row r="348" customFormat="false" ht="15" hidden="false" customHeight="false" outlineLevel="0" collapsed="false">
      <c r="A348" s="0" t="s">
        <v>748</v>
      </c>
      <c r="B348" s="0" t="s">
        <v>749</v>
      </c>
      <c r="C348" s="34" t="s">
        <v>46</v>
      </c>
      <c r="D348" s="34" t="s">
        <v>59</v>
      </c>
      <c r="E348" s="34" t="s">
        <v>51</v>
      </c>
      <c r="F348" s="33" t="n">
        <v>77703</v>
      </c>
      <c r="G348" s="34" t="s">
        <v>49</v>
      </c>
      <c r="H348" s="34" t="s">
        <v>54</v>
      </c>
      <c r="I348" s="33" t="n">
        <v>6750</v>
      </c>
      <c r="J348" s="34" t="s">
        <v>80</v>
      </c>
      <c r="K348" s="34" t="s">
        <v>44</v>
      </c>
      <c r="L348" s="34" t="s">
        <v>81</v>
      </c>
      <c r="M348" s="34" t="s">
        <v>82</v>
      </c>
      <c r="T348" s="38"/>
    </row>
    <row r="349" customFormat="false" ht="15" hidden="false" customHeight="false" outlineLevel="0" collapsed="false">
      <c r="A349" s="0" t="s">
        <v>750</v>
      </c>
      <c r="B349" s="0" t="s">
        <v>751</v>
      </c>
      <c r="C349" s="34" t="s">
        <v>46</v>
      </c>
      <c r="D349" s="34" t="s">
        <v>62</v>
      </c>
      <c r="E349" s="34" t="s">
        <v>61</v>
      </c>
      <c r="F349" s="33" t="n">
        <v>178690</v>
      </c>
      <c r="G349" s="34" t="s">
        <v>55</v>
      </c>
      <c r="H349" s="34" t="s">
        <v>54</v>
      </c>
      <c r="I349" s="33" t="n">
        <v>9000</v>
      </c>
      <c r="J349" s="34" t="s">
        <v>80</v>
      </c>
      <c r="K349" s="34" t="s">
        <v>56</v>
      </c>
      <c r="L349" s="34" t="s">
        <v>96</v>
      </c>
      <c r="M349" s="34" t="s">
        <v>97</v>
      </c>
      <c r="T349" s="38"/>
    </row>
    <row r="350" customFormat="false" ht="15" hidden="false" customHeight="false" outlineLevel="0" collapsed="false">
      <c r="A350" s="0" t="s">
        <v>752</v>
      </c>
      <c r="B350" s="0" t="s">
        <v>753</v>
      </c>
      <c r="C350" s="34" t="s">
        <v>46</v>
      </c>
      <c r="D350" s="34" t="s">
        <v>53</v>
      </c>
      <c r="E350" s="34" t="s">
        <v>45</v>
      </c>
      <c r="F350" s="33" t="n">
        <v>178932</v>
      </c>
      <c r="G350" s="34" t="s">
        <v>55</v>
      </c>
      <c r="H350" s="34" t="s">
        <v>54</v>
      </c>
      <c r="I350" s="33" t="n">
        <v>9000</v>
      </c>
      <c r="J350" s="34" t="s">
        <v>80</v>
      </c>
      <c r="K350" s="34" t="s">
        <v>56</v>
      </c>
      <c r="L350" s="34" t="s">
        <v>110</v>
      </c>
      <c r="M350" s="34" t="s">
        <v>111</v>
      </c>
      <c r="T350" s="38"/>
    </row>
    <row r="351" customFormat="false" ht="15" hidden="false" customHeight="false" outlineLevel="0" collapsed="false">
      <c r="A351" s="0" t="s">
        <v>754</v>
      </c>
      <c r="B351" s="0" t="s">
        <v>666</v>
      </c>
      <c r="C351" s="34" t="s">
        <v>46</v>
      </c>
      <c r="D351" s="34" t="s">
        <v>59</v>
      </c>
      <c r="E351" s="34" t="s">
        <v>51</v>
      </c>
      <c r="F351" s="33" t="n">
        <v>179298</v>
      </c>
      <c r="G351" s="34" t="s">
        <v>55</v>
      </c>
      <c r="H351" s="34" t="s">
        <v>54</v>
      </c>
      <c r="I351" s="33" t="n">
        <v>9000</v>
      </c>
      <c r="J351" s="34" t="s">
        <v>80</v>
      </c>
      <c r="K351" s="34" t="s">
        <v>60</v>
      </c>
      <c r="L351" s="34" t="s">
        <v>81</v>
      </c>
      <c r="M351" s="34" t="s">
        <v>82</v>
      </c>
      <c r="T351" s="38"/>
    </row>
    <row r="352" customFormat="false" ht="15" hidden="false" customHeight="false" outlineLevel="0" collapsed="false">
      <c r="A352" s="0" t="s">
        <v>755</v>
      </c>
      <c r="B352" s="0" t="s">
        <v>756</v>
      </c>
      <c r="C352" s="34" t="s">
        <v>46</v>
      </c>
      <c r="D352" s="34" t="s">
        <v>62</v>
      </c>
      <c r="E352" s="34" t="s">
        <v>45</v>
      </c>
      <c r="F352" s="33" t="n">
        <v>172830</v>
      </c>
      <c r="G352" s="34" t="s">
        <v>49</v>
      </c>
      <c r="H352" s="34" t="s">
        <v>54</v>
      </c>
      <c r="I352" s="33" t="n">
        <v>6750</v>
      </c>
      <c r="J352" s="34" t="s">
        <v>80</v>
      </c>
      <c r="K352" s="34" t="s">
        <v>56</v>
      </c>
      <c r="L352" s="34" t="s">
        <v>96</v>
      </c>
      <c r="M352" s="34" t="s">
        <v>97</v>
      </c>
      <c r="T352" s="38"/>
    </row>
    <row r="353" customFormat="false" ht="15" hidden="false" customHeight="false" outlineLevel="0" collapsed="false">
      <c r="A353" s="0" t="s">
        <v>757</v>
      </c>
      <c r="B353" s="0" t="s">
        <v>758</v>
      </c>
      <c r="C353" s="34" t="s">
        <v>46</v>
      </c>
      <c r="D353" s="34" t="s">
        <v>47</v>
      </c>
      <c r="E353" s="34" t="s">
        <v>51</v>
      </c>
      <c r="F353" s="33" t="n">
        <v>165180</v>
      </c>
      <c r="G353" s="34" t="s">
        <v>49</v>
      </c>
      <c r="H353" s="34" t="s">
        <v>54</v>
      </c>
      <c r="I353" s="33" t="n">
        <v>6750</v>
      </c>
      <c r="J353" s="34" t="s">
        <v>80</v>
      </c>
      <c r="K353" s="34" t="s">
        <v>56</v>
      </c>
      <c r="L353" s="34" t="s">
        <v>102</v>
      </c>
      <c r="M353" s="34" t="s">
        <v>103</v>
      </c>
      <c r="T353" s="38"/>
    </row>
    <row r="354" customFormat="false" ht="15" hidden="false" customHeight="false" outlineLevel="0" collapsed="false">
      <c r="A354" s="0" t="s">
        <v>759</v>
      </c>
      <c r="B354" s="0" t="s">
        <v>565</v>
      </c>
      <c r="C354" s="34" t="s">
        <v>46</v>
      </c>
      <c r="D354" s="34" t="s">
        <v>59</v>
      </c>
      <c r="E354" s="34" t="s">
        <v>57</v>
      </c>
      <c r="F354" s="33" t="n">
        <v>198969</v>
      </c>
      <c r="G354" s="34" t="s">
        <v>49</v>
      </c>
      <c r="H354" s="34" t="s">
        <v>54</v>
      </c>
      <c r="I354" s="33" t="n">
        <v>6750</v>
      </c>
      <c r="J354" s="34" t="s">
        <v>80</v>
      </c>
      <c r="K354" s="34" t="s">
        <v>60</v>
      </c>
      <c r="L354" s="34" t="s">
        <v>81</v>
      </c>
      <c r="M354" s="34" t="s">
        <v>82</v>
      </c>
      <c r="T354" s="38"/>
    </row>
    <row r="355" customFormat="false" ht="15" hidden="false" customHeight="false" outlineLevel="0" collapsed="false">
      <c r="A355" s="0" t="s">
        <v>760</v>
      </c>
      <c r="B355" s="0" t="s">
        <v>761</v>
      </c>
      <c r="C355" s="34" t="s">
        <v>46</v>
      </c>
      <c r="D355" s="34" t="s">
        <v>47</v>
      </c>
      <c r="E355" s="34" t="s">
        <v>51</v>
      </c>
      <c r="F355" s="33" t="n">
        <v>191837</v>
      </c>
      <c r="G355" s="34" t="s">
        <v>55</v>
      </c>
      <c r="H355" s="34" t="s">
        <v>54</v>
      </c>
      <c r="I355" s="33" t="n">
        <v>9000</v>
      </c>
      <c r="J355" s="34" t="s">
        <v>80</v>
      </c>
      <c r="K355" s="34" t="s">
        <v>60</v>
      </c>
      <c r="L355" s="34" t="s">
        <v>102</v>
      </c>
      <c r="M355" s="34" t="s">
        <v>103</v>
      </c>
      <c r="T355" s="38"/>
    </row>
    <row r="356" customFormat="false" ht="15" hidden="false" customHeight="false" outlineLevel="0" collapsed="false">
      <c r="A356" s="0" t="s">
        <v>762</v>
      </c>
      <c r="B356" s="0" t="s">
        <v>763</v>
      </c>
      <c r="C356" s="34" t="s">
        <v>46</v>
      </c>
      <c r="D356" s="34" t="s">
        <v>47</v>
      </c>
      <c r="E356" s="34" t="s">
        <v>57</v>
      </c>
      <c r="F356" s="33" t="n">
        <v>186218</v>
      </c>
      <c r="G356" s="34" t="s">
        <v>55</v>
      </c>
      <c r="H356" s="34" t="s">
        <v>54</v>
      </c>
      <c r="I356" s="33" t="n">
        <v>9000</v>
      </c>
      <c r="J356" s="34" t="s">
        <v>80</v>
      </c>
      <c r="K356" s="34" t="s">
        <v>60</v>
      </c>
      <c r="L356" s="34" t="s">
        <v>102</v>
      </c>
      <c r="M356" s="34" t="s">
        <v>103</v>
      </c>
      <c r="T356" s="38"/>
    </row>
    <row r="357" customFormat="false" ht="15" hidden="false" customHeight="false" outlineLevel="0" collapsed="false">
      <c r="A357" s="0" t="s">
        <v>764</v>
      </c>
      <c r="B357" s="0" t="s">
        <v>765</v>
      </c>
      <c r="C357" s="34" t="s">
        <v>46</v>
      </c>
      <c r="D357" s="34" t="s">
        <v>63</v>
      </c>
      <c r="E357" s="34" t="s">
        <v>51</v>
      </c>
      <c r="F357" s="33" t="n">
        <v>186866</v>
      </c>
      <c r="G357" s="34" t="s">
        <v>49</v>
      </c>
      <c r="H357" s="34" t="s">
        <v>54</v>
      </c>
      <c r="I357" s="33" t="n">
        <v>6750</v>
      </c>
      <c r="J357" s="34" t="s">
        <v>80</v>
      </c>
      <c r="K357" s="34" t="s">
        <v>60</v>
      </c>
      <c r="L357" s="34" t="s">
        <v>116</v>
      </c>
      <c r="M357" s="34" t="s">
        <v>117</v>
      </c>
      <c r="T357" s="38"/>
    </row>
    <row r="358" customFormat="false" ht="15" hidden="false" customHeight="false" outlineLevel="0" collapsed="false">
      <c r="A358" s="0" t="s">
        <v>766</v>
      </c>
      <c r="B358" s="0" t="s">
        <v>637</v>
      </c>
      <c r="C358" s="34" t="s">
        <v>46</v>
      </c>
      <c r="D358" s="34" t="s">
        <v>62</v>
      </c>
      <c r="E358" s="34" t="s">
        <v>57</v>
      </c>
      <c r="F358" s="33" t="n">
        <v>188667</v>
      </c>
      <c r="G358" s="34" t="s">
        <v>49</v>
      </c>
      <c r="H358" s="34" t="s">
        <v>54</v>
      </c>
      <c r="I358" s="33" t="n">
        <v>6750</v>
      </c>
      <c r="J358" s="34" t="s">
        <v>80</v>
      </c>
      <c r="K358" s="34" t="s">
        <v>60</v>
      </c>
      <c r="L358" s="34" t="s">
        <v>96</v>
      </c>
      <c r="M358" s="34" t="s">
        <v>97</v>
      </c>
      <c r="T358" s="38"/>
    </row>
    <row r="359" customFormat="false" ht="15" hidden="false" customHeight="false" outlineLevel="0" collapsed="false">
      <c r="A359" s="0" t="s">
        <v>767</v>
      </c>
      <c r="B359" s="0" t="s">
        <v>768</v>
      </c>
      <c r="C359" s="34" t="s">
        <v>46</v>
      </c>
      <c r="D359" s="34" t="s">
        <v>62</v>
      </c>
      <c r="E359" s="34" t="s">
        <v>45</v>
      </c>
      <c r="F359" s="33" t="n">
        <v>189498</v>
      </c>
      <c r="G359" s="34" t="s">
        <v>49</v>
      </c>
      <c r="H359" s="34" t="s">
        <v>54</v>
      </c>
      <c r="I359" s="33" t="n">
        <v>6750</v>
      </c>
      <c r="J359" s="34" t="s">
        <v>80</v>
      </c>
      <c r="K359" s="34" t="s">
        <v>60</v>
      </c>
      <c r="L359" s="34" t="s">
        <v>96</v>
      </c>
      <c r="M359" s="34" t="s">
        <v>97</v>
      </c>
      <c r="T359" s="38"/>
    </row>
    <row r="360" customFormat="false" ht="15" hidden="false" customHeight="false" outlineLevel="0" collapsed="false">
      <c r="A360" s="0" t="s">
        <v>769</v>
      </c>
      <c r="B360" s="0" t="s">
        <v>565</v>
      </c>
      <c r="C360" s="34" t="s">
        <v>46</v>
      </c>
      <c r="D360" s="34" t="s">
        <v>53</v>
      </c>
      <c r="E360" s="34" t="s">
        <v>51</v>
      </c>
      <c r="F360" s="33" t="n">
        <v>189595</v>
      </c>
      <c r="G360" s="34" t="s">
        <v>49</v>
      </c>
      <c r="H360" s="34" t="s">
        <v>54</v>
      </c>
      <c r="I360" s="33" t="n">
        <v>6750</v>
      </c>
      <c r="J360" s="34" t="s">
        <v>80</v>
      </c>
      <c r="K360" s="34" t="s">
        <v>60</v>
      </c>
      <c r="L360" s="34" t="s">
        <v>110</v>
      </c>
      <c r="M360" s="34" t="s">
        <v>111</v>
      </c>
      <c r="T360" s="38"/>
    </row>
    <row r="361" customFormat="false" ht="15" hidden="false" customHeight="false" outlineLevel="0" collapsed="false">
      <c r="A361" s="0" t="s">
        <v>770</v>
      </c>
      <c r="B361" s="0" t="s">
        <v>768</v>
      </c>
      <c r="C361" s="34" t="s">
        <v>46</v>
      </c>
      <c r="D361" s="34" t="s">
        <v>62</v>
      </c>
      <c r="E361" s="34" t="s">
        <v>45</v>
      </c>
      <c r="F361" s="33" t="n">
        <v>133376</v>
      </c>
      <c r="G361" s="34" t="s">
        <v>49</v>
      </c>
      <c r="H361" s="34" t="s">
        <v>54</v>
      </c>
      <c r="I361" s="33" t="n">
        <v>6750</v>
      </c>
      <c r="J361" s="34" t="s">
        <v>80</v>
      </c>
      <c r="K361" s="34" t="s">
        <v>56</v>
      </c>
      <c r="L361" s="34" t="s">
        <v>96</v>
      </c>
      <c r="M361" s="34" t="s">
        <v>97</v>
      </c>
      <c r="T361" s="38"/>
    </row>
    <row r="362" customFormat="false" ht="15" hidden="false" customHeight="false" outlineLevel="0" collapsed="false">
      <c r="A362" s="0" t="s">
        <v>771</v>
      </c>
      <c r="B362" s="0" t="s">
        <v>772</v>
      </c>
      <c r="C362" s="34" t="s">
        <v>46</v>
      </c>
      <c r="D362" s="34" t="s">
        <v>59</v>
      </c>
      <c r="E362" s="34" t="s">
        <v>51</v>
      </c>
      <c r="F362" s="33" t="n">
        <v>134685</v>
      </c>
      <c r="G362" s="34" t="s">
        <v>55</v>
      </c>
      <c r="H362" s="34" t="s">
        <v>54</v>
      </c>
      <c r="I362" s="33" t="n">
        <v>9000</v>
      </c>
      <c r="J362" s="34" t="s">
        <v>80</v>
      </c>
      <c r="K362" s="34" t="s">
        <v>56</v>
      </c>
      <c r="L362" s="34" t="s">
        <v>81</v>
      </c>
      <c r="M362" s="34" t="s">
        <v>82</v>
      </c>
      <c r="T362" s="38"/>
    </row>
    <row r="363" customFormat="false" ht="15" hidden="false" customHeight="false" outlineLevel="0" collapsed="false">
      <c r="A363" s="0" t="s">
        <v>773</v>
      </c>
      <c r="B363" s="0" t="s">
        <v>548</v>
      </c>
      <c r="C363" s="34" t="s">
        <v>46</v>
      </c>
      <c r="D363" s="34" t="s">
        <v>62</v>
      </c>
      <c r="E363" s="34" t="s">
        <v>57</v>
      </c>
      <c r="F363" s="33" t="n">
        <v>134992</v>
      </c>
      <c r="G363" s="34" t="s">
        <v>49</v>
      </c>
      <c r="H363" s="34" t="s">
        <v>54</v>
      </c>
      <c r="I363" s="33" t="n">
        <v>6750</v>
      </c>
      <c r="J363" s="34" t="s">
        <v>80</v>
      </c>
      <c r="K363" s="34" t="s">
        <v>56</v>
      </c>
      <c r="L363" s="34" t="s">
        <v>96</v>
      </c>
      <c r="M363" s="34" t="s">
        <v>97</v>
      </c>
      <c r="T363" s="38"/>
    </row>
    <row r="364" customFormat="false" ht="15" hidden="false" customHeight="false" outlineLevel="0" collapsed="false">
      <c r="A364" s="0" t="s">
        <v>774</v>
      </c>
      <c r="B364" s="0" t="s">
        <v>499</v>
      </c>
      <c r="C364" s="34" t="s">
        <v>46</v>
      </c>
      <c r="D364" s="34" t="s">
        <v>62</v>
      </c>
      <c r="E364" s="34" t="s">
        <v>57</v>
      </c>
      <c r="F364" s="33" t="n">
        <v>136786</v>
      </c>
      <c r="G364" s="34" t="s">
        <v>55</v>
      </c>
      <c r="H364" s="34" t="s">
        <v>54</v>
      </c>
      <c r="I364" s="33" t="n">
        <v>9000</v>
      </c>
      <c r="J364" s="34" t="s">
        <v>80</v>
      </c>
      <c r="K364" s="34" t="s">
        <v>56</v>
      </c>
      <c r="L364" s="34" t="s">
        <v>96</v>
      </c>
      <c r="M364" s="34" t="s">
        <v>97</v>
      </c>
      <c r="T364" s="38"/>
    </row>
    <row r="365" customFormat="false" ht="15" hidden="false" customHeight="false" outlineLevel="0" collapsed="false">
      <c r="A365" s="0" t="s">
        <v>775</v>
      </c>
      <c r="B365" s="0" t="s">
        <v>776</v>
      </c>
      <c r="C365" s="34" t="s">
        <v>46</v>
      </c>
      <c r="D365" s="34" t="s">
        <v>62</v>
      </c>
      <c r="E365" s="34" t="s">
        <v>45</v>
      </c>
      <c r="F365" s="33" t="n">
        <v>137159</v>
      </c>
      <c r="G365" s="34" t="s">
        <v>55</v>
      </c>
      <c r="H365" s="34" t="s">
        <v>54</v>
      </c>
      <c r="I365" s="33" t="n">
        <v>9000</v>
      </c>
      <c r="J365" s="34" t="s">
        <v>80</v>
      </c>
      <c r="K365" s="34" t="s">
        <v>56</v>
      </c>
      <c r="L365" s="34" t="s">
        <v>96</v>
      </c>
      <c r="M365" s="34" t="s">
        <v>97</v>
      </c>
      <c r="T365" s="38"/>
    </row>
    <row r="366" customFormat="false" ht="15" hidden="false" customHeight="false" outlineLevel="0" collapsed="false">
      <c r="A366" s="0" t="s">
        <v>777</v>
      </c>
      <c r="B366" s="0" t="s">
        <v>778</v>
      </c>
      <c r="C366" s="34" t="s">
        <v>46</v>
      </c>
      <c r="D366" s="34" t="s">
        <v>62</v>
      </c>
      <c r="E366" s="34" t="s">
        <v>45</v>
      </c>
      <c r="F366" s="33" t="n">
        <v>139234</v>
      </c>
      <c r="G366" s="34" t="s">
        <v>55</v>
      </c>
      <c r="H366" s="34" t="s">
        <v>54</v>
      </c>
      <c r="I366" s="33" t="n">
        <v>9000</v>
      </c>
      <c r="J366" s="34" t="s">
        <v>80</v>
      </c>
      <c r="K366" s="34" t="s">
        <v>56</v>
      </c>
      <c r="L366" s="34" t="s">
        <v>96</v>
      </c>
      <c r="M366" s="34" t="s">
        <v>97</v>
      </c>
      <c r="T366" s="38"/>
    </row>
    <row r="367" customFormat="false" ht="15" hidden="false" customHeight="false" outlineLevel="0" collapsed="false">
      <c r="A367" s="0" t="s">
        <v>779</v>
      </c>
      <c r="B367" s="0" t="s">
        <v>780</v>
      </c>
      <c r="C367" s="34" t="s">
        <v>46</v>
      </c>
      <c r="D367" s="34" t="s">
        <v>47</v>
      </c>
      <c r="E367" s="34" t="s">
        <v>57</v>
      </c>
      <c r="F367" s="33" t="n">
        <v>123978</v>
      </c>
      <c r="G367" s="34" t="s">
        <v>55</v>
      </c>
      <c r="H367" s="34" t="s">
        <v>54</v>
      </c>
      <c r="I367" s="33" t="n">
        <v>9000</v>
      </c>
      <c r="J367" s="34" t="s">
        <v>80</v>
      </c>
      <c r="K367" s="34" t="s">
        <v>50</v>
      </c>
      <c r="L367" s="34" t="s">
        <v>102</v>
      </c>
      <c r="M367" s="34" t="s">
        <v>103</v>
      </c>
      <c r="T367" s="38"/>
    </row>
    <row r="368" customFormat="false" ht="15" hidden="false" customHeight="false" outlineLevel="0" collapsed="false">
      <c r="A368" s="0" t="s">
        <v>781</v>
      </c>
      <c r="B368" s="0" t="s">
        <v>190</v>
      </c>
      <c r="C368" s="34" t="s">
        <v>46</v>
      </c>
      <c r="D368" s="34" t="s">
        <v>59</v>
      </c>
      <c r="E368" s="34" t="s">
        <v>45</v>
      </c>
      <c r="F368" s="33" t="n">
        <v>124544</v>
      </c>
      <c r="G368" s="34" t="s">
        <v>49</v>
      </c>
      <c r="H368" s="34" t="s">
        <v>54</v>
      </c>
      <c r="I368" s="33" t="n">
        <v>6750</v>
      </c>
      <c r="J368" s="34" t="s">
        <v>80</v>
      </c>
      <c r="K368" s="34" t="s">
        <v>50</v>
      </c>
      <c r="L368" s="34" t="s">
        <v>81</v>
      </c>
      <c r="M368" s="34" t="s">
        <v>82</v>
      </c>
      <c r="T368" s="38"/>
    </row>
    <row r="369" customFormat="false" ht="15" hidden="false" customHeight="false" outlineLevel="0" collapsed="false">
      <c r="A369" s="0" t="s">
        <v>782</v>
      </c>
      <c r="B369" s="0" t="s">
        <v>783</v>
      </c>
      <c r="C369" s="34" t="s">
        <v>46</v>
      </c>
      <c r="D369" s="34" t="s">
        <v>47</v>
      </c>
      <c r="E369" s="34" t="s">
        <v>45</v>
      </c>
      <c r="F369" s="33" t="n">
        <v>130370</v>
      </c>
      <c r="G369" s="34" t="s">
        <v>55</v>
      </c>
      <c r="H369" s="34" t="s">
        <v>54</v>
      </c>
      <c r="I369" s="33" t="n">
        <v>9000</v>
      </c>
      <c r="J369" s="34" t="s">
        <v>80</v>
      </c>
      <c r="K369" s="34" t="s">
        <v>56</v>
      </c>
      <c r="L369" s="34" t="s">
        <v>102</v>
      </c>
      <c r="M369" s="34" t="s">
        <v>103</v>
      </c>
      <c r="T369" s="38"/>
    </row>
    <row r="370" customFormat="false" ht="15" hidden="false" customHeight="false" outlineLevel="0" collapsed="false">
      <c r="A370" s="0" t="s">
        <v>784</v>
      </c>
      <c r="B370" s="0" t="s">
        <v>785</v>
      </c>
      <c r="C370" s="34" t="s">
        <v>46</v>
      </c>
      <c r="D370" s="34" t="s">
        <v>53</v>
      </c>
      <c r="E370" s="34" t="s">
        <v>51</v>
      </c>
      <c r="F370" s="33" t="n">
        <v>130746</v>
      </c>
      <c r="G370" s="34" t="s">
        <v>49</v>
      </c>
      <c r="H370" s="34" t="s">
        <v>54</v>
      </c>
      <c r="I370" s="33" t="n">
        <v>6750</v>
      </c>
      <c r="J370" s="34" t="s">
        <v>80</v>
      </c>
      <c r="K370" s="34" t="s">
        <v>56</v>
      </c>
      <c r="L370" s="34" t="s">
        <v>110</v>
      </c>
      <c r="M370" s="34" t="s">
        <v>111</v>
      </c>
      <c r="T370" s="38"/>
    </row>
    <row r="371" customFormat="false" ht="15" hidden="false" customHeight="false" outlineLevel="0" collapsed="false">
      <c r="A371" s="0" t="s">
        <v>786</v>
      </c>
      <c r="B371" s="0" t="s">
        <v>787</v>
      </c>
      <c r="C371" s="34" t="s">
        <v>46</v>
      </c>
      <c r="D371" s="34" t="s">
        <v>53</v>
      </c>
      <c r="E371" s="34" t="s">
        <v>61</v>
      </c>
      <c r="F371" s="33" t="n">
        <v>131506</v>
      </c>
      <c r="G371" s="34" t="s">
        <v>55</v>
      </c>
      <c r="H371" s="34" t="s">
        <v>54</v>
      </c>
      <c r="I371" s="33" t="n">
        <v>9000</v>
      </c>
      <c r="J371" s="34" t="s">
        <v>80</v>
      </c>
      <c r="K371" s="34" t="s">
        <v>56</v>
      </c>
      <c r="L371" s="34" t="s">
        <v>110</v>
      </c>
      <c r="M371" s="34" t="s">
        <v>111</v>
      </c>
      <c r="T371" s="38"/>
    </row>
    <row r="372" customFormat="false" ht="15" hidden="false" customHeight="false" outlineLevel="0" collapsed="false">
      <c r="A372" s="0" t="s">
        <v>788</v>
      </c>
      <c r="B372" s="0" t="s">
        <v>406</v>
      </c>
      <c r="C372" s="34" t="s">
        <v>46</v>
      </c>
      <c r="D372" s="34" t="s">
        <v>62</v>
      </c>
      <c r="E372" s="34" t="s">
        <v>57</v>
      </c>
      <c r="F372" s="33" t="n">
        <v>132149</v>
      </c>
      <c r="G372" s="34" t="s">
        <v>49</v>
      </c>
      <c r="H372" s="34" t="s">
        <v>54</v>
      </c>
      <c r="I372" s="33" t="n">
        <v>6750</v>
      </c>
      <c r="J372" s="34" t="s">
        <v>80</v>
      </c>
      <c r="K372" s="34" t="s">
        <v>56</v>
      </c>
      <c r="L372" s="34" t="s">
        <v>96</v>
      </c>
      <c r="M372" s="34" t="s">
        <v>97</v>
      </c>
      <c r="T372" s="38"/>
    </row>
    <row r="373" customFormat="false" ht="15" hidden="false" customHeight="false" outlineLevel="0" collapsed="false">
      <c r="A373" s="0" t="s">
        <v>789</v>
      </c>
      <c r="B373" s="0" t="s">
        <v>425</v>
      </c>
      <c r="C373" s="34" t="s">
        <v>46</v>
      </c>
      <c r="D373" s="34" t="s">
        <v>62</v>
      </c>
      <c r="E373" s="34" t="s">
        <v>51</v>
      </c>
      <c r="F373" s="33" t="n">
        <v>150783</v>
      </c>
      <c r="G373" s="34" t="s">
        <v>49</v>
      </c>
      <c r="H373" s="34" t="s">
        <v>54</v>
      </c>
      <c r="I373" s="33" t="n">
        <v>6750</v>
      </c>
      <c r="J373" s="34" t="s">
        <v>80</v>
      </c>
      <c r="K373" s="34" t="s">
        <v>56</v>
      </c>
      <c r="L373" s="34" t="s">
        <v>96</v>
      </c>
      <c r="M373" s="34" t="s">
        <v>97</v>
      </c>
      <c r="T373" s="38"/>
    </row>
    <row r="374" customFormat="false" ht="15" hidden="false" customHeight="false" outlineLevel="0" collapsed="false">
      <c r="A374" s="0" t="s">
        <v>790</v>
      </c>
      <c r="B374" s="0" t="s">
        <v>791</v>
      </c>
      <c r="C374" s="34" t="s">
        <v>46</v>
      </c>
      <c r="D374" s="34" t="s">
        <v>59</v>
      </c>
      <c r="E374" s="34" t="s">
        <v>57</v>
      </c>
      <c r="F374" s="33" t="n">
        <v>152915</v>
      </c>
      <c r="G374" s="34" t="s">
        <v>55</v>
      </c>
      <c r="H374" s="34" t="s">
        <v>54</v>
      </c>
      <c r="I374" s="33" t="n">
        <v>9000</v>
      </c>
      <c r="J374" s="34" t="s">
        <v>80</v>
      </c>
      <c r="K374" s="34" t="s">
        <v>56</v>
      </c>
      <c r="L374" s="34" t="s">
        <v>81</v>
      </c>
      <c r="M374" s="34" t="s">
        <v>82</v>
      </c>
      <c r="T374" s="38"/>
    </row>
    <row r="375" customFormat="false" ht="15" hidden="false" customHeight="false" outlineLevel="0" collapsed="false">
      <c r="A375" s="0" t="s">
        <v>792</v>
      </c>
      <c r="B375" s="0" t="s">
        <v>253</v>
      </c>
      <c r="C375" s="34" t="s">
        <v>46</v>
      </c>
      <c r="D375" s="34" t="s">
        <v>53</v>
      </c>
      <c r="E375" s="34" t="s">
        <v>45</v>
      </c>
      <c r="F375" s="33" t="n">
        <v>155824</v>
      </c>
      <c r="G375" s="34" t="s">
        <v>49</v>
      </c>
      <c r="H375" s="34" t="s">
        <v>54</v>
      </c>
      <c r="I375" s="33" t="n">
        <v>6750</v>
      </c>
      <c r="J375" s="34" t="s">
        <v>80</v>
      </c>
      <c r="K375" s="34" t="s">
        <v>56</v>
      </c>
      <c r="L375" s="34" t="s">
        <v>110</v>
      </c>
      <c r="M375" s="34" t="s">
        <v>111</v>
      </c>
      <c r="T375" s="38"/>
    </row>
    <row r="376" customFormat="false" ht="15" hidden="false" customHeight="false" outlineLevel="0" collapsed="false">
      <c r="A376" s="0" t="s">
        <v>793</v>
      </c>
      <c r="B376" s="0" t="s">
        <v>794</v>
      </c>
      <c r="C376" s="34" t="s">
        <v>46</v>
      </c>
      <c r="D376" s="34" t="s">
        <v>53</v>
      </c>
      <c r="E376" s="34" t="s">
        <v>61</v>
      </c>
      <c r="F376" s="33" t="n">
        <v>150608</v>
      </c>
      <c r="G376" s="34" t="s">
        <v>49</v>
      </c>
      <c r="H376" s="34" t="s">
        <v>54</v>
      </c>
      <c r="I376" s="33" t="n">
        <v>6750</v>
      </c>
      <c r="J376" s="34" t="s">
        <v>80</v>
      </c>
      <c r="K376" s="34" t="s">
        <v>56</v>
      </c>
      <c r="L376" s="34" t="s">
        <v>110</v>
      </c>
      <c r="M376" s="34" t="s">
        <v>111</v>
      </c>
      <c r="T376" s="38"/>
    </row>
    <row r="377" customFormat="false" ht="15" hidden="false" customHeight="false" outlineLevel="0" collapsed="false">
      <c r="A377" s="0" t="s">
        <v>795</v>
      </c>
      <c r="B377" s="0" t="s">
        <v>540</v>
      </c>
      <c r="C377" s="34" t="s">
        <v>46</v>
      </c>
      <c r="D377" s="34" t="s">
        <v>63</v>
      </c>
      <c r="E377" s="34" t="s">
        <v>45</v>
      </c>
      <c r="F377" s="33" t="n">
        <v>156383</v>
      </c>
      <c r="G377" s="34" t="s">
        <v>49</v>
      </c>
      <c r="H377" s="34" t="s">
        <v>54</v>
      </c>
      <c r="I377" s="33" t="n">
        <v>6750</v>
      </c>
      <c r="J377" s="34" t="s">
        <v>80</v>
      </c>
      <c r="K377" s="34" t="s">
        <v>56</v>
      </c>
      <c r="L377" s="34" t="s">
        <v>116</v>
      </c>
      <c r="M377" s="34" t="s">
        <v>117</v>
      </c>
      <c r="T377" s="38"/>
    </row>
    <row r="378" customFormat="false" ht="15" hidden="false" customHeight="false" outlineLevel="0" collapsed="false">
      <c r="A378" s="0" t="s">
        <v>796</v>
      </c>
      <c r="B378" s="0" t="s">
        <v>518</v>
      </c>
      <c r="C378" s="34" t="s">
        <v>46</v>
      </c>
      <c r="D378" s="34" t="s">
        <v>63</v>
      </c>
      <c r="E378" s="34" t="s">
        <v>51</v>
      </c>
      <c r="F378" s="33" t="n">
        <v>159353</v>
      </c>
      <c r="G378" s="34" t="s">
        <v>49</v>
      </c>
      <c r="H378" s="34" t="s">
        <v>54</v>
      </c>
      <c r="I378" s="33" t="n">
        <v>6750</v>
      </c>
      <c r="J378" s="34" t="s">
        <v>80</v>
      </c>
      <c r="K378" s="34" t="s">
        <v>56</v>
      </c>
      <c r="L378" s="34" t="s">
        <v>116</v>
      </c>
      <c r="M378" s="34" t="s">
        <v>117</v>
      </c>
      <c r="T378" s="38"/>
    </row>
    <row r="379" customFormat="false" ht="15" hidden="false" customHeight="false" outlineLevel="0" collapsed="false">
      <c r="A379" s="0" t="s">
        <v>797</v>
      </c>
      <c r="B379" s="0" t="s">
        <v>798</v>
      </c>
      <c r="C379" s="34" t="s">
        <v>46</v>
      </c>
      <c r="D379" s="34" t="s">
        <v>62</v>
      </c>
      <c r="E379" s="34" t="s">
        <v>51</v>
      </c>
      <c r="F379" s="33" t="n">
        <v>162363</v>
      </c>
      <c r="G379" s="34" t="s">
        <v>55</v>
      </c>
      <c r="H379" s="34" t="s">
        <v>54</v>
      </c>
      <c r="I379" s="33" t="n">
        <v>9000</v>
      </c>
      <c r="J379" s="34" t="s">
        <v>80</v>
      </c>
      <c r="K379" s="34" t="s">
        <v>56</v>
      </c>
      <c r="L379" s="34" t="s">
        <v>96</v>
      </c>
      <c r="M379" s="34" t="s">
        <v>97</v>
      </c>
      <c r="T379" s="38"/>
    </row>
    <row r="380" customFormat="false" ht="15" hidden="false" customHeight="false" outlineLevel="0" collapsed="false">
      <c r="A380" s="0" t="s">
        <v>799</v>
      </c>
      <c r="B380" s="0" t="s">
        <v>800</v>
      </c>
      <c r="C380" s="34" t="s">
        <v>46</v>
      </c>
      <c r="D380" s="34" t="s">
        <v>59</v>
      </c>
      <c r="E380" s="34" t="s">
        <v>45</v>
      </c>
      <c r="F380" s="33" t="n">
        <v>142468</v>
      </c>
      <c r="G380" s="34" t="s">
        <v>55</v>
      </c>
      <c r="H380" s="34" t="s">
        <v>54</v>
      </c>
      <c r="I380" s="33" t="n">
        <v>9000</v>
      </c>
      <c r="J380" s="34" t="s">
        <v>80</v>
      </c>
      <c r="K380" s="34" t="s">
        <v>56</v>
      </c>
      <c r="L380" s="34" t="s">
        <v>81</v>
      </c>
      <c r="M380" s="34" t="s">
        <v>82</v>
      </c>
      <c r="T380" s="38"/>
    </row>
    <row r="381" customFormat="false" ht="15" hidden="false" customHeight="false" outlineLevel="0" collapsed="false">
      <c r="A381" s="0" t="s">
        <v>801</v>
      </c>
      <c r="B381" s="0" t="s">
        <v>802</v>
      </c>
      <c r="C381" s="34" t="s">
        <v>46</v>
      </c>
      <c r="D381" s="34" t="s">
        <v>47</v>
      </c>
      <c r="E381" s="34" t="s">
        <v>57</v>
      </c>
      <c r="F381" s="33" t="n">
        <v>142796</v>
      </c>
      <c r="G381" s="34" t="s">
        <v>49</v>
      </c>
      <c r="H381" s="34" t="s">
        <v>54</v>
      </c>
      <c r="I381" s="33" t="n">
        <v>6750</v>
      </c>
      <c r="J381" s="34" t="s">
        <v>80</v>
      </c>
      <c r="K381" s="34" t="s">
        <v>56</v>
      </c>
      <c r="L381" s="34" t="s">
        <v>102</v>
      </c>
      <c r="M381" s="34" t="s">
        <v>103</v>
      </c>
      <c r="T381" s="38"/>
    </row>
    <row r="382" customFormat="false" ht="15" hidden="false" customHeight="false" outlineLevel="0" collapsed="false">
      <c r="A382" s="0" t="s">
        <v>803</v>
      </c>
      <c r="B382" s="0" t="s">
        <v>804</v>
      </c>
      <c r="C382" s="34" t="s">
        <v>46</v>
      </c>
      <c r="D382" s="34" t="s">
        <v>63</v>
      </c>
      <c r="E382" s="34" t="s">
        <v>51</v>
      </c>
      <c r="F382" s="33" t="n">
        <v>143492</v>
      </c>
      <c r="G382" s="34" t="s">
        <v>55</v>
      </c>
      <c r="H382" s="34" t="s">
        <v>54</v>
      </c>
      <c r="I382" s="33" t="n">
        <v>9000</v>
      </c>
      <c r="J382" s="34" t="s">
        <v>80</v>
      </c>
      <c r="K382" s="34" t="s">
        <v>56</v>
      </c>
      <c r="L382" s="34" t="s">
        <v>116</v>
      </c>
      <c r="M382" s="34" t="s">
        <v>117</v>
      </c>
      <c r="T382" s="38"/>
    </row>
    <row r="383" customFormat="false" ht="15" hidden="false" customHeight="false" outlineLevel="0" collapsed="false">
      <c r="A383" s="0" t="s">
        <v>805</v>
      </c>
      <c r="B383" s="0" t="s">
        <v>806</v>
      </c>
      <c r="C383" s="34" t="s">
        <v>46</v>
      </c>
      <c r="D383" s="34" t="s">
        <v>53</v>
      </c>
      <c r="E383" s="34" t="s">
        <v>51</v>
      </c>
      <c r="F383" s="33" t="n">
        <v>145090</v>
      </c>
      <c r="G383" s="34" t="s">
        <v>55</v>
      </c>
      <c r="H383" s="34" t="s">
        <v>54</v>
      </c>
      <c r="I383" s="33" t="n">
        <v>9000</v>
      </c>
      <c r="J383" s="34" t="s">
        <v>80</v>
      </c>
      <c r="K383" s="34" t="s">
        <v>56</v>
      </c>
      <c r="L383" s="34" t="s">
        <v>110</v>
      </c>
      <c r="M383" s="34" t="s">
        <v>111</v>
      </c>
      <c r="T383" s="38"/>
    </row>
    <row r="384" customFormat="false" ht="15" hidden="false" customHeight="false" outlineLevel="0" collapsed="false">
      <c r="A384" s="0" t="s">
        <v>807</v>
      </c>
      <c r="B384" s="0" t="s">
        <v>808</v>
      </c>
      <c r="C384" s="34" t="s">
        <v>46</v>
      </c>
      <c r="D384" s="34" t="s">
        <v>53</v>
      </c>
      <c r="E384" s="34" t="s">
        <v>45</v>
      </c>
      <c r="F384" s="33" t="n">
        <v>148058</v>
      </c>
      <c r="G384" s="34" t="s">
        <v>49</v>
      </c>
      <c r="H384" s="34" t="s">
        <v>54</v>
      </c>
      <c r="I384" s="33" t="n">
        <v>6750</v>
      </c>
      <c r="J384" s="34" t="s">
        <v>80</v>
      </c>
      <c r="K384" s="34" t="s">
        <v>56</v>
      </c>
      <c r="L384" s="34" t="s">
        <v>110</v>
      </c>
      <c r="M384" s="34" t="s">
        <v>111</v>
      </c>
      <c r="T384" s="38"/>
    </row>
    <row r="385" customFormat="false" ht="15" hidden="false" customHeight="false" outlineLevel="0" collapsed="false">
      <c r="A385" s="0" t="s">
        <v>809</v>
      </c>
      <c r="B385" s="0" t="s">
        <v>810</v>
      </c>
      <c r="C385" s="34" t="s">
        <v>58</v>
      </c>
      <c r="D385" s="34" t="s">
        <v>47</v>
      </c>
      <c r="E385" s="34" t="s">
        <v>57</v>
      </c>
      <c r="F385" s="33" t="n">
        <v>115842</v>
      </c>
      <c r="G385" s="34" t="s">
        <v>55</v>
      </c>
      <c r="H385" s="34" t="s">
        <v>54</v>
      </c>
      <c r="I385" s="33" t="n">
        <v>9000</v>
      </c>
      <c r="J385" s="34" t="s">
        <v>80</v>
      </c>
      <c r="K385" s="34" t="s">
        <v>50</v>
      </c>
      <c r="L385" s="34" t="s">
        <v>102</v>
      </c>
      <c r="M385" s="34" t="s">
        <v>103</v>
      </c>
      <c r="T385" s="38"/>
    </row>
    <row r="386" customFormat="false" ht="15" hidden="false" customHeight="false" outlineLevel="0" collapsed="false">
      <c r="A386" s="0" t="s">
        <v>811</v>
      </c>
      <c r="B386" s="0" t="s">
        <v>812</v>
      </c>
      <c r="C386" s="34" t="s">
        <v>58</v>
      </c>
      <c r="D386" s="34" t="s">
        <v>47</v>
      </c>
      <c r="E386" s="34" t="s">
        <v>61</v>
      </c>
      <c r="F386" s="33" t="n">
        <v>141191</v>
      </c>
      <c r="G386" s="34" t="s">
        <v>49</v>
      </c>
      <c r="H386" s="34" t="s">
        <v>54</v>
      </c>
      <c r="I386" s="33" t="n">
        <v>6750</v>
      </c>
      <c r="J386" s="34" t="s">
        <v>80</v>
      </c>
      <c r="K386" s="34" t="s">
        <v>56</v>
      </c>
      <c r="L386" s="34" t="s">
        <v>102</v>
      </c>
      <c r="M386" s="34" t="s">
        <v>103</v>
      </c>
      <c r="T386" s="38"/>
    </row>
    <row r="387" customFormat="false" ht="15" hidden="false" customHeight="false" outlineLevel="0" collapsed="false">
      <c r="A387" s="0" t="s">
        <v>813</v>
      </c>
      <c r="B387" s="0" t="s">
        <v>814</v>
      </c>
      <c r="C387" s="34" t="s">
        <v>58</v>
      </c>
      <c r="D387" s="34" t="s">
        <v>63</v>
      </c>
      <c r="E387" s="34" t="s">
        <v>45</v>
      </c>
      <c r="F387" s="33" t="n">
        <v>147422</v>
      </c>
      <c r="G387" s="34" t="s">
        <v>49</v>
      </c>
      <c r="H387" s="34" t="s">
        <v>54</v>
      </c>
      <c r="I387" s="33" t="n">
        <v>6750</v>
      </c>
      <c r="J387" s="34" t="s">
        <v>80</v>
      </c>
      <c r="K387" s="34" t="s">
        <v>56</v>
      </c>
      <c r="L387" s="34" t="s">
        <v>116</v>
      </c>
      <c r="M387" s="34" t="s">
        <v>117</v>
      </c>
      <c r="T387" s="38"/>
    </row>
    <row r="388" customFormat="false" ht="15" hidden="false" customHeight="false" outlineLevel="0" collapsed="false">
      <c r="A388" s="0" t="s">
        <v>815</v>
      </c>
      <c r="B388" s="0" t="s">
        <v>816</v>
      </c>
      <c r="C388" s="34" t="s">
        <v>52</v>
      </c>
      <c r="D388" s="34" t="s">
        <v>47</v>
      </c>
      <c r="E388" s="34" t="s">
        <v>45</v>
      </c>
      <c r="F388" s="33" t="n">
        <v>233215</v>
      </c>
      <c r="G388" s="34" t="s">
        <v>43</v>
      </c>
      <c r="H388" s="34" t="s">
        <v>48</v>
      </c>
      <c r="I388" s="33" t="n">
        <v>2800</v>
      </c>
      <c r="J388" s="34" t="s">
        <v>817</v>
      </c>
      <c r="K388" s="34" t="s">
        <v>60</v>
      </c>
      <c r="L388" s="34" t="s">
        <v>102</v>
      </c>
      <c r="M388" s="34" t="s">
        <v>103</v>
      </c>
      <c r="T388" s="38"/>
    </row>
    <row r="389" customFormat="false" ht="15" hidden="false" customHeight="false" outlineLevel="0" collapsed="false">
      <c r="A389" s="0" t="s">
        <v>818</v>
      </c>
      <c r="B389" s="0" t="s">
        <v>819</v>
      </c>
      <c r="C389" s="34" t="s">
        <v>52</v>
      </c>
      <c r="D389" s="34" t="s">
        <v>47</v>
      </c>
      <c r="E389" s="34" t="s">
        <v>57</v>
      </c>
      <c r="F389" s="33" t="n">
        <v>216020</v>
      </c>
      <c r="G389" s="34" t="s">
        <v>49</v>
      </c>
      <c r="H389" s="34" t="s">
        <v>54</v>
      </c>
      <c r="I389" s="33" t="n">
        <v>6750</v>
      </c>
      <c r="J389" s="34" t="s">
        <v>817</v>
      </c>
      <c r="K389" s="34" t="s">
        <v>60</v>
      </c>
      <c r="L389" s="34" t="s">
        <v>102</v>
      </c>
      <c r="M389" s="34" t="s">
        <v>103</v>
      </c>
      <c r="T389" s="38"/>
    </row>
    <row r="390" customFormat="false" ht="15" hidden="false" customHeight="false" outlineLevel="0" collapsed="false">
      <c r="A390" s="0" t="s">
        <v>820</v>
      </c>
      <c r="B390" s="0" t="s">
        <v>821</v>
      </c>
      <c r="C390" s="34" t="s">
        <v>52</v>
      </c>
      <c r="D390" s="34" t="s">
        <v>47</v>
      </c>
      <c r="E390" s="34" t="s">
        <v>61</v>
      </c>
      <c r="F390" s="33" t="n">
        <v>215502</v>
      </c>
      <c r="G390" s="34" t="s">
        <v>49</v>
      </c>
      <c r="H390" s="34" t="s">
        <v>54</v>
      </c>
      <c r="I390" s="33" t="n">
        <v>6750</v>
      </c>
      <c r="J390" s="34" t="s">
        <v>817</v>
      </c>
      <c r="K390" s="34" t="s">
        <v>60</v>
      </c>
      <c r="L390" s="34" t="s">
        <v>102</v>
      </c>
      <c r="M390" s="34" t="s">
        <v>103</v>
      </c>
      <c r="T390" s="38"/>
    </row>
    <row r="391" customFormat="false" ht="15" hidden="false" customHeight="false" outlineLevel="0" collapsed="false">
      <c r="A391" s="0" t="s">
        <v>822</v>
      </c>
      <c r="B391" s="0" t="s">
        <v>823</v>
      </c>
      <c r="C391" s="34" t="s">
        <v>46</v>
      </c>
      <c r="D391" s="34" t="s">
        <v>59</v>
      </c>
      <c r="E391" s="34" t="s">
        <v>51</v>
      </c>
      <c r="F391" s="33" t="n">
        <v>215291</v>
      </c>
      <c r="G391" s="34" t="s">
        <v>49</v>
      </c>
      <c r="H391" s="34" t="s">
        <v>48</v>
      </c>
      <c r="I391" s="33" t="n">
        <v>4200</v>
      </c>
      <c r="J391" s="34" t="s">
        <v>817</v>
      </c>
      <c r="K391" s="34" t="s">
        <v>60</v>
      </c>
      <c r="L391" s="34" t="s">
        <v>81</v>
      </c>
      <c r="M391" s="34" t="s">
        <v>82</v>
      </c>
      <c r="T391" s="38"/>
    </row>
    <row r="392" customFormat="false" ht="15" hidden="false" customHeight="false" outlineLevel="0" collapsed="false">
      <c r="A392" s="0" t="s">
        <v>824</v>
      </c>
      <c r="B392" s="0" t="s">
        <v>825</v>
      </c>
      <c r="C392" s="34" t="s">
        <v>46</v>
      </c>
      <c r="D392" s="34" t="s">
        <v>47</v>
      </c>
      <c r="E392" s="34" t="s">
        <v>57</v>
      </c>
      <c r="F392" s="33" t="n">
        <v>214113</v>
      </c>
      <c r="G392" s="34" t="s">
        <v>49</v>
      </c>
      <c r="H392" s="34" t="s">
        <v>48</v>
      </c>
      <c r="I392" s="33" t="n">
        <v>4200</v>
      </c>
      <c r="J392" s="34" t="s">
        <v>817</v>
      </c>
      <c r="K392" s="34" t="s">
        <v>60</v>
      </c>
      <c r="L392" s="34" t="s">
        <v>102</v>
      </c>
      <c r="M392" s="34" t="s">
        <v>103</v>
      </c>
      <c r="T392" s="38"/>
    </row>
    <row r="393" customFormat="false" ht="15" hidden="false" customHeight="false" outlineLevel="0" collapsed="false">
      <c r="A393" s="0" t="s">
        <v>826</v>
      </c>
      <c r="B393" s="0" t="s">
        <v>827</v>
      </c>
      <c r="C393" s="34" t="s">
        <v>52</v>
      </c>
      <c r="D393" s="34" t="s">
        <v>47</v>
      </c>
      <c r="E393" s="34" t="s">
        <v>51</v>
      </c>
      <c r="F393" s="33" t="n">
        <v>213791</v>
      </c>
      <c r="G393" s="34" t="s">
        <v>49</v>
      </c>
      <c r="H393" s="34" t="s">
        <v>48</v>
      </c>
      <c r="I393" s="33" t="n">
        <v>4200</v>
      </c>
      <c r="J393" s="34" t="s">
        <v>817</v>
      </c>
      <c r="K393" s="34" t="s">
        <v>60</v>
      </c>
      <c r="L393" s="34" t="s">
        <v>102</v>
      </c>
      <c r="M393" s="34" t="s">
        <v>103</v>
      </c>
      <c r="T393" s="38"/>
    </row>
    <row r="394" customFormat="false" ht="15" hidden="false" customHeight="false" outlineLevel="0" collapsed="false">
      <c r="A394" s="0" t="s">
        <v>828</v>
      </c>
      <c r="B394" s="0" t="s">
        <v>829</v>
      </c>
      <c r="C394" s="34" t="s">
        <v>52</v>
      </c>
      <c r="D394" s="34" t="s">
        <v>59</v>
      </c>
      <c r="E394" s="34" t="s">
        <v>61</v>
      </c>
      <c r="F394" s="33" t="n">
        <v>213025</v>
      </c>
      <c r="G394" s="34" t="s">
        <v>49</v>
      </c>
      <c r="H394" s="34" t="s">
        <v>48</v>
      </c>
      <c r="I394" s="33" t="n">
        <v>4200</v>
      </c>
      <c r="J394" s="34" t="s">
        <v>817</v>
      </c>
      <c r="K394" s="34" t="s">
        <v>60</v>
      </c>
      <c r="L394" s="34" t="s">
        <v>81</v>
      </c>
      <c r="M394" s="34" t="s">
        <v>82</v>
      </c>
      <c r="T394" s="38"/>
    </row>
    <row r="395" customFormat="false" ht="15" hidden="false" customHeight="false" outlineLevel="0" collapsed="false">
      <c r="A395" s="0" t="s">
        <v>830</v>
      </c>
      <c r="B395" s="0" t="s">
        <v>727</v>
      </c>
      <c r="C395" s="34" t="s">
        <v>52</v>
      </c>
      <c r="D395" s="34" t="s">
        <v>59</v>
      </c>
      <c r="E395" s="34" t="s">
        <v>45</v>
      </c>
      <c r="F395" s="33" t="n">
        <v>212702</v>
      </c>
      <c r="G395" s="34" t="s">
        <v>43</v>
      </c>
      <c r="H395" s="34" t="s">
        <v>48</v>
      </c>
      <c r="I395" s="33" t="n">
        <v>2800</v>
      </c>
      <c r="J395" s="34" t="s">
        <v>817</v>
      </c>
      <c r="K395" s="34" t="s">
        <v>60</v>
      </c>
      <c r="L395" s="34" t="s">
        <v>81</v>
      </c>
      <c r="M395" s="34" t="s">
        <v>82</v>
      </c>
      <c r="T395" s="38"/>
    </row>
    <row r="396" customFormat="false" ht="15" hidden="false" customHeight="false" outlineLevel="0" collapsed="false">
      <c r="A396" s="0" t="s">
        <v>831</v>
      </c>
      <c r="B396" s="0" t="s">
        <v>442</v>
      </c>
      <c r="C396" s="34" t="s">
        <v>46</v>
      </c>
      <c r="D396" s="34" t="s">
        <v>59</v>
      </c>
      <c r="E396" s="34" t="s">
        <v>51</v>
      </c>
      <c r="F396" s="33" t="n">
        <v>212381</v>
      </c>
      <c r="G396" s="34" t="s">
        <v>43</v>
      </c>
      <c r="H396" s="34" t="s">
        <v>48</v>
      </c>
      <c r="I396" s="33" t="n">
        <v>2800</v>
      </c>
      <c r="J396" s="34" t="s">
        <v>817</v>
      </c>
      <c r="K396" s="34" t="s">
        <v>60</v>
      </c>
      <c r="L396" s="34" t="s">
        <v>81</v>
      </c>
      <c r="M396" s="34" t="s">
        <v>82</v>
      </c>
      <c r="T396" s="38"/>
    </row>
    <row r="397" customFormat="false" ht="15" hidden="false" customHeight="false" outlineLevel="0" collapsed="false">
      <c r="A397" s="0" t="s">
        <v>832</v>
      </c>
      <c r="B397" s="0" t="s">
        <v>823</v>
      </c>
      <c r="C397" s="34" t="s">
        <v>52</v>
      </c>
      <c r="D397" s="34" t="s">
        <v>62</v>
      </c>
      <c r="E397" s="34" t="s">
        <v>57</v>
      </c>
      <c r="F397" s="33" t="n">
        <v>212073</v>
      </c>
      <c r="G397" s="34" t="s">
        <v>55</v>
      </c>
      <c r="H397" s="34" t="s">
        <v>54</v>
      </c>
      <c r="I397" s="33" t="n">
        <v>9000</v>
      </c>
      <c r="J397" s="34" t="s">
        <v>817</v>
      </c>
      <c r="K397" s="34" t="s">
        <v>60</v>
      </c>
      <c r="L397" s="34" t="s">
        <v>96</v>
      </c>
      <c r="M397" s="34" t="s">
        <v>97</v>
      </c>
      <c r="T397" s="38"/>
    </row>
    <row r="398" customFormat="false" ht="15" hidden="false" customHeight="false" outlineLevel="0" collapsed="false">
      <c r="A398" s="0" t="s">
        <v>833</v>
      </c>
      <c r="B398" s="0" t="s">
        <v>834</v>
      </c>
      <c r="C398" s="34" t="s">
        <v>52</v>
      </c>
      <c r="D398" s="34" t="s">
        <v>47</v>
      </c>
      <c r="E398" s="34" t="s">
        <v>61</v>
      </c>
      <c r="F398" s="33" t="n">
        <v>211763</v>
      </c>
      <c r="G398" s="34" t="s">
        <v>49</v>
      </c>
      <c r="H398" s="34" t="s">
        <v>54</v>
      </c>
      <c r="I398" s="33" t="n">
        <v>6750</v>
      </c>
      <c r="J398" s="34" t="s">
        <v>817</v>
      </c>
      <c r="K398" s="34" t="s">
        <v>60</v>
      </c>
      <c r="L398" s="34" t="s">
        <v>102</v>
      </c>
      <c r="M398" s="34" t="s">
        <v>103</v>
      </c>
      <c r="T398" s="38"/>
    </row>
    <row r="399" customFormat="false" ht="15" hidden="false" customHeight="false" outlineLevel="0" collapsed="false">
      <c r="A399" s="0" t="s">
        <v>835</v>
      </c>
      <c r="B399" s="0" t="s">
        <v>263</v>
      </c>
      <c r="C399" s="34" t="s">
        <v>46</v>
      </c>
      <c r="D399" s="34" t="s">
        <v>47</v>
      </c>
      <c r="E399" s="34" t="s">
        <v>61</v>
      </c>
      <c r="F399" s="33" t="n">
        <v>211130</v>
      </c>
      <c r="G399" s="34" t="s">
        <v>43</v>
      </c>
      <c r="H399" s="34" t="s">
        <v>48</v>
      </c>
      <c r="I399" s="33" t="n">
        <v>2800</v>
      </c>
      <c r="J399" s="34" t="s">
        <v>817</v>
      </c>
      <c r="K399" s="34" t="s">
        <v>60</v>
      </c>
      <c r="L399" s="34" t="s">
        <v>102</v>
      </c>
      <c r="M399" s="34" t="s">
        <v>103</v>
      </c>
      <c r="T399" s="38"/>
    </row>
    <row r="400" customFormat="false" ht="15" hidden="false" customHeight="false" outlineLevel="0" collapsed="false">
      <c r="A400" s="0" t="s">
        <v>836</v>
      </c>
      <c r="B400" s="0" t="s">
        <v>837</v>
      </c>
      <c r="C400" s="34" t="s">
        <v>52</v>
      </c>
      <c r="D400" s="34" t="s">
        <v>62</v>
      </c>
      <c r="E400" s="34" t="s">
        <v>61</v>
      </c>
      <c r="F400" s="33" t="n">
        <v>208587</v>
      </c>
      <c r="G400" s="34" t="s">
        <v>49</v>
      </c>
      <c r="H400" s="34" t="s">
        <v>48</v>
      </c>
      <c r="I400" s="33" t="n">
        <v>4200</v>
      </c>
      <c r="J400" s="34" t="s">
        <v>817</v>
      </c>
      <c r="K400" s="34" t="s">
        <v>60</v>
      </c>
      <c r="L400" s="34" t="s">
        <v>96</v>
      </c>
      <c r="M400" s="34" t="s">
        <v>97</v>
      </c>
      <c r="T400" s="38"/>
    </row>
    <row r="401" customFormat="false" ht="15" hidden="false" customHeight="false" outlineLevel="0" collapsed="false">
      <c r="A401" s="0" t="s">
        <v>838</v>
      </c>
      <c r="B401" s="0" t="s">
        <v>839</v>
      </c>
      <c r="C401" s="34" t="s">
        <v>46</v>
      </c>
      <c r="D401" s="34" t="s">
        <v>63</v>
      </c>
      <c r="E401" s="34" t="s">
        <v>61</v>
      </c>
      <c r="F401" s="33" t="n">
        <v>208491</v>
      </c>
      <c r="G401" s="34" t="s">
        <v>55</v>
      </c>
      <c r="H401" s="34" t="s">
        <v>54</v>
      </c>
      <c r="I401" s="33" t="n">
        <v>9000</v>
      </c>
      <c r="J401" s="34" t="s">
        <v>817</v>
      </c>
      <c r="K401" s="34" t="s">
        <v>60</v>
      </c>
      <c r="L401" s="34" t="s">
        <v>116</v>
      </c>
      <c r="M401" s="34" t="s">
        <v>117</v>
      </c>
      <c r="T401" s="38"/>
    </row>
    <row r="402" customFormat="false" ht="15" hidden="false" customHeight="false" outlineLevel="0" collapsed="false">
      <c r="A402" s="0" t="s">
        <v>840</v>
      </c>
      <c r="B402" s="0" t="s">
        <v>554</v>
      </c>
      <c r="C402" s="34" t="s">
        <v>52</v>
      </c>
      <c r="D402" s="34" t="s">
        <v>63</v>
      </c>
      <c r="E402" s="34" t="s">
        <v>57</v>
      </c>
      <c r="F402" s="33" t="n">
        <v>208475</v>
      </c>
      <c r="G402" s="34" t="s">
        <v>49</v>
      </c>
      <c r="H402" s="34" t="s">
        <v>48</v>
      </c>
      <c r="I402" s="33" t="n">
        <v>4200</v>
      </c>
      <c r="J402" s="34" t="s">
        <v>817</v>
      </c>
      <c r="K402" s="34" t="s">
        <v>60</v>
      </c>
      <c r="L402" s="34" t="s">
        <v>116</v>
      </c>
      <c r="M402" s="34" t="s">
        <v>117</v>
      </c>
      <c r="T402" s="38"/>
    </row>
    <row r="403" customFormat="false" ht="15" hidden="false" customHeight="false" outlineLevel="0" collapsed="false">
      <c r="A403" s="0" t="s">
        <v>841</v>
      </c>
      <c r="B403" s="0" t="s">
        <v>842</v>
      </c>
      <c r="C403" s="34" t="s">
        <v>46</v>
      </c>
      <c r="D403" s="34" t="s">
        <v>59</v>
      </c>
      <c r="E403" s="34" t="s">
        <v>61</v>
      </c>
      <c r="F403" s="33" t="n">
        <v>216538</v>
      </c>
      <c r="G403" s="34" t="s">
        <v>43</v>
      </c>
      <c r="H403" s="34" t="s">
        <v>42</v>
      </c>
      <c r="I403" s="33" t="n">
        <v>1500</v>
      </c>
      <c r="J403" s="34" t="s">
        <v>817</v>
      </c>
      <c r="K403" s="34" t="s">
        <v>60</v>
      </c>
      <c r="L403" s="34" t="s">
        <v>81</v>
      </c>
      <c r="M403" s="34" t="s">
        <v>82</v>
      </c>
      <c r="T403" s="38"/>
    </row>
    <row r="404" customFormat="false" ht="15" hidden="false" customHeight="false" outlineLevel="0" collapsed="false">
      <c r="A404" s="0" t="s">
        <v>843</v>
      </c>
      <c r="B404" s="0" t="s">
        <v>844</v>
      </c>
      <c r="C404" s="34" t="s">
        <v>52</v>
      </c>
      <c r="D404" s="34" t="s">
        <v>63</v>
      </c>
      <c r="E404" s="34" t="s">
        <v>57</v>
      </c>
      <c r="F404" s="33" t="n">
        <v>208433</v>
      </c>
      <c r="G404" s="34" t="s">
        <v>49</v>
      </c>
      <c r="H404" s="34" t="s">
        <v>48</v>
      </c>
      <c r="I404" s="33" t="n">
        <v>4200</v>
      </c>
      <c r="J404" s="34" t="s">
        <v>817</v>
      </c>
      <c r="K404" s="34" t="s">
        <v>60</v>
      </c>
      <c r="L404" s="34" t="s">
        <v>116</v>
      </c>
      <c r="M404" s="34" t="s">
        <v>117</v>
      </c>
      <c r="T404" s="38"/>
    </row>
    <row r="405" customFormat="false" ht="15" hidden="false" customHeight="false" outlineLevel="0" collapsed="false">
      <c r="A405" s="0" t="s">
        <v>845</v>
      </c>
      <c r="B405" s="0" t="s">
        <v>332</v>
      </c>
      <c r="C405" s="34" t="s">
        <v>46</v>
      </c>
      <c r="D405" s="34" t="s">
        <v>63</v>
      </c>
      <c r="E405" s="34" t="s">
        <v>45</v>
      </c>
      <c r="F405" s="33" t="n">
        <v>207818</v>
      </c>
      <c r="G405" s="34" t="s">
        <v>43</v>
      </c>
      <c r="H405" s="34" t="s">
        <v>42</v>
      </c>
      <c r="I405" s="33" t="n">
        <v>1500</v>
      </c>
      <c r="J405" s="34" t="s">
        <v>817</v>
      </c>
      <c r="K405" s="34" t="s">
        <v>60</v>
      </c>
      <c r="L405" s="34" t="s">
        <v>116</v>
      </c>
      <c r="M405" s="34" t="s">
        <v>117</v>
      </c>
      <c r="T405" s="38"/>
    </row>
    <row r="406" customFormat="false" ht="15" hidden="false" customHeight="false" outlineLevel="0" collapsed="false">
      <c r="A406" s="0" t="s">
        <v>846</v>
      </c>
      <c r="B406" s="0" t="s">
        <v>847</v>
      </c>
      <c r="C406" s="34" t="s">
        <v>52</v>
      </c>
      <c r="D406" s="34" t="s">
        <v>62</v>
      </c>
      <c r="E406" s="34" t="s">
        <v>51</v>
      </c>
      <c r="F406" s="33" t="n">
        <v>207664</v>
      </c>
      <c r="G406" s="34" t="s">
        <v>43</v>
      </c>
      <c r="H406" s="34" t="s">
        <v>48</v>
      </c>
      <c r="I406" s="33" t="n">
        <v>2800</v>
      </c>
      <c r="J406" s="34" t="s">
        <v>817</v>
      </c>
      <c r="K406" s="34" t="s">
        <v>60</v>
      </c>
      <c r="L406" s="34" t="s">
        <v>96</v>
      </c>
      <c r="M406" s="34" t="s">
        <v>97</v>
      </c>
      <c r="T406" s="38"/>
    </row>
    <row r="407" customFormat="false" ht="15" hidden="false" customHeight="false" outlineLevel="0" collapsed="false">
      <c r="A407" s="0" t="s">
        <v>848</v>
      </c>
      <c r="B407" s="0" t="s">
        <v>849</v>
      </c>
      <c r="C407" s="34" t="s">
        <v>52</v>
      </c>
      <c r="D407" s="34" t="s">
        <v>63</v>
      </c>
      <c r="E407" s="34" t="s">
        <v>61</v>
      </c>
      <c r="F407" s="33" t="n">
        <v>206290</v>
      </c>
      <c r="G407" s="34" t="s">
        <v>49</v>
      </c>
      <c r="H407" s="34" t="s">
        <v>54</v>
      </c>
      <c r="I407" s="33" t="n">
        <v>6750</v>
      </c>
      <c r="J407" s="34" t="s">
        <v>817</v>
      </c>
      <c r="K407" s="34" t="s">
        <v>60</v>
      </c>
      <c r="L407" s="34" t="s">
        <v>116</v>
      </c>
      <c r="M407" s="34" t="s">
        <v>117</v>
      </c>
      <c r="T407" s="38"/>
    </row>
    <row r="408" customFormat="false" ht="15" hidden="false" customHeight="false" outlineLevel="0" collapsed="false">
      <c r="A408" s="0" t="s">
        <v>850</v>
      </c>
      <c r="B408" s="0" t="s">
        <v>851</v>
      </c>
      <c r="C408" s="34" t="s">
        <v>52</v>
      </c>
      <c r="D408" s="34" t="s">
        <v>63</v>
      </c>
      <c r="E408" s="34" t="s">
        <v>61</v>
      </c>
      <c r="F408" s="33" t="n">
        <v>205939</v>
      </c>
      <c r="G408" s="34" t="s">
        <v>43</v>
      </c>
      <c r="H408" s="34" t="s">
        <v>42</v>
      </c>
      <c r="I408" s="33" t="n">
        <v>1500</v>
      </c>
      <c r="J408" s="34" t="s">
        <v>817</v>
      </c>
      <c r="K408" s="34" t="s">
        <v>60</v>
      </c>
      <c r="L408" s="34" t="s">
        <v>116</v>
      </c>
      <c r="M408" s="34" t="s">
        <v>117</v>
      </c>
      <c r="T408" s="38"/>
    </row>
    <row r="409" customFormat="false" ht="15" hidden="false" customHeight="false" outlineLevel="0" collapsed="false">
      <c r="A409" s="0" t="s">
        <v>852</v>
      </c>
      <c r="B409" s="0" t="s">
        <v>853</v>
      </c>
      <c r="C409" s="34" t="s">
        <v>52</v>
      </c>
      <c r="D409" s="34" t="s">
        <v>59</v>
      </c>
      <c r="E409" s="34" t="s">
        <v>61</v>
      </c>
      <c r="F409" s="33" t="n">
        <v>205736</v>
      </c>
      <c r="G409" s="34" t="s">
        <v>43</v>
      </c>
      <c r="H409" s="34" t="s">
        <v>48</v>
      </c>
      <c r="I409" s="33" t="n">
        <v>2800</v>
      </c>
      <c r="J409" s="34" t="s">
        <v>817</v>
      </c>
      <c r="K409" s="34" t="s">
        <v>60</v>
      </c>
      <c r="L409" s="34" t="s">
        <v>81</v>
      </c>
      <c r="M409" s="34" t="s">
        <v>82</v>
      </c>
      <c r="T409" s="38"/>
    </row>
    <row r="410" customFormat="false" ht="15" hidden="false" customHeight="false" outlineLevel="0" collapsed="false">
      <c r="A410" s="0" t="s">
        <v>854</v>
      </c>
      <c r="B410" s="0" t="s">
        <v>855</v>
      </c>
      <c r="C410" s="34" t="s">
        <v>52</v>
      </c>
      <c r="D410" s="34" t="s">
        <v>47</v>
      </c>
      <c r="E410" s="34" t="s">
        <v>57</v>
      </c>
      <c r="F410" s="33" t="n">
        <v>204677</v>
      </c>
      <c r="G410" s="34" t="s">
        <v>55</v>
      </c>
      <c r="H410" s="34" t="s">
        <v>54</v>
      </c>
      <c r="I410" s="33" t="n">
        <v>9000</v>
      </c>
      <c r="J410" s="34" t="s">
        <v>817</v>
      </c>
      <c r="K410" s="34" t="s">
        <v>60</v>
      </c>
      <c r="L410" s="34" t="s">
        <v>102</v>
      </c>
      <c r="M410" s="34" t="s">
        <v>103</v>
      </c>
      <c r="T410" s="38"/>
    </row>
    <row r="411" customFormat="false" ht="15" hidden="false" customHeight="false" outlineLevel="0" collapsed="false">
      <c r="A411" s="0" t="s">
        <v>856</v>
      </c>
      <c r="B411" s="0" t="s">
        <v>857</v>
      </c>
      <c r="C411" s="34" t="s">
        <v>52</v>
      </c>
      <c r="D411" s="34" t="s">
        <v>47</v>
      </c>
      <c r="E411" s="34" t="s">
        <v>57</v>
      </c>
      <c r="F411" s="33" t="n">
        <v>204660</v>
      </c>
      <c r="G411" s="34" t="s">
        <v>43</v>
      </c>
      <c r="H411" s="34" t="s">
        <v>48</v>
      </c>
      <c r="I411" s="33" t="n">
        <v>2800</v>
      </c>
      <c r="J411" s="34" t="s">
        <v>817</v>
      </c>
      <c r="K411" s="34" t="s">
        <v>60</v>
      </c>
      <c r="L411" s="34" t="s">
        <v>102</v>
      </c>
      <c r="M411" s="34" t="s">
        <v>103</v>
      </c>
      <c r="T411" s="38"/>
    </row>
    <row r="412" customFormat="false" ht="15" hidden="false" customHeight="false" outlineLevel="0" collapsed="false">
      <c r="A412" s="0" t="s">
        <v>858</v>
      </c>
      <c r="B412" s="0" t="s">
        <v>859</v>
      </c>
      <c r="C412" s="34" t="s">
        <v>46</v>
      </c>
      <c r="D412" s="34" t="s">
        <v>59</v>
      </c>
      <c r="E412" s="34" t="s">
        <v>61</v>
      </c>
      <c r="F412" s="33" t="n">
        <v>203393</v>
      </c>
      <c r="G412" s="34" t="s">
        <v>49</v>
      </c>
      <c r="H412" s="34" t="s">
        <v>48</v>
      </c>
      <c r="I412" s="33" t="n">
        <v>4200</v>
      </c>
      <c r="J412" s="34" t="s">
        <v>817</v>
      </c>
      <c r="K412" s="34" t="s">
        <v>60</v>
      </c>
      <c r="L412" s="34" t="s">
        <v>81</v>
      </c>
      <c r="M412" s="34" t="s">
        <v>82</v>
      </c>
      <c r="T412" s="38"/>
    </row>
    <row r="413" customFormat="false" ht="15" hidden="false" customHeight="false" outlineLevel="0" collapsed="false">
      <c r="A413" s="0" t="s">
        <v>860</v>
      </c>
      <c r="B413" s="0" t="s">
        <v>861</v>
      </c>
      <c r="C413" s="34" t="s">
        <v>46</v>
      </c>
      <c r="D413" s="34" t="s">
        <v>53</v>
      </c>
      <c r="E413" s="34" t="s">
        <v>57</v>
      </c>
      <c r="F413" s="33" t="n">
        <v>202859</v>
      </c>
      <c r="G413" s="34" t="s">
        <v>43</v>
      </c>
      <c r="H413" s="34" t="s">
        <v>42</v>
      </c>
      <c r="I413" s="33" t="n">
        <v>1500</v>
      </c>
      <c r="J413" s="34" t="s">
        <v>817</v>
      </c>
      <c r="K413" s="34" t="s">
        <v>60</v>
      </c>
      <c r="L413" s="34" t="s">
        <v>110</v>
      </c>
      <c r="M413" s="34" t="s">
        <v>111</v>
      </c>
      <c r="T413" s="38"/>
    </row>
    <row r="414" customFormat="false" ht="15" hidden="false" customHeight="false" outlineLevel="0" collapsed="false">
      <c r="A414" s="0" t="s">
        <v>862</v>
      </c>
      <c r="B414" s="0" t="s">
        <v>863</v>
      </c>
      <c r="C414" s="34" t="s">
        <v>46</v>
      </c>
      <c r="D414" s="34" t="s">
        <v>47</v>
      </c>
      <c r="E414" s="34" t="s">
        <v>57</v>
      </c>
      <c r="F414" s="33" t="n">
        <v>201573</v>
      </c>
      <c r="G414" s="34" t="s">
        <v>55</v>
      </c>
      <c r="H414" s="34" t="s">
        <v>54</v>
      </c>
      <c r="I414" s="33" t="n">
        <v>9000</v>
      </c>
      <c r="J414" s="34" t="s">
        <v>817</v>
      </c>
      <c r="K414" s="34" t="s">
        <v>60</v>
      </c>
      <c r="L414" s="34" t="s">
        <v>102</v>
      </c>
      <c r="M414" s="34" t="s">
        <v>103</v>
      </c>
      <c r="T414" s="38"/>
    </row>
    <row r="415" customFormat="false" ht="15" hidden="false" customHeight="false" outlineLevel="0" collapsed="false">
      <c r="A415" s="0" t="s">
        <v>864</v>
      </c>
      <c r="B415" s="0" t="s">
        <v>863</v>
      </c>
      <c r="C415" s="34" t="s">
        <v>52</v>
      </c>
      <c r="D415" s="34" t="s">
        <v>53</v>
      </c>
      <c r="E415" s="34" t="s">
        <v>45</v>
      </c>
      <c r="F415" s="33" t="n">
        <v>201153</v>
      </c>
      <c r="G415" s="34" t="s">
        <v>43</v>
      </c>
      <c r="H415" s="34" t="s">
        <v>48</v>
      </c>
      <c r="I415" s="33" t="n">
        <v>2800</v>
      </c>
      <c r="J415" s="34" t="s">
        <v>817</v>
      </c>
      <c r="K415" s="34" t="s">
        <v>60</v>
      </c>
      <c r="L415" s="34" t="s">
        <v>110</v>
      </c>
      <c r="M415" s="34" t="s">
        <v>111</v>
      </c>
      <c r="T415" s="38"/>
    </row>
    <row r="416" customFormat="false" ht="15" hidden="false" customHeight="false" outlineLevel="0" collapsed="false">
      <c r="A416" s="0" t="s">
        <v>865</v>
      </c>
      <c r="B416" s="0" t="s">
        <v>701</v>
      </c>
      <c r="C416" s="34" t="s">
        <v>52</v>
      </c>
      <c r="D416" s="34" t="s">
        <v>53</v>
      </c>
      <c r="E416" s="34" t="s">
        <v>61</v>
      </c>
      <c r="F416" s="33" t="n">
        <v>201137</v>
      </c>
      <c r="G416" s="34" t="s">
        <v>49</v>
      </c>
      <c r="H416" s="34" t="s">
        <v>48</v>
      </c>
      <c r="I416" s="33" t="n">
        <v>4200</v>
      </c>
      <c r="J416" s="34" t="s">
        <v>817</v>
      </c>
      <c r="K416" s="34" t="s">
        <v>60</v>
      </c>
      <c r="L416" s="34" t="s">
        <v>110</v>
      </c>
      <c r="M416" s="34" t="s">
        <v>111</v>
      </c>
      <c r="T416" s="38"/>
    </row>
    <row r="417" customFormat="false" ht="15" hidden="false" customHeight="false" outlineLevel="0" collapsed="false">
      <c r="A417" s="0" t="s">
        <v>866</v>
      </c>
      <c r="B417" s="0" t="s">
        <v>867</v>
      </c>
      <c r="C417" s="34" t="s">
        <v>46</v>
      </c>
      <c r="D417" s="34" t="s">
        <v>53</v>
      </c>
      <c r="E417" s="34" t="s">
        <v>61</v>
      </c>
      <c r="F417" s="33" t="n">
        <v>200723</v>
      </c>
      <c r="G417" s="34" t="s">
        <v>49</v>
      </c>
      <c r="H417" s="34" t="s">
        <v>48</v>
      </c>
      <c r="I417" s="33" t="n">
        <v>4200</v>
      </c>
      <c r="J417" s="34" t="s">
        <v>817</v>
      </c>
      <c r="K417" s="34" t="s">
        <v>60</v>
      </c>
      <c r="L417" s="34" t="s">
        <v>110</v>
      </c>
      <c r="M417" s="34" t="s">
        <v>111</v>
      </c>
      <c r="T417" s="38"/>
    </row>
    <row r="418" customFormat="false" ht="15" hidden="false" customHeight="false" outlineLevel="0" collapsed="false">
      <c r="A418" s="0" t="s">
        <v>868</v>
      </c>
      <c r="B418" s="0" t="s">
        <v>419</v>
      </c>
      <c r="C418" s="34" t="s">
        <v>46</v>
      </c>
      <c r="D418" s="34" t="s">
        <v>59</v>
      </c>
      <c r="E418" s="34" t="s">
        <v>45</v>
      </c>
      <c r="F418" s="33" t="n">
        <v>200063</v>
      </c>
      <c r="G418" s="34" t="s">
        <v>55</v>
      </c>
      <c r="H418" s="34" t="s">
        <v>54</v>
      </c>
      <c r="I418" s="33" t="n">
        <v>9000</v>
      </c>
      <c r="J418" s="34" t="s">
        <v>817</v>
      </c>
      <c r="K418" s="34" t="s">
        <v>60</v>
      </c>
      <c r="L418" s="34" t="s">
        <v>81</v>
      </c>
      <c r="M418" s="34" t="s">
        <v>82</v>
      </c>
      <c r="T418" s="38"/>
    </row>
    <row r="419" customFormat="false" ht="15" hidden="false" customHeight="false" outlineLevel="0" collapsed="false">
      <c r="A419" s="0" t="s">
        <v>869</v>
      </c>
      <c r="B419" s="0" t="s">
        <v>870</v>
      </c>
      <c r="C419" s="34" t="s">
        <v>46</v>
      </c>
      <c r="D419" s="34" t="s">
        <v>47</v>
      </c>
      <c r="E419" s="34" t="s">
        <v>61</v>
      </c>
      <c r="F419" s="33" t="n">
        <v>208256</v>
      </c>
      <c r="G419" s="34" t="s">
        <v>43</v>
      </c>
      <c r="H419" s="34" t="s">
        <v>48</v>
      </c>
      <c r="I419" s="33" t="n">
        <v>2800</v>
      </c>
      <c r="J419" s="34" t="s">
        <v>817</v>
      </c>
      <c r="K419" s="34" t="s">
        <v>60</v>
      </c>
      <c r="L419" s="34" t="s">
        <v>102</v>
      </c>
      <c r="M419" s="34" t="s">
        <v>103</v>
      </c>
      <c r="T419" s="38"/>
    </row>
    <row r="420" customFormat="false" ht="15" hidden="false" customHeight="false" outlineLevel="0" collapsed="false">
      <c r="A420" s="0" t="s">
        <v>871</v>
      </c>
      <c r="B420" s="0" t="s">
        <v>872</v>
      </c>
      <c r="C420" s="34" t="s">
        <v>46</v>
      </c>
      <c r="D420" s="34" t="s">
        <v>59</v>
      </c>
      <c r="E420" s="34" t="s">
        <v>45</v>
      </c>
      <c r="F420" s="33" t="n">
        <v>216714</v>
      </c>
      <c r="G420" s="34" t="s">
        <v>43</v>
      </c>
      <c r="H420" s="34" t="s">
        <v>48</v>
      </c>
      <c r="I420" s="33" t="n">
        <v>2800</v>
      </c>
      <c r="J420" s="34" t="s">
        <v>817</v>
      </c>
      <c r="K420" s="34" t="s">
        <v>60</v>
      </c>
      <c r="L420" s="34" t="s">
        <v>81</v>
      </c>
      <c r="M420" s="34" t="s">
        <v>82</v>
      </c>
      <c r="T420" s="38"/>
    </row>
    <row r="421" customFormat="false" ht="15" hidden="false" customHeight="false" outlineLevel="0" collapsed="false">
      <c r="A421" s="0" t="s">
        <v>873</v>
      </c>
      <c r="B421" s="0" t="s">
        <v>874</v>
      </c>
      <c r="C421" s="34" t="s">
        <v>52</v>
      </c>
      <c r="D421" s="34" t="s">
        <v>63</v>
      </c>
      <c r="E421" s="34" t="s">
        <v>61</v>
      </c>
      <c r="F421" s="33" t="n">
        <v>205865</v>
      </c>
      <c r="G421" s="34" t="s">
        <v>49</v>
      </c>
      <c r="H421" s="34" t="s">
        <v>54</v>
      </c>
      <c r="I421" s="33" t="n">
        <v>6750</v>
      </c>
      <c r="J421" s="34" t="s">
        <v>817</v>
      </c>
      <c r="K421" s="34" t="s">
        <v>60</v>
      </c>
      <c r="L421" s="34" t="s">
        <v>116</v>
      </c>
      <c r="M421" s="34" t="s">
        <v>117</v>
      </c>
      <c r="T421" s="38"/>
    </row>
    <row r="422" customFormat="false" ht="15" hidden="false" customHeight="false" outlineLevel="0" collapsed="false">
      <c r="A422" s="0" t="s">
        <v>875</v>
      </c>
      <c r="B422" s="0" t="s">
        <v>802</v>
      </c>
      <c r="C422" s="34" t="s">
        <v>52</v>
      </c>
      <c r="D422" s="34" t="s">
        <v>63</v>
      </c>
      <c r="E422" s="34" t="s">
        <v>57</v>
      </c>
      <c r="F422" s="33" t="n">
        <v>217944</v>
      </c>
      <c r="G422" s="34" t="s">
        <v>49</v>
      </c>
      <c r="H422" s="34" t="s">
        <v>48</v>
      </c>
      <c r="I422" s="33" t="n">
        <v>4200</v>
      </c>
      <c r="J422" s="34" t="s">
        <v>817</v>
      </c>
      <c r="K422" s="34" t="s">
        <v>60</v>
      </c>
      <c r="L422" s="34" t="s">
        <v>116</v>
      </c>
      <c r="M422" s="34" t="s">
        <v>117</v>
      </c>
      <c r="T422" s="38"/>
    </row>
    <row r="423" customFormat="false" ht="15" hidden="false" customHeight="false" outlineLevel="0" collapsed="false">
      <c r="A423" s="0" t="s">
        <v>876</v>
      </c>
      <c r="B423" s="0" t="s">
        <v>877</v>
      </c>
      <c r="C423" s="34" t="s">
        <v>52</v>
      </c>
      <c r="D423" s="34" t="s">
        <v>59</v>
      </c>
      <c r="E423" s="34" t="s">
        <v>51</v>
      </c>
      <c r="F423" s="33" t="n">
        <v>217318</v>
      </c>
      <c r="G423" s="34" t="s">
        <v>49</v>
      </c>
      <c r="H423" s="34" t="s">
        <v>48</v>
      </c>
      <c r="I423" s="33" t="n">
        <v>4200</v>
      </c>
      <c r="J423" s="34" t="s">
        <v>817</v>
      </c>
      <c r="K423" s="34" t="s">
        <v>60</v>
      </c>
      <c r="L423" s="34" t="s">
        <v>81</v>
      </c>
      <c r="M423" s="34" t="s">
        <v>82</v>
      </c>
      <c r="T423" s="38"/>
    </row>
    <row r="424" customFormat="false" ht="15" hidden="false" customHeight="false" outlineLevel="0" collapsed="false">
      <c r="A424" s="0" t="s">
        <v>878</v>
      </c>
      <c r="B424" s="0" t="s">
        <v>879</v>
      </c>
      <c r="C424" s="34" t="s">
        <v>46</v>
      </c>
      <c r="D424" s="34" t="s">
        <v>47</v>
      </c>
      <c r="E424" s="34" t="s">
        <v>57</v>
      </c>
      <c r="F424" s="33" t="n">
        <v>233195</v>
      </c>
      <c r="G424" s="34" t="s">
        <v>55</v>
      </c>
      <c r="H424" s="34" t="s">
        <v>54</v>
      </c>
      <c r="I424" s="33" t="n">
        <v>9000</v>
      </c>
      <c r="J424" s="34" t="s">
        <v>817</v>
      </c>
      <c r="K424" s="34" t="s">
        <v>60</v>
      </c>
      <c r="L424" s="34" t="s">
        <v>102</v>
      </c>
      <c r="M424" s="34" t="s">
        <v>103</v>
      </c>
      <c r="T424" s="38"/>
    </row>
    <row r="425" customFormat="false" ht="15" hidden="false" customHeight="false" outlineLevel="0" collapsed="false">
      <c r="A425" s="0" t="s">
        <v>880</v>
      </c>
      <c r="B425" s="0" t="s">
        <v>881</v>
      </c>
      <c r="C425" s="34" t="s">
        <v>46</v>
      </c>
      <c r="D425" s="34" t="s">
        <v>53</v>
      </c>
      <c r="E425" s="34" t="s">
        <v>61</v>
      </c>
      <c r="F425" s="33" t="n">
        <v>232995</v>
      </c>
      <c r="G425" s="34" t="s">
        <v>43</v>
      </c>
      <c r="H425" s="34" t="s">
        <v>48</v>
      </c>
      <c r="I425" s="33" t="n">
        <v>2800</v>
      </c>
      <c r="J425" s="34" t="s">
        <v>817</v>
      </c>
      <c r="K425" s="34" t="s">
        <v>60</v>
      </c>
      <c r="L425" s="34" t="s">
        <v>110</v>
      </c>
      <c r="M425" s="34" t="s">
        <v>111</v>
      </c>
      <c r="T425" s="38"/>
    </row>
    <row r="426" customFormat="false" ht="15" hidden="false" customHeight="false" outlineLevel="0" collapsed="false">
      <c r="A426" s="0" t="s">
        <v>882</v>
      </c>
      <c r="B426" s="0" t="s">
        <v>883</v>
      </c>
      <c r="C426" s="34" t="s">
        <v>52</v>
      </c>
      <c r="D426" s="34" t="s">
        <v>53</v>
      </c>
      <c r="E426" s="34" t="s">
        <v>57</v>
      </c>
      <c r="F426" s="33" t="n">
        <v>231719</v>
      </c>
      <c r="G426" s="34" t="s">
        <v>55</v>
      </c>
      <c r="H426" s="34" t="s">
        <v>54</v>
      </c>
      <c r="I426" s="33" t="n">
        <v>9000</v>
      </c>
      <c r="J426" s="34" t="s">
        <v>817</v>
      </c>
      <c r="K426" s="34" t="s">
        <v>60</v>
      </c>
      <c r="L426" s="34" t="s">
        <v>110</v>
      </c>
      <c r="M426" s="34" t="s">
        <v>111</v>
      </c>
      <c r="T426" s="38"/>
    </row>
    <row r="427" customFormat="false" ht="15" hidden="false" customHeight="false" outlineLevel="0" collapsed="false">
      <c r="A427" s="0" t="s">
        <v>884</v>
      </c>
      <c r="B427" s="0" t="s">
        <v>804</v>
      </c>
      <c r="C427" s="34" t="s">
        <v>52</v>
      </c>
      <c r="D427" s="34" t="s">
        <v>62</v>
      </c>
      <c r="E427" s="34" t="s">
        <v>61</v>
      </c>
      <c r="F427" s="33" t="n">
        <v>231891</v>
      </c>
      <c r="G427" s="34" t="s">
        <v>55</v>
      </c>
      <c r="H427" s="34" t="s">
        <v>54</v>
      </c>
      <c r="I427" s="33" t="n">
        <v>9000</v>
      </c>
      <c r="J427" s="34" t="s">
        <v>817</v>
      </c>
      <c r="K427" s="34" t="s">
        <v>60</v>
      </c>
      <c r="L427" s="34" t="s">
        <v>96</v>
      </c>
      <c r="M427" s="34" t="s">
        <v>97</v>
      </c>
      <c r="T427" s="38"/>
    </row>
    <row r="428" customFormat="false" ht="15" hidden="false" customHeight="false" outlineLevel="0" collapsed="false">
      <c r="A428" s="0" t="s">
        <v>885</v>
      </c>
      <c r="B428" s="0" t="s">
        <v>886</v>
      </c>
      <c r="C428" s="34" t="s">
        <v>52</v>
      </c>
      <c r="D428" s="34" t="s">
        <v>62</v>
      </c>
      <c r="E428" s="34" t="s">
        <v>51</v>
      </c>
      <c r="F428" s="33" t="n">
        <v>230356</v>
      </c>
      <c r="G428" s="34" t="s">
        <v>55</v>
      </c>
      <c r="H428" s="34" t="s">
        <v>54</v>
      </c>
      <c r="I428" s="33" t="n">
        <v>9000</v>
      </c>
      <c r="J428" s="34" t="s">
        <v>817</v>
      </c>
      <c r="K428" s="34" t="s">
        <v>60</v>
      </c>
      <c r="L428" s="34" t="s">
        <v>96</v>
      </c>
      <c r="M428" s="34" t="s">
        <v>97</v>
      </c>
      <c r="T428" s="38"/>
    </row>
    <row r="429" customFormat="false" ht="15" hidden="false" customHeight="false" outlineLevel="0" collapsed="false">
      <c r="A429" s="0" t="s">
        <v>887</v>
      </c>
      <c r="B429" s="0" t="s">
        <v>888</v>
      </c>
      <c r="C429" s="34" t="s">
        <v>46</v>
      </c>
      <c r="D429" s="34" t="s">
        <v>53</v>
      </c>
      <c r="E429" s="34" t="s">
        <v>45</v>
      </c>
      <c r="F429" s="33" t="n">
        <v>230246</v>
      </c>
      <c r="G429" s="34" t="s">
        <v>55</v>
      </c>
      <c r="H429" s="34" t="s">
        <v>54</v>
      </c>
      <c r="I429" s="33" t="n">
        <v>9000</v>
      </c>
      <c r="J429" s="34" t="s">
        <v>817</v>
      </c>
      <c r="K429" s="34" t="s">
        <v>60</v>
      </c>
      <c r="L429" s="34" t="s">
        <v>110</v>
      </c>
      <c r="M429" s="34" t="s">
        <v>111</v>
      </c>
      <c r="T429" s="38"/>
    </row>
    <row r="430" customFormat="false" ht="15" hidden="false" customHeight="false" outlineLevel="0" collapsed="false">
      <c r="A430" s="0" t="s">
        <v>889</v>
      </c>
      <c r="B430" s="0" t="s">
        <v>155</v>
      </c>
      <c r="C430" s="34" t="s">
        <v>46</v>
      </c>
      <c r="D430" s="34" t="s">
        <v>63</v>
      </c>
      <c r="E430" s="34" t="s">
        <v>57</v>
      </c>
      <c r="F430" s="33" t="n">
        <v>230037</v>
      </c>
      <c r="G430" s="34" t="s">
        <v>43</v>
      </c>
      <c r="H430" s="34" t="s">
        <v>42</v>
      </c>
      <c r="I430" s="33" t="n">
        <v>1500</v>
      </c>
      <c r="J430" s="34" t="s">
        <v>817</v>
      </c>
      <c r="K430" s="34" t="s">
        <v>60</v>
      </c>
      <c r="L430" s="34" t="s">
        <v>116</v>
      </c>
      <c r="M430" s="34" t="s">
        <v>117</v>
      </c>
      <c r="T430" s="38"/>
    </row>
    <row r="431" customFormat="false" ht="15" hidden="false" customHeight="false" outlineLevel="0" collapsed="false">
      <c r="A431" s="0" t="s">
        <v>890</v>
      </c>
      <c r="B431" s="0" t="s">
        <v>891</v>
      </c>
      <c r="C431" s="34" t="s">
        <v>52</v>
      </c>
      <c r="D431" s="34" t="s">
        <v>47</v>
      </c>
      <c r="E431" s="34" t="s">
        <v>61</v>
      </c>
      <c r="F431" s="33" t="n">
        <v>229658</v>
      </c>
      <c r="G431" s="34" t="s">
        <v>49</v>
      </c>
      <c r="H431" s="34" t="s">
        <v>54</v>
      </c>
      <c r="I431" s="33" t="n">
        <v>6750</v>
      </c>
      <c r="J431" s="34" t="s">
        <v>817</v>
      </c>
      <c r="K431" s="34" t="s">
        <v>60</v>
      </c>
      <c r="L431" s="34" t="s">
        <v>102</v>
      </c>
      <c r="M431" s="34" t="s">
        <v>103</v>
      </c>
      <c r="T431" s="38"/>
    </row>
    <row r="432" customFormat="false" ht="15" hidden="false" customHeight="false" outlineLevel="0" collapsed="false">
      <c r="A432" s="0" t="s">
        <v>892</v>
      </c>
      <c r="B432" s="0" t="s">
        <v>893</v>
      </c>
      <c r="C432" s="34" t="s">
        <v>52</v>
      </c>
      <c r="D432" s="34" t="s">
        <v>47</v>
      </c>
      <c r="E432" s="34" t="s">
        <v>51</v>
      </c>
      <c r="F432" s="33" t="n">
        <v>229027</v>
      </c>
      <c r="G432" s="34" t="s">
        <v>43</v>
      </c>
      <c r="H432" s="34" t="s">
        <v>48</v>
      </c>
      <c r="I432" s="33" t="n">
        <v>2800</v>
      </c>
      <c r="J432" s="34" t="s">
        <v>817</v>
      </c>
      <c r="K432" s="34" t="s">
        <v>60</v>
      </c>
      <c r="L432" s="34" t="s">
        <v>102</v>
      </c>
      <c r="M432" s="34" t="s">
        <v>103</v>
      </c>
      <c r="T432" s="38"/>
    </row>
    <row r="433" customFormat="false" ht="15" hidden="false" customHeight="false" outlineLevel="0" collapsed="false">
      <c r="A433" s="0" t="s">
        <v>894</v>
      </c>
      <c r="B433" s="0" t="s">
        <v>895</v>
      </c>
      <c r="C433" s="34" t="s">
        <v>46</v>
      </c>
      <c r="D433" s="34" t="s">
        <v>63</v>
      </c>
      <c r="E433" s="34" t="s">
        <v>61</v>
      </c>
      <c r="F433" s="33" t="n">
        <v>228135</v>
      </c>
      <c r="G433" s="34" t="s">
        <v>49</v>
      </c>
      <c r="H433" s="34" t="s">
        <v>48</v>
      </c>
      <c r="I433" s="33" t="n">
        <v>4200</v>
      </c>
      <c r="J433" s="34" t="s">
        <v>817</v>
      </c>
      <c r="K433" s="34" t="s">
        <v>60</v>
      </c>
      <c r="L433" s="34" t="s">
        <v>116</v>
      </c>
      <c r="M433" s="34" t="s">
        <v>117</v>
      </c>
      <c r="T433" s="38"/>
    </row>
    <row r="434" customFormat="false" ht="15" hidden="false" customHeight="false" outlineLevel="0" collapsed="false">
      <c r="A434" s="0" t="s">
        <v>896</v>
      </c>
      <c r="B434" s="0" t="s">
        <v>897</v>
      </c>
      <c r="C434" s="34" t="s">
        <v>52</v>
      </c>
      <c r="D434" s="34" t="s">
        <v>63</v>
      </c>
      <c r="E434" s="34" t="s">
        <v>57</v>
      </c>
      <c r="F434" s="33" t="n">
        <v>227991</v>
      </c>
      <c r="G434" s="34" t="s">
        <v>49</v>
      </c>
      <c r="H434" s="34" t="s">
        <v>54</v>
      </c>
      <c r="I434" s="33" t="n">
        <v>6750</v>
      </c>
      <c r="J434" s="34" t="s">
        <v>817</v>
      </c>
      <c r="K434" s="34" t="s">
        <v>60</v>
      </c>
      <c r="L434" s="34" t="s">
        <v>116</v>
      </c>
      <c r="M434" s="34" t="s">
        <v>117</v>
      </c>
      <c r="T434" s="38"/>
    </row>
    <row r="435" customFormat="false" ht="15" hidden="false" customHeight="false" outlineLevel="0" collapsed="false">
      <c r="A435" s="0" t="s">
        <v>898</v>
      </c>
      <c r="B435" s="0" t="s">
        <v>202</v>
      </c>
      <c r="C435" s="34" t="s">
        <v>52</v>
      </c>
      <c r="D435" s="34" t="s">
        <v>59</v>
      </c>
      <c r="E435" s="34" t="s">
        <v>45</v>
      </c>
      <c r="F435" s="33" t="n">
        <v>227850</v>
      </c>
      <c r="G435" s="34" t="s">
        <v>43</v>
      </c>
      <c r="H435" s="34" t="s">
        <v>48</v>
      </c>
      <c r="I435" s="33" t="n">
        <v>2800</v>
      </c>
      <c r="J435" s="34" t="s">
        <v>817</v>
      </c>
      <c r="K435" s="34" t="s">
        <v>60</v>
      </c>
      <c r="L435" s="34" t="s">
        <v>81</v>
      </c>
      <c r="M435" s="34" t="s">
        <v>82</v>
      </c>
      <c r="T435" s="38"/>
    </row>
    <row r="436" customFormat="false" ht="15" hidden="false" customHeight="false" outlineLevel="0" collapsed="false">
      <c r="A436" s="0" t="s">
        <v>899</v>
      </c>
      <c r="B436" s="0" t="s">
        <v>900</v>
      </c>
      <c r="C436" s="34" t="s">
        <v>52</v>
      </c>
      <c r="D436" s="34" t="s">
        <v>53</v>
      </c>
      <c r="E436" s="34" t="s">
        <v>51</v>
      </c>
      <c r="F436" s="33" t="n">
        <v>227693</v>
      </c>
      <c r="G436" s="34" t="s">
        <v>43</v>
      </c>
      <c r="H436" s="34" t="s">
        <v>48</v>
      </c>
      <c r="I436" s="33" t="n">
        <v>2800</v>
      </c>
      <c r="J436" s="34" t="s">
        <v>817</v>
      </c>
      <c r="K436" s="34" t="s">
        <v>60</v>
      </c>
      <c r="L436" s="34" t="s">
        <v>110</v>
      </c>
      <c r="M436" s="34" t="s">
        <v>111</v>
      </c>
      <c r="T436" s="38"/>
    </row>
    <row r="437" customFormat="false" ht="15" hidden="false" customHeight="false" outlineLevel="0" collapsed="false">
      <c r="A437" s="0" t="s">
        <v>901</v>
      </c>
      <c r="B437" s="0" t="s">
        <v>902</v>
      </c>
      <c r="C437" s="34" t="s">
        <v>46</v>
      </c>
      <c r="D437" s="34" t="s">
        <v>53</v>
      </c>
      <c r="E437" s="34" t="s">
        <v>51</v>
      </c>
      <c r="F437" s="33" t="n">
        <v>227525</v>
      </c>
      <c r="G437" s="34" t="s">
        <v>43</v>
      </c>
      <c r="H437" s="34" t="s">
        <v>42</v>
      </c>
      <c r="I437" s="33" t="n">
        <v>1500</v>
      </c>
      <c r="J437" s="34" t="s">
        <v>817</v>
      </c>
      <c r="K437" s="34" t="s">
        <v>60</v>
      </c>
      <c r="L437" s="34" t="s">
        <v>110</v>
      </c>
      <c r="M437" s="34" t="s">
        <v>111</v>
      </c>
      <c r="T437" s="38"/>
    </row>
    <row r="438" customFormat="false" ht="15" hidden="false" customHeight="false" outlineLevel="0" collapsed="false">
      <c r="A438" s="0" t="s">
        <v>903</v>
      </c>
      <c r="B438" s="0" t="s">
        <v>904</v>
      </c>
      <c r="C438" s="34" t="s">
        <v>52</v>
      </c>
      <c r="D438" s="34" t="s">
        <v>63</v>
      </c>
      <c r="E438" s="34" t="s">
        <v>51</v>
      </c>
      <c r="F438" s="33" t="n">
        <v>230347</v>
      </c>
      <c r="G438" s="34" t="s">
        <v>55</v>
      </c>
      <c r="H438" s="34" t="s">
        <v>54</v>
      </c>
      <c r="I438" s="33" t="n">
        <v>9000</v>
      </c>
      <c r="J438" s="34" t="s">
        <v>817</v>
      </c>
      <c r="K438" s="34" t="s">
        <v>60</v>
      </c>
      <c r="L438" s="34" t="s">
        <v>116</v>
      </c>
      <c r="M438" s="34" t="s">
        <v>117</v>
      </c>
      <c r="T438" s="38"/>
    </row>
    <row r="439" customFormat="false" ht="15" hidden="false" customHeight="false" outlineLevel="0" collapsed="false">
      <c r="A439" s="0" t="s">
        <v>905</v>
      </c>
      <c r="B439" s="0" t="s">
        <v>513</v>
      </c>
      <c r="C439" s="34" t="s">
        <v>52</v>
      </c>
      <c r="D439" s="34" t="s">
        <v>53</v>
      </c>
      <c r="E439" s="34" t="s">
        <v>51</v>
      </c>
      <c r="F439" s="33" t="n">
        <v>226509</v>
      </c>
      <c r="G439" s="34" t="s">
        <v>43</v>
      </c>
      <c r="H439" s="34" t="s">
        <v>48</v>
      </c>
      <c r="I439" s="33" t="n">
        <v>2800</v>
      </c>
      <c r="J439" s="34" t="s">
        <v>817</v>
      </c>
      <c r="K439" s="34" t="s">
        <v>60</v>
      </c>
      <c r="L439" s="34" t="s">
        <v>110</v>
      </c>
      <c r="M439" s="34" t="s">
        <v>111</v>
      </c>
      <c r="T439" s="38"/>
    </row>
    <row r="440" customFormat="false" ht="15" hidden="false" customHeight="false" outlineLevel="0" collapsed="false">
      <c r="A440" s="0" t="s">
        <v>906</v>
      </c>
      <c r="B440" s="0" t="s">
        <v>907</v>
      </c>
      <c r="C440" s="34" t="s">
        <v>52</v>
      </c>
      <c r="D440" s="34" t="s">
        <v>63</v>
      </c>
      <c r="E440" s="34" t="s">
        <v>61</v>
      </c>
      <c r="F440" s="33" t="n">
        <v>218888</v>
      </c>
      <c r="G440" s="34" t="s">
        <v>49</v>
      </c>
      <c r="H440" s="34" t="s">
        <v>54</v>
      </c>
      <c r="I440" s="33" t="n">
        <v>6750</v>
      </c>
      <c r="J440" s="34" t="s">
        <v>817</v>
      </c>
      <c r="K440" s="34" t="s">
        <v>60</v>
      </c>
      <c r="L440" s="34" t="s">
        <v>116</v>
      </c>
      <c r="M440" s="34" t="s">
        <v>117</v>
      </c>
      <c r="T440" s="38"/>
    </row>
    <row r="441" customFormat="false" ht="15" hidden="false" customHeight="false" outlineLevel="0" collapsed="false">
      <c r="A441" s="0" t="s">
        <v>908</v>
      </c>
      <c r="B441" s="0" t="s">
        <v>909</v>
      </c>
      <c r="C441" s="34" t="s">
        <v>52</v>
      </c>
      <c r="D441" s="34" t="s">
        <v>62</v>
      </c>
      <c r="E441" s="34" t="s">
        <v>61</v>
      </c>
      <c r="F441" s="33" t="n">
        <v>226630</v>
      </c>
      <c r="G441" s="34" t="s">
        <v>55</v>
      </c>
      <c r="H441" s="34" t="s">
        <v>54</v>
      </c>
      <c r="I441" s="33" t="n">
        <v>9000</v>
      </c>
      <c r="J441" s="34" t="s">
        <v>817</v>
      </c>
      <c r="K441" s="34" t="s">
        <v>60</v>
      </c>
      <c r="L441" s="34" t="s">
        <v>96</v>
      </c>
      <c r="M441" s="34" t="s">
        <v>97</v>
      </c>
      <c r="T441" s="38"/>
    </row>
    <row r="442" customFormat="false" ht="15" hidden="false" customHeight="false" outlineLevel="0" collapsed="false">
      <c r="A442" s="0" t="s">
        <v>910</v>
      </c>
      <c r="B442" s="0" t="s">
        <v>277</v>
      </c>
      <c r="C442" s="34" t="s">
        <v>52</v>
      </c>
      <c r="D442" s="34" t="s">
        <v>62</v>
      </c>
      <c r="E442" s="34" t="s">
        <v>61</v>
      </c>
      <c r="F442" s="33" t="n">
        <v>219877</v>
      </c>
      <c r="G442" s="34" t="s">
        <v>43</v>
      </c>
      <c r="H442" s="34" t="s">
        <v>42</v>
      </c>
      <c r="I442" s="33" t="n">
        <v>1500</v>
      </c>
      <c r="J442" s="34" t="s">
        <v>817</v>
      </c>
      <c r="K442" s="34" t="s">
        <v>60</v>
      </c>
      <c r="L442" s="34" t="s">
        <v>96</v>
      </c>
      <c r="M442" s="34" t="s">
        <v>97</v>
      </c>
      <c r="T442" s="38"/>
    </row>
    <row r="443" customFormat="false" ht="15" hidden="false" customHeight="false" outlineLevel="0" collapsed="false">
      <c r="A443" s="0" t="s">
        <v>911</v>
      </c>
      <c r="B443" s="0" t="s">
        <v>365</v>
      </c>
      <c r="C443" s="34" t="s">
        <v>46</v>
      </c>
      <c r="D443" s="34" t="s">
        <v>53</v>
      </c>
      <c r="E443" s="34" t="s">
        <v>57</v>
      </c>
      <c r="F443" s="33" t="n">
        <v>220034</v>
      </c>
      <c r="G443" s="34" t="s">
        <v>49</v>
      </c>
      <c r="H443" s="34" t="s">
        <v>54</v>
      </c>
      <c r="I443" s="33" t="n">
        <v>6750</v>
      </c>
      <c r="J443" s="34" t="s">
        <v>817</v>
      </c>
      <c r="K443" s="34" t="s">
        <v>60</v>
      </c>
      <c r="L443" s="34" t="s">
        <v>110</v>
      </c>
      <c r="M443" s="34" t="s">
        <v>111</v>
      </c>
      <c r="T443" s="38"/>
    </row>
    <row r="444" customFormat="false" ht="15" hidden="false" customHeight="false" outlineLevel="0" collapsed="false">
      <c r="A444" s="0" t="s">
        <v>912</v>
      </c>
      <c r="B444" s="0" t="s">
        <v>780</v>
      </c>
      <c r="C444" s="34" t="s">
        <v>52</v>
      </c>
      <c r="D444" s="34" t="s">
        <v>53</v>
      </c>
      <c r="E444" s="34" t="s">
        <v>61</v>
      </c>
      <c r="F444" s="33" t="n">
        <v>220569</v>
      </c>
      <c r="G444" s="34" t="s">
        <v>43</v>
      </c>
      <c r="H444" s="34" t="s">
        <v>42</v>
      </c>
      <c r="I444" s="33" t="n">
        <v>1500</v>
      </c>
      <c r="J444" s="34" t="s">
        <v>817</v>
      </c>
      <c r="K444" s="34" t="s">
        <v>60</v>
      </c>
      <c r="L444" s="34" t="s">
        <v>110</v>
      </c>
      <c r="M444" s="34" t="s">
        <v>111</v>
      </c>
      <c r="T444" s="38"/>
    </row>
    <row r="445" customFormat="false" ht="15" hidden="false" customHeight="false" outlineLevel="0" collapsed="false">
      <c r="A445" s="0" t="s">
        <v>913</v>
      </c>
      <c r="B445" s="0" t="s">
        <v>620</v>
      </c>
      <c r="C445" s="34" t="s">
        <v>46</v>
      </c>
      <c r="D445" s="34" t="s">
        <v>63</v>
      </c>
      <c r="E445" s="34" t="s">
        <v>45</v>
      </c>
      <c r="F445" s="33" t="n">
        <v>221665</v>
      </c>
      <c r="G445" s="34" t="s">
        <v>43</v>
      </c>
      <c r="H445" s="34" t="s">
        <v>48</v>
      </c>
      <c r="I445" s="33" t="n">
        <v>2800</v>
      </c>
      <c r="J445" s="34" t="s">
        <v>817</v>
      </c>
      <c r="K445" s="34" t="s">
        <v>60</v>
      </c>
      <c r="L445" s="34" t="s">
        <v>116</v>
      </c>
      <c r="M445" s="34" t="s">
        <v>117</v>
      </c>
      <c r="T445" s="38"/>
    </row>
    <row r="446" customFormat="false" ht="15" hidden="false" customHeight="false" outlineLevel="0" collapsed="false">
      <c r="A446" s="0" t="s">
        <v>914</v>
      </c>
      <c r="B446" s="0" t="s">
        <v>915</v>
      </c>
      <c r="C446" s="34" t="s">
        <v>52</v>
      </c>
      <c r="D446" s="34" t="s">
        <v>63</v>
      </c>
      <c r="E446" s="34" t="s">
        <v>57</v>
      </c>
      <c r="F446" s="33" t="n">
        <v>221962</v>
      </c>
      <c r="G446" s="34" t="s">
        <v>55</v>
      </c>
      <c r="H446" s="34" t="s">
        <v>54</v>
      </c>
      <c r="I446" s="33" t="n">
        <v>9000</v>
      </c>
      <c r="J446" s="34" t="s">
        <v>817</v>
      </c>
      <c r="K446" s="34" t="s">
        <v>60</v>
      </c>
      <c r="L446" s="34" t="s">
        <v>116</v>
      </c>
      <c r="M446" s="34" t="s">
        <v>117</v>
      </c>
      <c r="T446" s="38"/>
    </row>
    <row r="447" customFormat="false" ht="15" hidden="false" customHeight="false" outlineLevel="0" collapsed="false">
      <c r="A447" s="0" t="s">
        <v>916</v>
      </c>
      <c r="B447" s="0" t="s">
        <v>749</v>
      </c>
      <c r="C447" s="34" t="s">
        <v>46</v>
      </c>
      <c r="D447" s="34" t="s">
        <v>62</v>
      </c>
      <c r="E447" s="34" t="s">
        <v>57</v>
      </c>
      <c r="F447" s="33" t="n">
        <v>221535</v>
      </c>
      <c r="G447" s="34" t="s">
        <v>49</v>
      </c>
      <c r="H447" s="34" t="s">
        <v>54</v>
      </c>
      <c r="I447" s="33" t="n">
        <v>6750</v>
      </c>
      <c r="J447" s="34" t="s">
        <v>817</v>
      </c>
      <c r="K447" s="34" t="s">
        <v>60</v>
      </c>
      <c r="L447" s="34" t="s">
        <v>96</v>
      </c>
      <c r="M447" s="34" t="s">
        <v>97</v>
      </c>
      <c r="T447" s="38"/>
    </row>
    <row r="448" customFormat="false" ht="15" hidden="false" customHeight="false" outlineLevel="0" collapsed="false">
      <c r="A448" s="0" t="s">
        <v>917</v>
      </c>
      <c r="B448" s="0" t="s">
        <v>167</v>
      </c>
      <c r="C448" s="34" t="s">
        <v>52</v>
      </c>
      <c r="D448" s="34" t="s">
        <v>62</v>
      </c>
      <c r="E448" s="34" t="s">
        <v>45</v>
      </c>
      <c r="F448" s="33" t="n">
        <v>223502</v>
      </c>
      <c r="G448" s="34" t="s">
        <v>49</v>
      </c>
      <c r="H448" s="34" t="s">
        <v>48</v>
      </c>
      <c r="I448" s="33" t="n">
        <v>4200</v>
      </c>
      <c r="J448" s="34" t="s">
        <v>817</v>
      </c>
      <c r="K448" s="34" t="s">
        <v>60</v>
      </c>
      <c r="L448" s="34" t="s">
        <v>96</v>
      </c>
      <c r="M448" s="34" t="s">
        <v>97</v>
      </c>
      <c r="T448" s="38"/>
    </row>
    <row r="449" customFormat="false" ht="15" hidden="false" customHeight="false" outlineLevel="0" collapsed="false">
      <c r="A449" s="0" t="s">
        <v>918</v>
      </c>
      <c r="B449" s="0" t="s">
        <v>919</v>
      </c>
      <c r="C449" s="34" t="s">
        <v>46</v>
      </c>
      <c r="D449" s="34" t="s">
        <v>53</v>
      </c>
      <c r="E449" s="34" t="s">
        <v>61</v>
      </c>
      <c r="F449" s="33" t="n">
        <v>223993</v>
      </c>
      <c r="G449" s="34" t="s">
        <v>43</v>
      </c>
      <c r="H449" s="34" t="s">
        <v>48</v>
      </c>
      <c r="I449" s="33" t="n">
        <v>2800</v>
      </c>
      <c r="J449" s="34" t="s">
        <v>817</v>
      </c>
      <c r="K449" s="34" t="s">
        <v>60</v>
      </c>
      <c r="L449" s="34" t="s">
        <v>110</v>
      </c>
      <c r="M449" s="34" t="s">
        <v>111</v>
      </c>
      <c r="T449" s="38"/>
    </row>
    <row r="450" customFormat="false" ht="15" hidden="false" customHeight="false" outlineLevel="0" collapsed="false">
      <c r="A450" s="0" t="s">
        <v>920</v>
      </c>
      <c r="B450" s="0" t="s">
        <v>660</v>
      </c>
      <c r="C450" s="34" t="s">
        <v>52</v>
      </c>
      <c r="D450" s="34" t="s">
        <v>53</v>
      </c>
      <c r="E450" s="34" t="s">
        <v>45</v>
      </c>
      <c r="F450" s="33" t="n">
        <v>225865</v>
      </c>
      <c r="G450" s="34" t="s">
        <v>43</v>
      </c>
      <c r="H450" s="34" t="s">
        <v>48</v>
      </c>
      <c r="I450" s="33" t="n">
        <v>2800</v>
      </c>
      <c r="J450" s="34" t="s">
        <v>817</v>
      </c>
      <c r="K450" s="34" t="s">
        <v>60</v>
      </c>
      <c r="L450" s="34" t="s">
        <v>110</v>
      </c>
      <c r="M450" s="34" t="s">
        <v>111</v>
      </c>
      <c r="T450" s="38"/>
    </row>
    <row r="451" customFormat="false" ht="15" hidden="false" customHeight="false" outlineLevel="0" collapsed="false">
      <c r="A451" s="0" t="s">
        <v>921</v>
      </c>
      <c r="B451" s="0" t="s">
        <v>922</v>
      </c>
      <c r="C451" s="34" t="s">
        <v>46</v>
      </c>
      <c r="D451" s="34" t="s">
        <v>53</v>
      </c>
      <c r="E451" s="34" t="s">
        <v>57</v>
      </c>
      <c r="F451" s="33" t="n">
        <v>224282</v>
      </c>
      <c r="G451" s="34" t="s">
        <v>49</v>
      </c>
      <c r="H451" s="34" t="s">
        <v>54</v>
      </c>
      <c r="I451" s="33" t="n">
        <v>6750</v>
      </c>
      <c r="J451" s="34" t="s">
        <v>817</v>
      </c>
      <c r="K451" s="34" t="s">
        <v>60</v>
      </c>
      <c r="L451" s="34" t="s">
        <v>110</v>
      </c>
      <c r="M451" s="34" t="s">
        <v>111</v>
      </c>
      <c r="T451" s="38"/>
    </row>
    <row r="452" customFormat="false" ht="15" hidden="false" customHeight="false" outlineLevel="0" collapsed="false">
      <c r="A452" s="0" t="s">
        <v>923</v>
      </c>
      <c r="B452" s="0" t="s">
        <v>804</v>
      </c>
      <c r="C452" s="34" t="s">
        <v>52</v>
      </c>
      <c r="D452" s="34" t="s">
        <v>63</v>
      </c>
      <c r="E452" s="34" t="s">
        <v>45</v>
      </c>
      <c r="F452" s="33" t="n">
        <v>224907</v>
      </c>
      <c r="G452" s="34" t="s">
        <v>43</v>
      </c>
      <c r="H452" s="34" t="s">
        <v>42</v>
      </c>
      <c r="I452" s="33" t="n">
        <v>1500</v>
      </c>
      <c r="J452" s="34" t="s">
        <v>817</v>
      </c>
      <c r="K452" s="34" t="s">
        <v>60</v>
      </c>
      <c r="L452" s="34" t="s">
        <v>116</v>
      </c>
      <c r="M452" s="34" t="s">
        <v>117</v>
      </c>
      <c r="T452" s="38"/>
    </row>
    <row r="453" customFormat="false" ht="15" hidden="false" customHeight="false" outlineLevel="0" collapsed="false">
      <c r="A453" s="0" t="s">
        <v>924</v>
      </c>
      <c r="B453" s="0" t="s">
        <v>200</v>
      </c>
      <c r="C453" s="34" t="s">
        <v>46</v>
      </c>
      <c r="D453" s="34" t="s">
        <v>53</v>
      </c>
      <c r="E453" s="34" t="s">
        <v>51</v>
      </c>
      <c r="F453" s="33" t="n">
        <v>222870</v>
      </c>
      <c r="G453" s="34" t="s">
        <v>49</v>
      </c>
      <c r="H453" s="34" t="s">
        <v>48</v>
      </c>
      <c r="I453" s="33" t="n">
        <v>4200</v>
      </c>
      <c r="J453" s="34" t="s">
        <v>817</v>
      </c>
      <c r="K453" s="34" t="s">
        <v>60</v>
      </c>
      <c r="L453" s="34" t="s">
        <v>110</v>
      </c>
      <c r="M453" s="34" t="s">
        <v>111</v>
      </c>
      <c r="T453" s="38"/>
    </row>
    <row r="454" customFormat="false" ht="15" hidden="false" customHeight="false" outlineLevel="0" collapsed="false">
      <c r="A454" s="0" t="s">
        <v>925</v>
      </c>
      <c r="B454" s="0" t="s">
        <v>133</v>
      </c>
      <c r="C454" s="34" t="s">
        <v>46</v>
      </c>
      <c r="D454" s="34" t="s">
        <v>47</v>
      </c>
      <c r="E454" s="34" t="s">
        <v>61</v>
      </c>
      <c r="F454" s="33" t="n">
        <v>225488</v>
      </c>
      <c r="G454" s="34" t="s">
        <v>55</v>
      </c>
      <c r="H454" s="34" t="s">
        <v>54</v>
      </c>
      <c r="I454" s="33" t="n">
        <v>9000</v>
      </c>
      <c r="J454" s="34" t="s">
        <v>817</v>
      </c>
      <c r="K454" s="34" t="s">
        <v>60</v>
      </c>
      <c r="L454" s="34" t="s">
        <v>102</v>
      </c>
      <c r="M454" s="34" t="s">
        <v>103</v>
      </c>
      <c r="T454" s="38"/>
    </row>
    <row r="455" customFormat="false" ht="15" hidden="false" customHeight="false" outlineLevel="0" collapsed="false">
      <c r="A455" s="0" t="s">
        <v>926</v>
      </c>
      <c r="B455" s="0" t="s">
        <v>927</v>
      </c>
      <c r="C455" s="34" t="s">
        <v>46</v>
      </c>
      <c r="D455" s="34" t="s">
        <v>62</v>
      </c>
      <c r="E455" s="34" t="s">
        <v>45</v>
      </c>
      <c r="F455" s="33" t="n">
        <v>43125</v>
      </c>
      <c r="G455" s="34" t="s">
        <v>55</v>
      </c>
      <c r="H455" s="34" t="s">
        <v>54</v>
      </c>
      <c r="I455" s="33" t="n">
        <v>9000</v>
      </c>
      <c r="J455" s="34" t="s">
        <v>928</v>
      </c>
      <c r="K455" s="34" t="s">
        <v>44</v>
      </c>
      <c r="L455" s="34" t="s">
        <v>96</v>
      </c>
      <c r="M455" s="34" t="s">
        <v>97</v>
      </c>
      <c r="T455" s="38"/>
    </row>
    <row r="456" customFormat="false" ht="15" hidden="false" customHeight="false" outlineLevel="0" collapsed="false">
      <c r="A456" s="0" t="s">
        <v>929</v>
      </c>
      <c r="B456" s="0" t="s">
        <v>930</v>
      </c>
      <c r="C456" s="34" t="s">
        <v>52</v>
      </c>
      <c r="D456" s="34" t="s">
        <v>63</v>
      </c>
      <c r="E456" s="34" t="s">
        <v>61</v>
      </c>
      <c r="F456" s="33" t="n">
        <v>40308</v>
      </c>
      <c r="G456" s="34" t="s">
        <v>55</v>
      </c>
      <c r="H456" s="34" t="s">
        <v>54</v>
      </c>
      <c r="I456" s="33" t="n">
        <v>9000</v>
      </c>
      <c r="J456" s="34" t="s">
        <v>928</v>
      </c>
      <c r="K456" s="34" t="s">
        <v>44</v>
      </c>
      <c r="L456" s="34" t="s">
        <v>116</v>
      </c>
      <c r="M456" s="34" t="s">
        <v>117</v>
      </c>
      <c r="T456" s="38"/>
    </row>
    <row r="457" customFormat="false" ht="15" hidden="false" customHeight="false" outlineLevel="0" collapsed="false">
      <c r="A457" s="0" t="s">
        <v>931</v>
      </c>
      <c r="B457" s="0" t="s">
        <v>932</v>
      </c>
      <c r="C457" s="34" t="s">
        <v>52</v>
      </c>
      <c r="D457" s="34" t="s">
        <v>62</v>
      </c>
      <c r="E457" s="34" t="s">
        <v>57</v>
      </c>
      <c r="F457" s="33" t="n">
        <v>42931</v>
      </c>
      <c r="G457" s="34" t="s">
        <v>49</v>
      </c>
      <c r="H457" s="34" t="s">
        <v>48</v>
      </c>
      <c r="I457" s="33" t="n">
        <v>4200</v>
      </c>
      <c r="J457" s="34" t="s">
        <v>928</v>
      </c>
      <c r="K457" s="34" t="s">
        <v>44</v>
      </c>
      <c r="L457" s="34" t="s">
        <v>96</v>
      </c>
      <c r="M457" s="34" t="s">
        <v>97</v>
      </c>
      <c r="T457" s="38"/>
    </row>
    <row r="458" customFormat="false" ht="15" hidden="false" customHeight="false" outlineLevel="0" collapsed="false">
      <c r="A458" s="0" t="s">
        <v>933</v>
      </c>
      <c r="B458" s="0" t="s">
        <v>934</v>
      </c>
      <c r="C458" s="34" t="s">
        <v>46</v>
      </c>
      <c r="D458" s="34" t="s">
        <v>62</v>
      </c>
      <c r="E458" s="34" t="s">
        <v>57</v>
      </c>
      <c r="F458" s="33" t="n">
        <v>41582</v>
      </c>
      <c r="G458" s="34" t="s">
        <v>43</v>
      </c>
      <c r="H458" s="34" t="s">
        <v>42</v>
      </c>
      <c r="I458" s="33" t="n">
        <v>1500</v>
      </c>
      <c r="J458" s="34" t="s">
        <v>928</v>
      </c>
      <c r="K458" s="34" t="s">
        <v>44</v>
      </c>
      <c r="L458" s="34" t="s">
        <v>96</v>
      </c>
      <c r="M458" s="34" t="s">
        <v>97</v>
      </c>
      <c r="T458" s="38"/>
    </row>
    <row r="459" customFormat="false" ht="15" hidden="false" customHeight="false" outlineLevel="0" collapsed="false">
      <c r="A459" s="0" t="s">
        <v>935</v>
      </c>
      <c r="B459" s="0" t="s">
        <v>936</v>
      </c>
      <c r="C459" s="34" t="s">
        <v>46</v>
      </c>
      <c r="D459" s="34" t="s">
        <v>62</v>
      </c>
      <c r="E459" s="34" t="s">
        <v>45</v>
      </c>
      <c r="F459" s="33" t="n">
        <v>41493</v>
      </c>
      <c r="G459" s="34" t="s">
        <v>49</v>
      </c>
      <c r="H459" s="34" t="s">
        <v>48</v>
      </c>
      <c r="I459" s="33" t="n">
        <v>4200</v>
      </c>
      <c r="J459" s="34" t="s">
        <v>928</v>
      </c>
      <c r="K459" s="34" t="s">
        <v>44</v>
      </c>
      <c r="L459" s="34" t="s">
        <v>96</v>
      </c>
      <c r="M459" s="34" t="s">
        <v>97</v>
      </c>
      <c r="T459" s="38"/>
    </row>
    <row r="460" customFormat="false" ht="15" hidden="false" customHeight="false" outlineLevel="0" collapsed="false">
      <c r="A460" s="0" t="s">
        <v>937</v>
      </c>
      <c r="B460" s="0" t="s">
        <v>938</v>
      </c>
      <c r="C460" s="34" t="s">
        <v>46</v>
      </c>
      <c r="D460" s="34" t="s">
        <v>62</v>
      </c>
      <c r="E460" s="34" t="s">
        <v>61</v>
      </c>
      <c r="F460" s="33" t="n">
        <v>41245</v>
      </c>
      <c r="G460" s="34" t="s">
        <v>49</v>
      </c>
      <c r="H460" s="34" t="s">
        <v>54</v>
      </c>
      <c r="I460" s="33" t="n">
        <v>6750</v>
      </c>
      <c r="J460" s="34" t="s">
        <v>928</v>
      </c>
      <c r="K460" s="34" t="s">
        <v>44</v>
      </c>
      <c r="L460" s="34" t="s">
        <v>96</v>
      </c>
      <c r="M460" s="34" t="s">
        <v>97</v>
      </c>
      <c r="T460" s="38"/>
    </row>
    <row r="461" customFormat="false" ht="15" hidden="false" customHeight="false" outlineLevel="0" collapsed="false">
      <c r="A461" s="0" t="s">
        <v>939</v>
      </c>
      <c r="B461" s="0" t="s">
        <v>637</v>
      </c>
      <c r="C461" s="34" t="s">
        <v>46</v>
      </c>
      <c r="D461" s="34" t="s">
        <v>59</v>
      </c>
      <c r="E461" s="34" t="s">
        <v>57</v>
      </c>
      <c r="F461" s="33" t="n">
        <v>41056</v>
      </c>
      <c r="G461" s="34" t="s">
        <v>43</v>
      </c>
      <c r="H461" s="34" t="s">
        <v>48</v>
      </c>
      <c r="I461" s="33" t="n">
        <v>2800</v>
      </c>
      <c r="J461" s="34" t="s">
        <v>928</v>
      </c>
      <c r="K461" s="34" t="s">
        <v>44</v>
      </c>
      <c r="L461" s="34" t="s">
        <v>81</v>
      </c>
      <c r="M461" s="34" t="s">
        <v>82</v>
      </c>
      <c r="T461" s="38"/>
    </row>
    <row r="462" customFormat="false" ht="15" hidden="false" customHeight="false" outlineLevel="0" collapsed="false">
      <c r="A462" s="0" t="s">
        <v>940</v>
      </c>
      <c r="B462" s="0" t="s">
        <v>941</v>
      </c>
      <c r="C462" s="34" t="s">
        <v>52</v>
      </c>
      <c r="D462" s="34" t="s">
        <v>47</v>
      </c>
      <c r="E462" s="34" t="s">
        <v>57</v>
      </c>
      <c r="F462" s="33" t="n">
        <v>37523</v>
      </c>
      <c r="G462" s="34" t="s">
        <v>43</v>
      </c>
      <c r="H462" s="34" t="s">
        <v>42</v>
      </c>
      <c r="I462" s="33" t="n">
        <v>1500</v>
      </c>
      <c r="J462" s="34" t="s">
        <v>928</v>
      </c>
      <c r="K462" s="34" t="s">
        <v>44</v>
      </c>
      <c r="L462" s="34" t="s">
        <v>102</v>
      </c>
      <c r="M462" s="34" t="s">
        <v>103</v>
      </c>
      <c r="T462" s="38"/>
    </row>
    <row r="463" customFormat="false" ht="15" hidden="false" customHeight="false" outlineLevel="0" collapsed="false">
      <c r="A463" s="0" t="s">
        <v>942</v>
      </c>
      <c r="B463" s="0" t="s">
        <v>943</v>
      </c>
      <c r="C463" s="34" t="s">
        <v>46</v>
      </c>
      <c r="D463" s="34" t="s">
        <v>62</v>
      </c>
      <c r="E463" s="34" t="s">
        <v>51</v>
      </c>
      <c r="F463" s="33" t="n">
        <v>38431</v>
      </c>
      <c r="G463" s="34" t="s">
        <v>49</v>
      </c>
      <c r="H463" s="34" t="s">
        <v>54</v>
      </c>
      <c r="I463" s="33" t="n">
        <v>6750</v>
      </c>
      <c r="J463" s="34" t="s">
        <v>928</v>
      </c>
      <c r="K463" s="34" t="s">
        <v>44</v>
      </c>
      <c r="L463" s="34" t="s">
        <v>96</v>
      </c>
      <c r="M463" s="34" t="s">
        <v>97</v>
      </c>
      <c r="T463" s="38"/>
    </row>
    <row r="464" customFormat="false" ht="15" hidden="false" customHeight="false" outlineLevel="0" collapsed="false">
      <c r="A464" s="0" t="s">
        <v>944</v>
      </c>
      <c r="B464" s="0" t="s">
        <v>129</v>
      </c>
      <c r="C464" s="34" t="s">
        <v>46</v>
      </c>
      <c r="D464" s="34" t="s">
        <v>62</v>
      </c>
      <c r="E464" s="34" t="s">
        <v>57</v>
      </c>
      <c r="F464" s="33" t="n">
        <v>39433</v>
      </c>
      <c r="G464" s="34" t="s">
        <v>43</v>
      </c>
      <c r="H464" s="34" t="s">
        <v>48</v>
      </c>
      <c r="I464" s="33" t="n">
        <v>2800</v>
      </c>
      <c r="J464" s="34" t="s">
        <v>928</v>
      </c>
      <c r="K464" s="34" t="s">
        <v>44</v>
      </c>
      <c r="L464" s="34" t="s">
        <v>96</v>
      </c>
      <c r="M464" s="34" t="s">
        <v>97</v>
      </c>
      <c r="T464" s="38"/>
    </row>
    <row r="465" customFormat="false" ht="15" hidden="false" customHeight="false" outlineLevel="0" collapsed="false">
      <c r="A465" s="0" t="s">
        <v>945</v>
      </c>
      <c r="B465" s="0" t="s">
        <v>946</v>
      </c>
      <c r="C465" s="34" t="s">
        <v>46</v>
      </c>
      <c r="D465" s="34" t="s">
        <v>63</v>
      </c>
      <c r="E465" s="34" t="s">
        <v>57</v>
      </c>
      <c r="F465" s="33" t="n">
        <v>39385</v>
      </c>
      <c r="G465" s="34" t="s">
        <v>49</v>
      </c>
      <c r="H465" s="34" t="s">
        <v>48</v>
      </c>
      <c r="I465" s="33" t="n">
        <v>4200</v>
      </c>
      <c r="J465" s="34" t="s">
        <v>928</v>
      </c>
      <c r="K465" s="34" t="s">
        <v>44</v>
      </c>
      <c r="L465" s="34" t="s">
        <v>116</v>
      </c>
      <c r="M465" s="34" t="s">
        <v>117</v>
      </c>
      <c r="T465" s="38"/>
    </row>
    <row r="466" customFormat="false" ht="15" hidden="false" customHeight="false" outlineLevel="0" collapsed="false">
      <c r="A466" s="0" t="s">
        <v>947</v>
      </c>
      <c r="B466" s="0" t="s">
        <v>948</v>
      </c>
      <c r="C466" s="34" t="s">
        <v>52</v>
      </c>
      <c r="D466" s="34" t="s">
        <v>59</v>
      </c>
      <c r="E466" s="34" t="s">
        <v>51</v>
      </c>
      <c r="F466" s="33" t="n">
        <v>39239</v>
      </c>
      <c r="G466" s="34" t="s">
        <v>43</v>
      </c>
      <c r="H466" s="34" t="s">
        <v>48</v>
      </c>
      <c r="I466" s="33" t="n">
        <v>2800</v>
      </c>
      <c r="J466" s="34" t="s">
        <v>928</v>
      </c>
      <c r="K466" s="34" t="s">
        <v>44</v>
      </c>
      <c r="L466" s="34" t="s">
        <v>81</v>
      </c>
      <c r="M466" s="34" t="s">
        <v>82</v>
      </c>
      <c r="T466" s="38"/>
    </row>
    <row r="467" customFormat="false" ht="15" hidden="false" customHeight="false" outlineLevel="0" collapsed="false">
      <c r="A467" s="0" t="s">
        <v>949</v>
      </c>
      <c r="B467" s="0" t="s">
        <v>518</v>
      </c>
      <c r="C467" s="34" t="s">
        <v>52</v>
      </c>
      <c r="D467" s="34" t="s">
        <v>53</v>
      </c>
      <c r="E467" s="34" t="s">
        <v>61</v>
      </c>
      <c r="F467" s="33" t="n">
        <v>38263</v>
      </c>
      <c r="G467" s="34" t="s">
        <v>49</v>
      </c>
      <c r="H467" s="34" t="s">
        <v>54</v>
      </c>
      <c r="I467" s="33" t="n">
        <v>9000</v>
      </c>
      <c r="J467" s="34" t="s">
        <v>928</v>
      </c>
      <c r="K467" s="34" t="s">
        <v>44</v>
      </c>
      <c r="L467" s="34" t="s">
        <v>110</v>
      </c>
      <c r="M467" s="34" t="s">
        <v>111</v>
      </c>
      <c r="T467" s="38"/>
    </row>
    <row r="468" customFormat="false" ht="15" hidden="false" customHeight="false" outlineLevel="0" collapsed="false">
      <c r="A468" s="0" t="s">
        <v>950</v>
      </c>
      <c r="B468" s="0" t="s">
        <v>951</v>
      </c>
      <c r="C468" s="34" t="s">
        <v>46</v>
      </c>
      <c r="D468" s="34" t="s">
        <v>47</v>
      </c>
      <c r="E468" s="34" t="s">
        <v>51</v>
      </c>
      <c r="F468" s="33" t="n">
        <v>38235</v>
      </c>
      <c r="G468" s="34" t="s">
        <v>49</v>
      </c>
      <c r="H468" s="34" t="s">
        <v>54</v>
      </c>
      <c r="I468" s="33" t="n">
        <v>6750</v>
      </c>
      <c r="J468" s="34" t="s">
        <v>928</v>
      </c>
      <c r="K468" s="34" t="s">
        <v>44</v>
      </c>
      <c r="L468" s="34" t="s">
        <v>102</v>
      </c>
      <c r="M468" s="34" t="s">
        <v>103</v>
      </c>
      <c r="T468" s="38"/>
    </row>
    <row r="469" customFormat="false" ht="15" hidden="false" customHeight="false" outlineLevel="0" collapsed="false">
      <c r="A469" s="0" t="s">
        <v>952</v>
      </c>
      <c r="B469" s="0" t="s">
        <v>953</v>
      </c>
      <c r="C469" s="34" t="s">
        <v>46</v>
      </c>
      <c r="D469" s="34" t="s">
        <v>63</v>
      </c>
      <c r="E469" s="34" t="s">
        <v>45</v>
      </c>
      <c r="F469" s="33" t="n">
        <v>37654</v>
      </c>
      <c r="G469" s="34" t="s">
        <v>43</v>
      </c>
      <c r="H469" s="34" t="s">
        <v>48</v>
      </c>
      <c r="I469" s="33" t="n">
        <v>2800</v>
      </c>
      <c r="J469" s="34" t="s">
        <v>928</v>
      </c>
      <c r="K469" s="34" t="s">
        <v>44</v>
      </c>
      <c r="L469" s="34" t="s">
        <v>116</v>
      </c>
      <c r="M469" s="34" t="s">
        <v>117</v>
      </c>
      <c r="T469" s="38"/>
    </row>
    <row r="470" customFormat="false" ht="15" hidden="false" customHeight="false" outlineLevel="0" collapsed="false">
      <c r="A470" s="0" t="s">
        <v>954</v>
      </c>
      <c r="B470" s="0" t="s">
        <v>955</v>
      </c>
      <c r="C470" s="34" t="s">
        <v>46</v>
      </c>
      <c r="D470" s="34" t="s">
        <v>62</v>
      </c>
      <c r="E470" s="34" t="s">
        <v>57</v>
      </c>
      <c r="F470" s="33" t="n">
        <v>43201</v>
      </c>
      <c r="G470" s="34" t="s">
        <v>49</v>
      </c>
      <c r="H470" s="34" t="s">
        <v>48</v>
      </c>
      <c r="I470" s="33" t="n">
        <v>4200</v>
      </c>
      <c r="J470" s="34" t="s">
        <v>928</v>
      </c>
      <c r="K470" s="34" t="s">
        <v>44</v>
      </c>
      <c r="L470" s="34" t="s">
        <v>96</v>
      </c>
      <c r="M470" s="34" t="s">
        <v>97</v>
      </c>
      <c r="T470" s="38"/>
    </row>
    <row r="471" customFormat="false" ht="15" hidden="false" customHeight="false" outlineLevel="0" collapsed="false">
      <c r="A471" s="0" t="s">
        <v>956</v>
      </c>
      <c r="B471" s="0" t="s">
        <v>552</v>
      </c>
      <c r="C471" s="34" t="s">
        <v>46</v>
      </c>
      <c r="D471" s="34" t="s">
        <v>63</v>
      </c>
      <c r="E471" s="34" t="s">
        <v>57</v>
      </c>
      <c r="F471" s="33" t="n">
        <v>39481</v>
      </c>
      <c r="G471" s="34" t="s">
        <v>43</v>
      </c>
      <c r="H471" s="34" t="s">
        <v>48</v>
      </c>
      <c r="I471" s="33" t="n">
        <v>2800</v>
      </c>
      <c r="J471" s="34" t="s">
        <v>928</v>
      </c>
      <c r="K471" s="34" t="s">
        <v>44</v>
      </c>
      <c r="L471" s="34" t="s">
        <v>116</v>
      </c>
      <c r="M471" s="34" t="s">
        <v>117</v>
      </c>
      <c r="T471" s="38"/>
    </row>
    <row r="472" customFormat="false" ht="15" hidden="false" customHeight="false" outlineLevel="0" collapsed="false">
      <c r="A472" s="0" t="s">
        <v>957</v>
      </c>
      <c r="B472" s="0" t="s">
        <v>958</v>
      </c>
      <c r="C472" s="34" t="s">
        <v>52</v>
      </c>
      <c r="D472" s="34" t="s">
        <v>53</v>
      </c>
      <c r="E472" s="34" t="s">
        <v>51</v>
      </c>
      <c r="F472" s="33" t="n">
        <v>43238</v>
      </c>
      <c r="G472" s="34" t="s">
        <v>49</v>
      </c>
      <c r="H472" s="34" t="s">
        <v>48</v>
      </c>
      <c r="I472" s="33" t="n">
        <v>4200</v>
      </c>
      <c r="J472" s="34" t="s">
        <v>928</v>
      </c>
      <c r="K472" s="34" t="s">
        <v>44</v>
      </c>
      <c r="L472" s="34" t="s">
        <v>110</v>
      </c>
      <c r="M472" s="34" t="s">
        <v>111</v>
      </c>
      <c r="T472" s="38"/>
    </row>
    <row r="473" customFormat="false" ht="15" hidden="false" customHeight="false" outlineLevel="0" collapsed="false">
      <c r="A473" s="0" t="s">
        <v>959</v>
      </c>
      <c r="B473" s="0" t="s">
        <v>703</v>
      </c>
      <c r="C473" s="34" t="s">
        <v>46</v>
      </c>
      <c r="D473" s="34" t="s">
        <v>59</v>
      </c>
      <c r="E473" s="34" t="s">
        <v>61</v>
      </c>
      <c r="F473" s="33" t="n">
        <v>47960</v>
      </c>
      <c r="G473" s="34" t="s">
        <v>49</v>
      </c>
      <c r="H473" s="34" t="s">
        <v>48</v>
      </c>
      <c r="I473" s="33" t="n">
        <v>4200</v>
      </c>
      <c r="J473" s="34" t="s">
        <v>928</v>
      </c>
      <c r="K473" s="34" t="s">
        <v>44</v>
      </c>
      <c r="L473" s="34" t="s">
        <v>81</v>
      </c>
      <c r="M473" s="34" t="s">
        <v>82</v>
      </c>
      <c r="T473" s="38"/>
    </row>
    <row r="474" customFormat="false" ht="15" hidden="false" customHeight="false" outlineLevel="0" collapsed="false">
      <c r="A474" s="0" t="s">
        <v>960</v>
      </c>
      <c r="B474" s="0" t="s">
        <v>961</v>
      </c>
      <c r="C474" s="34" t="s">
        <v>46</v>
      </c>
      <c r="D474" s="34" t="s">
        <v>62</v>
      </c>
      <c r="E474" s="34" t="s">
        <v>57</v>
      </c>
      <c r="F474" s="33" t="n">
        <v>44207</v>
      </c>
      <c r="G474" s="34" t="s">
        <v>55</v>
      </c>
      <c r="H474" s="34" t="s">
        <v>54</v>
      </c>
      <c r="I474" s="33" t="n">
        <v>9000</v>
      </c>
      <c r="J474" s="34" t="s">
        <v>928</v>
      </c>
      <c r="K474" s="34" t="s">
        <v>44</v>
      </c>
      <c r="L474" s="34" t="s">
        <v>96</v>
      </c>
      <c r="M474" s="34" t="s">
        <v>97</v>
      </c>
      <c r="T474" s="38"/>
    </row>
    <row r="475" customFormat="false" ht="15" hidden="false" customHeight="false" outlineLevel="0" collapsed="false">
      <c r="A475" s="0" t="s">
        <v>962</v>
      </c>
      <c r="B475" s="0" t="s">
        <v>963</v>
      </c>
      <c r="C475" s="34" t="s">
        <v>46</v>
      </c>
      <c r="D475" s="34" t="s">
        <v>53</v>
      </c>
      <c r="E475" s="34" t="s">
        <v>57</v>
      </c>
      <c r="F475" s="33" t="n">
        <v>37141</v>
      </c>
      <c r="G475" s="34" t="s">
        <v>55</v>
      </c>
      <c r="H475" s="34" t="s">
        <v>54</v>
      </c>
      <c r="I475" s="33" t="n">
        <v>9000</v>
      </c>
      <c r="J475" s="34" t="s">
        <v>928</v>
      </c>
      <c r="K475" s="34" t="s">
        <v>44</v>
      </c>
      <c r="L475" s="34" t="s">
        <v>110</v>
      </c>
      <c r="M475" s="34" t="s">
        <v>111</v>
      </c>
      <c r="T475" s="38"/>
    </row>
    <row r="476" customFormat="false" ht="15" hidden="false" customHeight="false" outlineLevel="0" collapsed="false">
      <c r="A476" s="0" t="s">
        <v>964</v>
      </c>
      <c r="B476" s="0" t="s">
        <v>965</v>
      </c>
      <c r="C476" s="34" t="s">
        <v>52</v>
      </c>
      <c r="D476" s="34" t="s">
        <v>62</v>
      </c>
      <c r="E476" s="34" t="s">
        <v>57</v>
      </c>
      <c r="F476" s="33" t="n">
        <v>49858</v>
      </c>
      <c r="G476" s="34" t="s">
        <v>55</v>
      </c>
      <c r="H476" s="34" t="s">
        <v>54</v>
      </c>
      <c r="I476" s="33" t="n">
        <v>9000</v>
      </c>
      <c r="J476" s="34" t="s">
        <v>928</v>
      </c>
      <c r="K476" s="34" t="s">
        <v>44</v>
      </c>
      <c r="L476" s="34" t="s">
        <v>96</v>
      </c>
      <c r="M476" s="34" t="s">
        <v>97</v>
      </c>
      <c r="T476" s="38"/>
    </row>
    <row r="477" customFormat="false" ht="15" hidden="false" customHeight="false" outlineLevel="0" collapsed="false">
      <c r="A477" s="0" t="s">
        <v>966</v>
      </c>
      <c r="B477" s="0" t="s">
        <v>967</v>
      </c>
      <c r="C477" s="34" t="s">
        <v>52</v>
      </c>
      <c r="D477" s="34" t="s">
        <v>53</v>
      </c>
      <c r="E477" s="34" t="s">
        <v>45</v>
      </c>
      <c r="F477" s="33" t="n">
        <v>49413</v>
      </c>
      <c r="G477" s="34" t="s">
        <v>43</v>
      </c>
      <c r="H477" s="34" t="s">
        <v>48</v>
      </c>
      <c r="I477" s="33" t="n">
        <v>2800</v>
      </c>
      <c r="J477" s="34" t="s">
        <v>928</v>
      </c>
      <c r="K477" s="34" t="s">
        <v>44</v>
      </c>
      <c r="L477" s="34" t="s">
        <v>110</v>
      </c>
      <c r="M477" s="34" t="s">
        <v>111</v>
      </c>
      <c r="T477" s="38"/>
    </row>
    <row r="478" customFormat="false" ht="15" hidden="false" customHeight="false" outlineLevel="0" collapsed="false">
      <c r="A478" s="0" t="s">
        <v>968</v>
      </c>
      <c r="B478" s="0" t="s">
        <v>747</v>
      </c>
      <c r="C478" s="34" t="s">
        <v>52</v>
      </c>
      <c r="D478" s="34" t="s">
        <v>53</v>
      </c>
      <c r="E478" s="34" t="s">
        <v>51</v>
      </c>
      <c r="F478" s="33" t="n">
        <v>49212</v>
      </c>
      <c r="G478" s="34" t="s">
        <v>55</v>
      </c>
      <c r="H478" s="34" t="s">
        <v>54</v>
      </c>
      <c r="I478" s="33" t="n">
        <v>9000</v>
      </c>
      <c r="J478" s="34" t="s">
        <v>928</v>
      </c>
      <c r="K478" s="34" t="s">
        <v>44</v>
      </c>
      <c r="L478" s="34" t="s">
        <v>110</v>
      </c>
      <c r="M478" s="34" t="s">
        <v>111</v>
      </c>
      <c r="T478" s="38"/>
    </row>
    <row r="479" customFormat="false" ht="15" hidden="false" customHeight="false" outlineLevel="0" collapsed="false">
      <c r="A479" s="0" t="s">
        <v>969</v>
      </c>
      <c r="B479" s="0" t="s">
        <v>970</v>
      </c>
      <c r="C479" s="34" t="s">
        <v>52</v>
      </c>
      <c r="D479" s="34" t="s">
        <v>59</v>
      </c>
      <c r="E479" s="34" t="s">
        <v>61</v>
      </c>
      <c r="F479" s="33" t="n">
        <v>49003</v>
      </c>
      <c r="G479" s="34" t="s">
        <v>49</v>
      </c>
      <c r="H479" s="34" t="s">
        <v>48</v>
      </c>
      <c r="I479" s="33" t="n">
        <v>4200</v>
      </c>
      <c r="J479" s="34" t="s">
        <v>928</v>
      </c>
      <c r="K479" s="34" t="s">
        <v>44</v>
      </c>
      <c r="L479" s="34" t="s">
        <v>81</v>
      </c>
      <c r="M479" s="34" t="s">
        <v>82</v>
      </c>
      <c r="T479" s="38"/>
    </row>
    <row r="480" customFormat="false" ht="15" hidden="false" customHeight="false" outlineLevel="0" collapsed="false">
      <c r="A480" s="0" t="s">
        <v>971</v>
      </c>
      <c r="B480" s="0" t="s">
        <v>972</v>
      </c>
      <c r="C480" s="34" t="s">
        <v>52</v>
      </c>
      <c r="D480" s="34" t="s">
        <v>63</v>
      </c>
      <c r="E480" s="34" t="s">
        <v>57</v>
      </c>
      <c r="F480" s="33" t="n">
        <v>48167</v>
      </c>
      <c r="G480" s="34" t="s">
        <v>43</v>
      </c>
      <c r="H480" s="34" t="s">
        <v>42</v>
      </c>
      <c r="I480" s="33" t="n">
        <v>1500</v>
      </c>
      <c r="J480" s="34" t="s">
        <v>928</v>
      </c>
      <c r="K480" s="34" t="s">
        <v>44</v>
      </c>
      <c r="L480" s="34" t="s">
        <v>116</v>
      </c>
      <c r="M480" s="34" t="s">
        <v>117</v>
      </c>
      <c r="T480" s="38"/>
    </row>
    <row r="481" customFormat="false" ht="15" hidden="false" customHeight="false" outlineLevel="0" collapsed="false">
      <c r="A481" s="0" t="s">
        <v>973</v>
      </c>
      <c r="B481" s="0" t="s">
        <v>974</v>
      </c>
      <c r="C481" s="34" t="s">
        <v>52</v>
      </c>
      <c r="D481" s="34" t="s">
        <v>62</v>
      </c>
      <c r="E481" s="34" t="s">
        <v>61</v>
      </c>
      <c r="F481" s="33" t="n">
        <v>48053</v>
      </c>
      <c r="G481" s="34" t="s">
        <v>43</v>
      </c>
      <c r="H481" s="34" t="s">
        <v>42</v>
      </c>
      <c r="I481" s="33" t="n">
        <v>1500</v>
      </c>
      <c r="J481" s="34" t="s">
        <v>928</v>
      </c>
      <c r="K481" s="34" t="s">
        <v>44</v>
      </c>
      <c r="L481" s="34" t="s">
        <v>96</v>
      </c>
      <c r="M481" s="34" t="s">
        <v>97</v>
      </c>
      <c r="T481" s="38"/>
    </row>
    <row r="482" customFormat="false" ht="15" hidden="false" customHeight="false" outlineLevel="0" collapsed="false">
      <c r="A482" s="0" t="s">
        <v>975</v>
      </c>
      <c r="B482" s="0" t="s">
        <v>758</v>
      </c>
      <c r="C482" s="34" t="s">
        <v>46</v>
      </c>
      <c r="D482" s="34" t="s">
        <v>47</v>
      </c>
      <c r="E482" s="34" t="s">
        <v>51</v>
      </c>
      <c r="F482" s="33" t="n">
        <v>48037</v>
      </c>
      <c r="G482" s="34" t="s">
        <v>49</v>
      </c>
      <c r="H482" s="34" t="s">
        <v>48</v>
      </c>
      <c r="I482" s="33" t="n">
        <v>4200</v>
      </c>
      <c r="J482" s="34" t="s">
        <v>928</v>
      </c>
      <c r="K482" s="34" t="s">
        <v>44</v>
      </c>
      <c r="L482" s="34" t="s">
        <v>102</v>
      </c>
      <c r="M482" s="34" t="s">
        <v>103</v>
      </c>
      <c r="T482" s="38"/>
    </row>
    <row r="483" customFormat="false" ht="15" hidden="false" customHeight="false" outlineLevel="0" collapsed="false">
      <c r="A483" s="0" t="s">
        <v>976</v>
      </c>
      <c r="B483" s="0" t="s">
        <v>977</v>
      </c>
      <c r="C483" s="34" t="s">
        <v>52</v>
      </c>
      <c r="D483" s="34" t="s">
        <v>59</v>
      </c>
      <c r="E483" s="34" t="s">
        <v>57</v>
      </c>
      <c r="F483" s="33" t="n">
        <v>47485</v>
      </c>
      <c r="G483" s="34" t="s">
        <v>49</v>
      </c>
      <c r="H483" s="34" t="s">
        <v>48</v>
      </c>
      <c r="I483" s="33" t="n">
        <v>4200</v>
      </c>
      <c r="J483" s="34" t="s">
        <v>928</v>
      </c>
      <c r="K483" s="34" t="s">
        <v>44</v>
      </c>
      <c r="L483" s="34" t="s">
        <v>81</v>
      </c>
      <c r="M483" s="34" t="s">
        <v>82</v>
      </c>
      <c r="T483" s="38"/>
    </row>
    <row r="484" customFormat="false" ht="15" hidden="false" customHeight="false" outlineLevel="0" collapsed="false">
      <c r="A484" s="0" t="s">
        <v>978</v>
      </c>
      <c r="B484" s="0" t="s">
        <v>979</v>
      </c>
      <c r="C484" s="34" t="s">
        <v>52</v>
      </c>
      <c r="D484" s="34" t="s">
        <v>63</v>
      </c>
      <c r="E484" s="34" t="s">
        <v>51</v>
      </c>
      <c r="F484" s="33" t="n">
        <v>46897</v>
      </c>
      <c r="G484" s="34" t="s">
        <v>43</v>
      </c>
      <c r="H484" s="34" t="s">
        <v>48</v>
      </c>
      <c r="I484" s="33" t="n">
        <v>2800</v>
      </c>
      <c r="J484" s="34" t="s">
        <v>928</v>
      </c>
      <c r="K484" s="34" t="s">
        <v>44</v>
      </c>
      <c r="L484" s="34" t="s">
        <v>116</v>
      </c>
      <c r="M484" s="34" t="s">
        <v>117</v>
      </c>
      <c r="T484" s="38"/>
    </row>
    <row r="485" customFormat="false" ht="15" hidden="false" customHeight="false" outlineLevel="0" collapsed="false">
      <c r="A485" s="0" t="s">
        <v>980</v>
      </c>
      <c r="B485" s="0" t="s">
        <v>324</v>
      </c>
      <c r="C485" s="34" t="s">
        <v>46</v>
      </c>
      <c r="D485" s="34" t="s">
        <v>47</v>
      </c>
      <c r="E485" s="34" t="s">
        <v>51</v>
      </c>
      <c r="F485" s="33" t="n">
        <v>46228</v>
      </c>
      <c r="G485" s="34" t="s">
        <v>55</v>
      </c>
      <c r="H485" s="34" t="s">
        <v>54</v>
      </c>
      <c r="I485" s="33" t="n">
        <v>9000</v>
      </c>
      <c r="J485" s="34" t="s">
        <v>928</v>
      </c>
      <c r="K485" s="34" t="s">
        <v>44</v>
      </c>
      <c r="L485" s="34" t="s">
        <v>102</v>
      </c>
      <c r="M485" s="34" t="s">
        <v>103</v>
      </c>
      <c r="T485" s="38"/>
    </row>
    <row r="486" customFormat="false" ht="15" hidden="false" customHeight="false" outlineLevel="0" collapsed="false">
      <c r="A486" s="0" t="s">
        <v>981</v>
      </c>
      <c r="B486" s="0" t="s">
        <v>982</v>
      </c>
      <c r="C486" s="34" t="s">
        <v>46</v>
      </c>
      <c r="D486" s="34" t="s">
        <v>59</v>
      </c>
      <c r="E486" s="34" t="s">
        <v>51</v>
      </c>
      <c r="F486" s="33" t="n">
        <v>46020</v>
      </c>
      <c r="G486" s="34" t="s">
        <v>43</v>
      </c>
      <c r="H486" s="34" t="s">
        <v>48</v>
      </c>
      <c r="I486" s="33" t="n">
        <v>2800</v>
      </c>
      <c r="J486" s="34" t="s">
        <v>928</v>
      </c>
      <c r="K486" s="34" t="s">
        <v>44</v>
      </c>
      <c r="L486" s="34" t="s">
        <v>81</v>
      </c>
      <c r="M486" s="34" t="s">
        <v>82</v>
      </c>
      <c r="T486" s="38"/>
    </row>
    <row r="487" customFormat="false" ht="15" hidden="false" customHeight="false" outlineLevel="0" collapsed="false">
      <c r="A487" s="0" t="s">
        <v>983</v>
      </c>
      <c r="B487" s="0" t="s">
        <v>984</v>
      </c>
      <c r="C487" s="34" t="s">
        <v>46</v>
      </c>
      <c r="D487" s="34" t="s">
        <v>53</v>
      </c>
      <c r="E487" s="34" t="s">
        <v>61</v>
      </c>
      <c r="F487" s="33" t="n">
        <v>45903</v>
      </c>
      <c r="G487" s="34" t="s">
        <v>49</v>
      </c>
      <c r="H487" s="34" t="s">
        <v>48</v>
      </c>
      <c r="I487" s="33" t="n">
        <v>4200</v>
      </c>
      <c r="J487" s="34" t="s">
        <v>928</v>
      </c>
      <c r="K487" s="34" t="s">
        <v>44</v>
      </c>
      <c r="L487" s="34" t="s">
        <v>110</v>
      </c>
      <c r="M487" s="34" t="s">
        <v>111</v>
      </c>
      <c r="T487" s="38"/>
    </row>
    <row r="488" customFormat="false" ht="15" hidden="false" customHeight="false" outlineLevel="0" collapsed="false">
      <c r="A488" s="0" t="s">
        <v>985</v>
      </c>
      <c r="B488" s="0" t="s">
        <v>827</v>
      </c>
      <c r="C488" s="34" t="s">
        <v>52</v>
      </c>
      <c r="D488" s="34" t="s">
        <v>63</v>
      </c>
      <c r="E488" s="34" t="s">
        <v>51</v>
      </c>
      <c r="F488" s="33" t="n">
        <v>45781</v>
      </c>
      <c r="G488" s="34" t="s">
        <v>43</v>
      </c>
      <c r="H488" s="34" t="s">
        <v>42</v>
      </c>
      <c r="I488" s="33" t="n">
        <v>1500</v>
      </c>
      <c r="J488" s="34" t="s">
        <v>928</v>
      </c>
      <c r="K488" s="34" t="s">
        <v>44</v>
      </c>
      <c r="L488" s="34" t="s">
        <v>116</v>
      </c>
      <c r="M488" s="34" t="s">
        <v>117</v>
      </c>
      <c r="T488" s="38"/>
    </row>
    <row r="489" customFormat="false" ht="15" hidden="false" customHeight="false" outlineLevel="0" collapsed="false">
      <c r="A489" s="0" t="s">
        <v>986</v>
      </c>
      <c r="B489" s="0" t="s">
        <v>987</v>
      </c>
      <c r="C489" s="34" t="s">
        <v>52</v>
      </c>
      <c r="D489" s="34" t="s">
        <v>47</v>
      </c>
      <c r="E489" s="34" t="s">
        <v>51</v>
      </c>
      <c r="F489" s="33" t="n">
        <v>45531</v>
      </c>
      <c r="G489" s="34" t="s">
        <v>43</v>
      </c>
      <c r="H489" s="34" t="s">
        <v>42</v>
      </c>
      <c r="I489" s="33" t="n">
        <v>1500</v>
      </c>
      <c r="J489" s="34" t="s">
        <v>928</v>
      </c>
      <c r="K489" s="34" t="s">
        <v>44</v>
      </c>
      <c r="L489" s="34" t="s">
        <v>102</v>
      </c>
      <c r="M489" s="34" t="s">
        <v>103</v>
      </c>
      <c r="T489" s="38"/>
    </row>
    <row r="490" customFormat="false" ht="15" hidden="false" customHeight="false" outlineLevel="0" collapsed="false">
      <c r="A490" s="0" t="s">
        <v>988</v>
      </c>
      <c r="B490" s="0" t="s">
        <v>989</v>
      </c>
      <c r="C490" s="34" t="s">
        <v>46</v>
      </c>
      <c r="D490" s="34" t="s">
        <v>62</v>
      </c>
      <c r="E490" s="34" t="s">
        <v>51</v>
      </c>
      <c r="F490" s="33" t="n">
        <v>45328</v>
      </c>
      <c r="G490" s="34" t="s">
        <v>49</v>
      </c>
      <c r="H490" s="34" t="s">
        <v>48</v>
      </c>
      <c r="I490" s="33" t="n">
        <v>4200</v>
      </c>
      <c r="J490" s="34" t="s">
        <v>928</v>
      </c>
      <c r="K490" s="34" t="s">
        <v>44</v>
      </c>
      <c r="L490" s="34" t="s">
        <v>96</v>
      </c>
      <c r="M490" s="34" t="s">
        <v>97</v>
      </c>
      <c r="T490" s="38"/>
    </row>
    <row r="491" customFormat="false" ht="15" hidden="false" customHeight="false" outlineLevel="0" collapsed="false">
      <c r="A491" s="0" t="s">
        <v>990</v>
      </c>
      <c r="B491" s="0" t="s">
        <v>198</v>
      </c>
      <c r="C491" s="34" t="s">
        <v>46</v>
      </c>
      <c r="D491" s="34" t="s">
        <v>53</v>
      </c>
      <c r="E491" s="34" t="s">
        <v>45</v>
      </c>
      <c r="F491" s="33" t="n">
        <v>44256</v>
      </c>
      <c r="G491" s="34" t="s">
        <v>55</v>
      </c>
      <c r="H491" s="34" t="s">
        <v>54</v>
      </c>
      <c r="I491" s="33" t="n">
        <v>9000</v>
      </c>
      <c r="J491" s="34" t="s">
        <v>928</v>
      </c>
      <c r="K491" s="34" t="s">
        <v>44</v>
      </c>
      <c r="L491" s="34" t="s">
        <v>110</v>
      </c>
      <c r="M491" s="34" t="s">
        <v>111</v>
      </c>
      <c r="T491" s="38"/>
    </row>
    <row r="492" customFormat="false" ht="15" hidden="false" customHeight="false" outlineLevel="0" collapsed="false">
      <c r="A492" s="0" t="s">
        <v>991</v>
      </c>
      <c r="B492" s="0" t="s">
        <v>992</v>
      </c>
      <c r="C492" s="34" t="s">
        <v>46</v>
      </c>
      <c r="D492" s="34" t="s">
        <v>63</v>
      </c>
      <c r="E492" s="34" t="s">
        <v>51</v>
      </c>
      <c r="F492" s="33" t="n">
        <v>43282</v>
      </c>
      <c r="G492" s="34" t="s">
        <v>49</v>
      </c>
      <c r="H492" s="34" t="s">
        <v>54</v>
      </c>
      <c r="I492" s="33" t="n">
        <v>6750</v>
      </c>
      <c r="J492" s="34" t="s">
        <v>928</v>
      </c>
      <c r="K492" s="34" t="s">
        <v>44</v>
      </c>
      <c r="L492" s="34" t="s">
        <v>116</v>
      </c>
      <c r="M492" s="34" t="s">
        <v>117</v>
      </c>
      <c r="T492" s="38"/>
    </row>
    <row r="493" customFormat="false" ht="15" hidden="false" customHeight="false" outlineLevel="0" collapsed="false">
      <c r="A493" s="0" t="s">
        <v>993</v>
      </c>
      <c r="B493" s="0" t="s">
        <v>629</v>
      </c>
      <c r="C493" s="34" t="s">
        <v>46</v>
      </c>
      <c r="D493" s="34" t="s">
        <v>62</v>
      </c>
      <c r="E493" s="34" t="s">
        <v>57</v>
      </c>
      <c r="F493" s="33" t="n">
        <v>37116</v>
      </c>
      <c r="G493" s="34" t="s">
        <v>49</v>
      </c>
      <c r="H493" s="34" t="s">
        <v>54</v>
      </c>
      <c r="I493" s="33" t="n">
        <v>6750</v>
      </c>
      <c r="J493" s="34" t="s">
        <v>928</v>
      </c>
      <c r="K493" s="34" t="s">
        <v>44</v>
      </c>
      <c r="L493" s="34" t="s">
        <v>96</v>
      </c>
      <c r="M493" s="34" t="s">
        <v>97</v>
      </c>
      <c r="T493" s="38"/>
    </row>
    <row r="494" customFormat="false" ht="15" hidden="false" customHeight="false" outlineLevel="0" collapsed="false">
      <c r="I494" s="33"/>
      <c r="T494" s="39"/>
    </row>
  </sheetData>
  <dataValidations count="5">
    <dataValidation allowBlank="true" error="Choose a valid Gender from the dropdown list." errorStyle="stop" errorTitle="Invalid entry" operator="between" prompt="Select a valid Gender." promptTitle="Gender" showDropDown="false" showErrorMessage="true" showInputMessage="true" sqref="C2:C493" type="list">
      <formula1>#REF!</formula1>
      <formula2>0</formula2>
    </dataValidation>
    <dataValidation allowBlank="true" error="Choose a valid Location from the dropdown list." errorStyle="stop" errorTitle="Invalid entry" operator="between" prompt="Select a valid Location." promptTitle="Location" showDropDown="false" showErrorMessage="true" showInputMessage="true" sqref="E2:E493" type="list">
      <formula1>#REF!</formula1>
      <formula2>0</formula2>
    </dataValidation>
    <dataValidation allowBlank="true" error="Choose a valid Insurance tier from the dropdown list." errorStyle="stop" errorTitle="Invalid entry" operator="between" prompt="Select a valid Insurance tier." promptTitle="Insurance tier" showDropDown="false" showErrorMessage="true" showInputMessage="true" sqref="H2:H493" type="list">
      <formula1>#REF!</formula1>
      <formula2>0</formula2>
    </dataValidation>
    <dataValidation allowBlank="true" error="Choose a valid Corporate Benefit Plan from the dropdown list." errorStyle="stop" errorTitle="Invalid entry" operator="between" prompt="Select a valid Corporate Benefit Plan." promptTitle="Corporate Benefit Plan" showDropDown="false" showErrorMessage="true" showInputMessage="true" sqref="G2:G493" type="list">
      <formula1>#REF!</formula1>
      <formula2>0</formula2>
    </dataValidation>
    <dataValidation allowBlank="true" error="Choose a valid Department from the dropdown list." errorStyle="stop" errorTitle="Invalid entry" operator="between" prompt="Select a valid Department." promptTitle="Department" showDropDown="false" showErrorMessage="true" showInputMessage="true" sqref="D2:D493" type="list">
      <formula1>#REF!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_rels/item5.xml.rels><?xml version="1.0" encoding="UTF-8"?>
<Relationships xmlns="http://schemas.openxmlformats.org/package/2006/relationships"><Relationship Id="rId1" Type="http://schemas.openxmlformats.org/officeDocument/2006/relationships/customXmlProps" Target="itemProps5.xml"/>
</Relationships>
</file>

<file path=customXml/_rels/item6.xml.rels><?xml version="1.0" encoding="UTF-8"?>
<Relationships xmlns="http://schemas.openxmlformats.org/package/2006/relationships"><Relationship Id="rId1" Type="http://schemas.openxmlformats.org/officeDocument/2006/relationships/customXmlProps" Target="itemProps6.xml"/>
</Relationships>
</file>

<file path=customXml/_rels/item7.xml.rels><?xml version="1.0" encoding="UTF-8"?>
<Relationships xmlns="http://schemas.openxmlformats.org/package/2006/relationships"><Relationship Id="rId1" Type="http://schemas.openxmlformats.org/officeDocument/2006/relationships/customXmlProps" Target="itemProps7.xml"/>
</Relationships>
</file>

<file path=customXml/_rels/item8.xml.rels><?xml version="1.0" encoding="UTF-8"?>
<Relationships xmlns="http://schemas.openxmlformats.org/package/2006/relationships"><Relationship Id="rId1" Type="http://schemas.openxmlformats.org/officeDocument/2006/relationships/customXmlProps" Target="itemProps8.xml"/>
</Relationships>
</file>

<file path=customXml/_rels/item9.xml.rels><?xml version="1.0" encoding="UTF-8"?>
<Relationships xmlns="http://schemas.openxmlformats.org/package/2006/relationships"><Relationship Id="rId1" Type="http://schemas.openxmlformats.org/officeDocument/2006/relationships/customXmlProps" Target="itemProps9.xml"/>
</Relationships>
</file>

<file path=customXml/_rels/item10.xml.rels><?xml version="1.0" encoding="UTF-8"?>
<Relationships xmlns="http://schemas.openxmlformats.org/package/2006/relationships"><Relationship Id="rId1" Type="http://schemas.openxmlformats.org/officeDocument/2006/relationships/customXmlProps" Target="itemProps10.xml"/>
</Relationships>
</file>

<file path=customXml/_rels/item11.xml.rels><?xml version="1.0" encoding="UTF-8"?>
<Relationships xmlns="http://schemas.openxmlformats.org/package/2006/relationships"><Relationship Id="rId1" Type="http://schemas.openxmlformats.org/officeDocument/2006/relationships/customXmlProps" Target="itemProps11.xml"/>
</Relationships>
</file>

<file path=customXml/_rels/item12.xml.rels><?xml version="1.0" encoding="UTF-8"?>
<Relationships xmlns="http://schemas.openxmlformats.org/package/2006/relationships"><Relationship Id="rId1" Type="http://schemas.openxmlformats.org/officeDocument/2006/relationships/customXmlProps" Target="itemProps12.xml"/>
</Relationships>
</file>

<file path=customXml/_rels/item13.xml.rels><?xml version="1.0" encoding="UTF-8"?>
<Relationships xmlns="http://schemas.openxmlformats.org/package/2006/relationships"><Relationship Id="rId1" Type="http://schemas.openxmlformats.org/officeDocument/2006/relationships/customXmlProps" Target="itemProps13.xml"/>
</Relationships>
</file>

<file path=customXml/_rels/item14.xml.rels><?xml version="1.0" encoding="UTF-8"?>
<Relationships xmlns="http://schemas.openxmlformats.org/package/2006/relationships"><Relationship Id="rId1" Type="http://schemas.openxmlformats.org/officeDocument/2006/relationships/customXmlProps" Target="itemProps14.xml"/>
</Relationships>
</file>

<file path=customXml/_rels/item15.xml.rels><?xml version="1.0" encoding="UTF-8"?>
<Relationships xmlns="http://schemas.openxmlformats.org/package/2006/relationships"><Relationship Id="rId1" Type="http://schemas.openxmlformats.org/officeDocument/2006/relationships/customXmlProps" Target="itemProps15.xml"/>
</Relationships>
</file>

<file path=customXml/_rels/item16.xml.rels><?xml version="1.0" encoding="UTF-8"?>
<Relationships xmlns="http://schemas.openxmlformats.org/package/2006/relationships"><Relationship Id="rId1" Type="http://schemas.openxmlformats.org/officeDocument/2006/relationships/customXmlProps" Target="itemProps16.xml"/>
</Relationships>
</file>

<file path=customXml/_rels/item17.xml.rels><?xml version="1.0" encoding="UTF-8"?>
<Relationships xmlns="http://schemas.openxmlformats.org/package/2006/relationships"><Relationship Id="rId1" Type="http://schemas.openxmlformats.org/officeDocument/2006/relationships/customXmlProps" Target="itemProps17.xml"/>
</Relationships>
</file>

<file path=customXml/_rels/item18.xml.rels><?xml version="1.0" encoding="UTF-8"?>
<Relationships xmlns="http://schemas.openxmlformats.org/package/2006/relationships"><Relationship Id="rId1" Type="http://schemas.openxmlformats.org/officeDocument/2006/relationships/customXmlProps" Target="itemProps18.xml"/>
</Relationships>
</file>

<file path=customXml/_rels/item19.xml.rels><?xml version="1.0" encoding="UTF-8"?>
<Relationships xmlns="http://schemas.openxmlformats.org/package/2006/relationships"><Relationship Id="rId1" Type="http://schemas.openxmlformats.org/officeDocument/2006/relationships/customXmlProps" Target="itemProps19.xml"/>
</Relationships>
</file>

<file path=customXml/_rels/item20.xml.rels><?xml version="1.0" encoding="UTF-8"?>
<Relationships xmlns="http://schemas.openxmlformats.org/package/2006/relationships"><Relationship Id="rId1" Type="http://schemas.openxmlformats.org/officeDocument/2006/relationships/customXmlProps" Target="itemProps20.xml"/>
</Relationships>
</file>

<file path=customXml/_rels/item21.xml.rels><?xml version="1.0" encoding="UTF-8"?>
<Relationships xmlns="http://schemas.openxmlformats.org/package/2006/relationships"><Relationship Id="rId1" Type="http://schemas.openxmlformats.org/officeDocument/2006/relationships/customXmlProps" Target="itemProps21.xml"/>
</Relationships>
</file>

<file path=customXml/_rels/item22.xml.rels><?xml version="1.0" encoding="UTF-8"?>
<Relationships xmlns="http://schemas.openxmlformats.org/package/2006/relationships"><Relationship Id="rId1" Type="http://schemas.openxmlformats.org/officeDocument/2006/relationships/customXmlProps" Target="itemProps22.xml"/>
</Relationships>
</file>

<file path=customXml/_rels/item23.xml.rels><?xml version="1.0" encoding="UTF-8"?>
<Relationships xmlns="http://schemas.openxmlformats.org/package/2006/relationships"><Relationship Id="rId1" Type="http://schemas.openxmlformats.org/officeDocument/2006/relationships/customXmlProps" Target="itemProps23.xml"/>
</Relationships>
</file>

<file path=customXml/_rels/item24.xml.rels><?xml version="1.0" encoding="UTF-8"?>
<Relationships xmlns="http://schemas.openxmlformats.org/package/2006/relationships"><Relationship Id="rId1" Type="http://schemas.openxmlformats.org/officeDocument/2006/relationships/customXmlProps" Target="itemProps24.xml"/>
</Relationships>
</file>

<file path=customXml/_rels/item25.xml.rels><?xml version="1.0" encoding="UTF-8"?>
<Relationships xmlns="http://schemas.openxmlformats.org/package/2006/relationships"><Relationship Id="rId1" Type="http://schemas.openxmlformats.org/officeDocument/2006/relationships/customXmlProps" Target="itemProps25.xml"/>
</Relationships>
</file>

<file path=customXml/_rels/item26.xml.rels><?xml version="1.0" encoding="UTF-8"?>
<Relationships xmlns="http://schemas.openxmlformats.org/package/2006/relationships"><Relationship Id="rId1" Type="http://schemas.openxmlformats.org/officeDocument/2006/relationships/customXmlProps" Target="itemProps26.xml"/>
</Relationships>
</file>

<file path=customXml/_rels/item27.xml.rels><?xml version="1.0" encoding="UTF-8"?>
<Relationships xmlns="http://schemas.openxmlformats.org/package/2006/relationships"><Relationship Id="rId1" Type="http://schemas.openxmlformats.org/officeDocument/2006/relationships/customXmlProps" Target="itemProps27.xml"/>
</Relationships>
</file>

<file path=customXml/_rels/item28.xml.rels><?xml version="1.0" encoding="UTF-8"?>
<Relationships xmlns="http://schemas.openxmlformats.org/package/2006/relationships"><Relationship Id="rId1" Type="http://schemas.openxmlformats.org/officeDocument/2006/relationships/customXmlProps" Target="itemProps28.xml"/>
</Relationships>
</file>

<file path=customXml/_rels/item29.xml.rels><?xml version="1.0" encoding="UTF-8"?>
<Relationships xmlns="http://schemas.openxmlformats.org/package/2006/relationships"><Relationship Id="rId1" Type="http://schemas.openxmlformats.org/officeDocument/2006/relationships/customXmlProps" Target="itemProps29.xml"/>
</Relationships>
</file>

<file path=customXml/_rels/item30.xml.rels><?xml version="1.0" encoding="UTF-8"?>
<Relationships xmlns="http://schemas.openxmlformats.org/package/2006/relationships"><Relationship Id="rId1" Type="http://schemas.openxmlformats.org/officeDocument/2006/relationships/customXmlProps" Target="itemProps30.xml"/>
</Relationships>
</file>

<file path=customXml/_rels/item31.xml.rels><?xml version="1.0" encoding="UTF-8"?>
<Relationships xmlns="http://schemas.openxmlformats.org/package/2006/relationships"><Relationship Id="rId1" Type="http://schemas.openxmlformats.org/officeDocument/2006/relationships/customXmlProps" Target="itemProps31.xml"/>
</Relationships>
</file>

<file path=customXml/_rels/item32.xml.rels><?xml version="1.0" encoding="UTF-8"?>
<Relationships xmlns="http://schemas.openxmlformats.org/package/2006/relationships"><Relationship Id="rId1" Type="http://schemas.openxmlformats.org/officeDocument/2006/relationships/customXmlProps" Target="itemProps32.xml"/>
</Relationships>
</file>

<file path=customXml/_rels/item33.xml.rels><?xml version="1.0" encoding="UTF-8"?>
<Relationships xmlns="http://schemas.openxmlformats.org/package/2006/relationships"><Relationship Id="rId1" Type="http://schemas.openxmlformats.org/officeDocument/2006/relationships/customXmlProps" Target="itemProps33.xml"/>
</Relationships>
</file>

<file path=customXml/_rels/item34.xml.rels><?xml version="1.0" encoding="UTF-8"?>
<Relationships xmlns="http://schemas.openxmlformats.org/package/2006/relationships"><Relationship Id="rId1" Type="http://schemas.openxmlformats.org/officeDocument/2006/relationships/customXmlProps" Target="itemProps34.xml"/>
</Relationships>
</file>

<file path=customXml/_rels/item35.xml.rels><?xml version="1.0" encoding="UTF-8"?>
<Relationships xmlns="http://schemas.openxmlformats.org/package/2006/relationships"><Relationship Id="rId1" Type="http://schemas.openxmlformats.org/officeDocument/2006/relationships/customXmlProps" Target="itemProps35.xml"/>
</Relationships>
</file>

<file path=customXml/_rels/item36.xml.rels><?xml version="1.0" encoding="UTF-8"?>
<Relationships xmlns="http://schemas.openxmlformats.org/package/2006/relationships"><Relationship Id="rId1" Type="http://schemas.openxmlformats.org/officeDocument/2006/relationships/customXmlProps" Target="itemProps36.xml"/>
</Relationships>
</file>

<file path=customXml/_rels/item37.xml.rels><?xml version="1.0" encoding="UTF-8"?>
<Relationships xmlns="http://schemas.openxmlformats.org/package/2006/relationships"><Relationship Id="rId1" Type="http://schemas.openxmlformats.org/officeDocument/2006/relationships/customXmlProps" Target="itemProps37.xml"/>
</Relationships>
</file>

<file path=customXml/_rels/item38.xml.rels><?xml version="1.0" encoding="UTF-8"?>
<Relationships xmlns="http://schemas.openxmlformats.org/package/2006/relationships"><Relationship Id="rId1" Type="http://schemas.openxmlformats.org/officeDocument/2006/relationships/customXmlProps" Target="itemProps38.xml"/>
</Relationships>
</file>

<file path=customXml/_rels/item39.xml.rels><?xml version="1.0" encoding="UTF-8"?>
<Relationships xmlns="http://schemas.openxmlformats.org/package/2006/relationships"><Relationship Id="rId1" Type="http://schemas.openxmlformats.org/officeDocument/2006/relationships/customXmlProps" Target="itemProps39.xml"/>
</Relationships>
</file>

<file path=customXml/_rels/item40.xml.rels><?xml version="1.0" encoding="UTF-8"?>
<Relationships xmlns="http://schemas.openxmlformats.org/package/2006/relationships"><Relationship Id="rId1" Type="http://schemas.openxmlformats.org/officeDocument/2006/relationships/customXmlProps" Target="itemProps40.xml"/>
</Relationships>
</file>

<file path=customXml/_rels/item41.xml.rels><?xml version="1.0" encoding="UTF-8"?>
<Relationships xmlns="http://schemas.openxmlformats.org/package/2006/relationships"><Relationship Id="rId1" Type="http://schemas.openxmlformats.org/officeDocument/2006/relationships/customXmlProps" Target="itemProps41.xml"/>
</Relationships>
</file>

<file path=customXml/_rels/item42.xml.rels><?xml version="1.0" encoding="UTF-8"?>
<Relationships xmlns="http://schemas.openxmlformats.org/package/2006/relationships"><Relationship Id="rId1" Type="http://schemas.openxmlformats.org/officeDocument/2006/relationships/customXmlProps" Target="itemProps42.xml"/>
</Relationships>
</file>

<file path=customXml/_rels/item43.xml.rels><?xml version="1.0" encoding="UTF-8"?>
<Relationships xmlns="http://schemas.openxmlformats.org/package/2006/relationships"><Relationship Id="rId1" Type="http://schemas.openxmlformats.org/officeDocument/2006/relationships/customXmlProps" Target="itemProps43.xml"/>
</Relationships>
</file>

<file path=customXml/_rels/item44.xml.rels><?xml version="1.0" encoding="UTF-8"?>
<Relationships xmlns="http://schemas.openxmlformats.org/package/2006/relationships"><Relationship Id="rId1" Type="http://schemas.openxmlformats.org/officeDocument/2006/relationships/customXmlProps" Target="itemProps44.xml"/>
</Relationships>
</file>

<file path=customXml/_rels/item45.xml.rels><?xml version="1.0" encoding="UTF-8"?>
<Relationships xmlns="http://schemas.openxmlformats.org/package/2006/relationships"><Relationship Id="rId1" Type="http://schemas.openxmlformats.org/officeDocument/2006/relationships/customXmlProps" Target="itemProps45.xml"/>
</Relationships>
</file>

<file path=customXml/_rels/item46.xml.rels><?xml version="1.0" encoding="UTF-8"?>
<Relationships xmlns="http://schemas.openxmlformats.org/package/2006/relationships"><Relationship Id="rId1" Type="http://schemas.openxmlformats.org/officeDocument/2006/relationships/customXmlProps" Target="itemProps46.xml"/>
</Relationships>
</file>

<file path=customXml/_rels/item47.xml.rels><?xml version="1.0" encoding="UTF-8"?>
<Relationships xmlns="http://schemas.openxmlformats.org/package/2006/relationships"><Relationship Id="rId1" Type="http://schemas.openxmlformats.org/officeDocument/2006/relationships/customXmlProps" Target="itemProps47.xml"/>
</Relationships>
</file>

<file path=customXml/_rels/item48.xml.rels><?xml version="1.0" encoding="UTF-8"?>
<Relationships xmlns="http://schemas.openxmlformats.org/package/2006/relationships"><Relationship Id="rId1" Type="http://schemas.openxmlformats.org/officeDocument/2006/relationships/customXmlProps" Target="itemProps48.xml"/>
</Relationships>
</file>

<file path=customXml/_rels/item49.xml.rels><?xml version="1.0" encoding="UTF-8"?>
<Relationships xmlns="http://schemas.openxmlformats.org/package/2006/relationships"><Relationship Id="rId1" Type="http://schemas.openxmlformats.org/officeDocument/2006/relationships/customXmlProps" Target="itemProps49.xml"/>
</Relationships>
</file>

<file path=customXml/_rels/item50.xml.rels><?xml version="1.0" encoding="UTF-8"?>
<Relationships xmlns="http://schemas.openxmlformats.org/package/2006/relationships"><Relationship Id="rId1" Type="http://schemas.openxmlformats.org/officeDocument/2006/relationships/customXmlProps" Target="itemProps50.xml"/>
</Relationships>
</file>

<file path=customXml/_rels/item51.xml.rels><?xml version="1.0" encoding="UTF-8"?>
<Relationships xmlns="http://schemas.openxmlformats.org/package/2006/relationships"><Relationship Id="rId1" Type="http://schemas.openxmlformats.org/officeDocument/2006/relationships/customXmlProps" Target="itemProps51.xml"/>
</Relationships>
</file>

<file path=customXml/_rels/item52.xml.rels><?xml version="1.0" encoding="UTF-8"?>
<Relationships xmlns="http://schemas.openxmlformats.org/package/2006/relationships"><Relationship Id="rId1" Type="http://schemas.openxmlformats.org/officeDocument/2006/relationships/customXmlProps" Target="itemProps52.xml"/>
</Relationships>
</file>

<file path=customXml/_rels/item53.xml.rels><?xml version="1.0" encoding="UTF-8"?>
<Relationships xmlns="http://schemas.openxmlformats.org/package/2006/relationships"><Relationship Id="rId1" Type="http://schemas.openxmlformats.org/officeDocument/2006/relationships/customXmlProps" Target="itemProps53.xml"/>
</Relationships>
</file>

<file path=customXml/_rels/item54.xml.rels><?xml version="1.0" encoding="UTF-8"?>
<Relationships xmlns="http://schemas.openxmlformats.org/package/2006/relationships"><Relationship Id="rId1" Type="http://schemas.openxmlformats.org/officeDocument/2006/relationships/customXmlProps" Target="itemProps54.xml"/>
</Relationships>
</file>

<file path=customXml/_rels/item55.xml.rels><?xml version="1.0" encoding="UTF-8"?>
<Relationships xmlns="http://schemas.openxmlformats.org/package/2006/relationships"><Relationship Id="rId1" Type="http://schemas.openxmlformats.org/officeDocument/2006/relationships/customXmlProps" Target="itemProps55.xml"/>
</Relationships>
</file>

<file path=customXml/_rels/item56.xml.rels><?xml version="1.0" encoding="UTF-8"?>
<Relationships xmlns="http://schemas.openxmlformats.org/package/2006/relationships"><Relationship Id="rId1" Type="http://schemas.openxmlformats.org/officeDocument/2006/relationships/customXmlProps" Target="itemProps56.xml"/>
</Relationships>
</file>

<file path=customXml/_rels/item57.xml.rels><?xml version="1.0" encoding="UTF-8"?>
<Relationships xmlns="http://schemas.openxmlformats.org/package/2006/relationships"><Relationship Id="rId1" Type="http://schemas.openxmlformats.org/officeDocument/2006/relationships/customXmlProps" Target="itemProps57.xml"/>
</Relationships>
</file>

<file path=customXml/_rels/item58.xml.rels><?xml version="1.0" encoding="UTF-8"?>
<Relationships xmlns="http://schemas.openxmlformats.org/package/2006/relationships"><Relationship Id="rId1" Type="http://schemas.openxmlformats.org/officeDocument/2006/relationships/customXmlProps" Target="itemProps58.xml"/>
</Relationships>
</file>

<file path=customXml/_rels/item59.xml.rels><?xml version="1.0" encoding="UTF-8"?>
<Relationships xmlns="http://schemas.openxmlformats.org/package/2006/relationships"><Relationship Id="rId1" Type="http://schemas.openxmlformats.org/officeDocument/2006/relationships/customXmlProps" Target="itemProps59.xml"/>
</Relationships>
</file>

<file path=customXml/_rels/item60.xml.rels><?xml version="1.0" encoding="UTF-8"?>
<Relationships xmlns="http://schemas.openxmlformats.org/package/2006/relationships"><Relationship Id="rId1" Type="http://schemas.openxmlformats.org/officeDocument/2006/relationships/customXmlProps" Target="itemProps60.xml"/>
</Relationships>
</file>

<file path=customXml/_rels/item61.xml.rels><?xml version="1.0" encoding="UTF-8"?>
<Relationships xmlns="http://schemas.openxmlformats.org/package/2006/relationships"><Relationship Id="rId1" Type="http://schemas.openxmlformats.org/officeDocument/2006/relationships/customXmlProps" Target="itemProps61.xml"/>
</Relationships>
</file>

<file path=customXml/_rels/item62.xml.rels><?xml version="1.0" encoding="UTF-8"?>
<Relationships xmlns="http://schemas.openxmlformats.org/package/2006/relationships"><Relationship Id="rId1" Type="http://schemas.openxmlformats.org/officeDocument/2006/relationships/customXmlProps" Target="itemProps62.xml"/>
</Relationships>
</file>

<file path=customXml/_rels/item63.xml.rels><?xml version="1.0" encoding="UTF-8"?>
<Relationships xmlns="http://schemas.openxmlformats.org/package/2006/relationships"><Relationship Id="rId1" Type="http://schemas.openxmlformats.org/officeDocument/2006/relationships/customXmlProps" Target="itemProps63.xml"/>
</Relationships>
</file>

<file path=customXml/_rels/item64.xml.rels><?xml version="1.0" encoding="UTF-8"?>
<Relationships xmlns="http://schemas.openxmlformats.org/package/2006/relationships"><Relationship Id="rId1" Type="http://schemas.openxmlformats.org/officeDocument/2006/relationships/customXmlProps" Target="itemProps64.xml"/>
</Relationships>
</file>

<file path=customXml/_rels/item65.xml.rels><?xml version="1.0" encoding="UTF-8"?>
<Relationships xmlns="http://schemas.openxmlformats.org/package/2006/relationships"><Relationship Id="rId1" Type="http://schemas.openxmlformats.org/officeDocument/2006/relationships/customXmlProps" Target="itemProps65.xml"/>
</Relationships>
</file>

<file path=customXml/_rels/item66.xml.rels><?xml version="1.0" encoding="UTF-8"?>
<Relationships xmlns="http://schemas.openxmlformats.org/package/2006/relationships"><Relationship Id="rId1" Type="http://schemas.openxmlformats.org/officeDocument/2006/relationships/customXmlProps" Target="itemProps66.xml"/>
</Relationships>
</file>

<file path=customXml/_rels/item67.xml.rels><?xml version="1.0" encoding="UTF-8"?>
<Relationships xmlns="http://schemas.openxmlformats.org/package/2006/relationships"><Relationship Id="rId1" Type="http://schemas.openxmlformats.org/officeDocument/2006/relationships/customXmlProps" Target="itemProps67.xml"/>
</Relationships>
</file>

<file path=customXml/_rels/item68.xml.rels><?xml version="1.0" encoding="UTF-8"?>
<Relationships xmlns="http://schemas.openxmlformats.org/package/2006/relationships"><Relationship Id="rId1" Type="http://schemas.openxmlformats.org/officeDocument/2006/relationships/customXmlProps" Target="itemProps68.xml"/>
</Relationships>
</file>

<file path=customXml/item1.xml><?xml version="1.0" encoding="utf-8"?>
<Gemini xmlns="http://gemini/pivotcustomization/8232d3c8-86e4-432d-adea-ef4a6032fb53">
  <CustomContent><![CDATA[<?xml version="1.0" encoding="utf-16"?><Settings><CalculatedFields><item><MeasureName>Gender Pay Gap</MeasureName><DisplayName>Gender Pay Gap</DisplayName><Visible>False</Visible></item><item><MeasureName>Salary Spread within Tier</MeasureName><DisplayName>Salary Spread within Tier</DisplayName><Visible>False</Visible></item><item><MeasureName>Headcount</MeasureName><DisplayName>Headcount</DisplayName><Visible>False</Visible></item><item><MeasureName>Total Monthly Premium Cost</MeasureName><DisplayName>Total Monthly Premium Cost</DisplayName><Visible>False</Visible></item><item><MeasureName>Average Salary</MeasureName><DisplayName>Average Salary</DisplayName><Visible>False</Visible></item><item><MeasureName>High-Cost Employee %</MeasureName><DisplayName>High-Cost Employee %</DisplayName><Visible>False</Visible></item></CalculatedFields><SAHostHash>0</SAHostHash><GeminiFieldListVisible>True</GeminiFieldListVisible></Settings>]]></CustomContent>
</Gemini>
</file>

<file path=customXml/item2.xml><?xml version="1.0" encoding="utf-8"?>
<Gemini xmlns="http://gemini/pivotcustomization/f2eba3cb-6aa7-4e27-b264-18b3b07af5a3">
  <CustomContent><![CDATA[<?xml version="1.0" encoding="utf-16"?><Settings><CalculatedFields><item><MeasureName>Gender Pay Gap</MeasureName><DisplayName>Gender Pay Gap</DisplayName><Visible>False</Visible></item><item><MeasureName>Salary Spread within Tier</MeasureName><DisplayName>Salary Spread within Tier</DisplayName><Visible>False</Visible></item></CalculatedFields><SAHostHash>0</SAHostHash><GeminiFieldListVisible>True</GeminiFieldListVisible></Settings>]]></CustomContent>
</Gemini>
</file>

<file path=customXml/item3.xml><?xml version="1.0" encoding="utf-8"?>
<Gemini xmlns="http://gemini/pivotcustomization/FormulaBarState">
  <CustomContent><![CDATA[<SandboxEditor.FormulaBarState xmlns="http://schemas.datacontract.org/2004/07/Microsoft.AnalysisServices.Common" xmlns:i="http://www.w3.org/2001/XMLSchema-instance"><Height>21</Height></SandboxEditor.FormulaBarState>]]></CustomContent>
</Gemini>
</file>

<file path=customXml/item4.xml><?xml version="1.0" encoding="utf-8"?>
<Gemini xmlns="http://gemini/pivotcustomization/ErrorCache">
  <CustomContent><![CDATA[<DataModelingSandbox.SerializedSandboxErrorCache xmlns="http://schemas.datacontract.org/2004/07/Microsoft.AnalysisServices.BackEnd" xmlns:i="http://www.w3.org/2001/XMLSchema-instance"><ErrorCacheDictionary xmlns:a="http://schemas.microsoft.com/2003/10/Serialization/Arrays"/><LastProcessedTime>2026-07-16T23:53:27.6515344+05:30</LastProcessedTime></DataModelingSandbox.SerializedSandboxErrorCache>]]></CustomContent>
</Gemini>
</file>

<file path=customXml/item5.xml><?xml version="1.0" encoding="utf-8"?>
<Gemini xmlns="http://gemini/pivotcustomization/TableXML_Query_Audit_Exceptions_02543f7d-340f-41dd-a8bf-37506debecb1">
  <CustomContent><![CDATA[<TableWidgetGridSerialization xmlns:xsd="http://www.w3.org/2001/XMLSchema" xmlns:xsi="http://www.w3.org/2001/XMLSchema-instance"><ColumnSuggestedType /><ColumnFormat /><ColumnAccuracy /><ColumnCurrencySymbol /><ColumnPositivePattern /><ColumnNegativePattern /><ColumnWidths><item><key><string>Employee ID</string></key><value><int>119</int></value></item><item><key><string>Full Name</string></key><value><int>102</int></value></item><item><key><string>Gender</string></key><value><int>84</int></value></item><item><key><string>Department</string></key><value><int>112</int></value></item><item><key><string>Location</string></key><value><int>92</int></value></item><item><key><string>Monthly Base Salary (INR)</string></key><value><int>209</int></value></item><item><key><string>Corporate Benefit Plan</string></key><value><int>184</int></value></item><item><key><string>Insurance tier</string></key><value><int>123</int></value></item><item><key><string>Monthly Premiums</string></key><value><int>159</int></value></item><item><key><string>Salary Bracket</string></key><value><int>131</int></value></item><item><key><string>Salary Tier</string></key><value><int>105</int></value></item><item><key><string>Vendor Survey Job Code</string></key><value><int>200</int></value></item><item><key><string>Vendor Global Group Name</string></key><value><int>219</int></value></item></ColumnWidths><ColumnDisplayIndex><item><key><string>Employee ID</string></key><value><int>0</int></value></item><item><key><string>Full Name</string></key><value><int>1</int></value></item><item><key><string>Gender</string></key><value><int>2</int></value></item><item><key><string>Department</string></key><value><int>3</int></value></item><item><key><string>Location</string></key><value><int>4</int></value></item><item><key><string>Monthly Base Salary (INR)</string></key><value><int>5</int></value></item><item><key><string>Corporate Benefit Plan</string></key><value><int>6</int></value></item><item><key><string>Insurance tier</string></key><value><int>7</int></value></item><item><key><string>Monthly Premiums</string></key><value><int>8</int></value></item><item><key><string>Salary Bracket</string></key><value><int>9</int></value></item><item><key><string>Salary Tier</string></key><value><int>10</int></value></item><item><key><string>Vendor Survey Job Code</string></key><value><int>11</int></value></item><item><key><string>Vendor Global Group Name</string></key><value><int>12</int></value></item></ColumnDisplayIndex><ColumnFrozen /><ColumnChecked /><ColumnFilter /><SelectionFilter /><FilterParameters /><IsSortDescending>false</IsSortDescending></TableWidgetGridSerialization>]]></CustomContent>
</Gemini>
</file>

<file path=customXml/item6.xml><?xml version="1.0" encoding="utf-8"?>
<Gemini xmlns="http://gemini/pivotcustomization/9891e312-b039-450b-9cfa-0063dbfe8184">
  <CustomContent><![CDATA[<?xml version="1.0" encoding="utf-16"?><Settings><CalculatedFields><item><MeasureName>Gender Pay Gap</MeasureName><DisplayName>Gender Pay Gap</DisplayName><Visible>False</Visible></item><item><MeasureName>Salary Spread within Tier</MeasureName><DisplayName>Salary Spread within Tier</DisplayName><Visible>False</Visible></item><item><MeasureName>Headcount</MeasureName><DisplayName>Headcount</DisplayName><Visible>False</Visible></item><item><MeasureName>Total Monthly Premium Cost</MeasureName><DisplayName>Total Monthly Premium Cost</DisplayName><Visible>False</Visible></item><item><MeasureName>Average Salary</MeasureName><DisplayName>Average Salary</DisplayName><Visible>False</Visible></item><item><MeasureName>High-Cost Employee %</MeasureName><DisplayName>High-Cost Employee %</DisplayName><Visible>False</Visible></item></CalculatedFields><SAHostHash>0</SAHostHash><GeminiFieldListVisible>True</GeminiFieldListVisible></Settings>]]></CustomContent>
</Gemini>
</file>

<file path=customXml/item7.xml><?xml version="1.0" encoding="UTF-8"?>
<Gemini xmlns="http://gemini/pivotcustomization/TableXML_Indian_Corporate_Workforce_Dataset  3_6e343527-973f-4441-bfc8-4e2b98543b0d"><CustomContent xmlns="http://gemini/pivotcustomization/TableXML_Indian_Corporate_Workforce_Dataset 3_6e343527-973f-4441-bfc8-4e2b98543b0d"><![CDATA[<TableWidgetGridSerialization xmlns:xsd="http://www.w3.org/2001/XMLSchema" xmlns:xsi="http://www.w3.org/2001/XMLSchema-instance"><ColumnSuggestedType /><ColumnFormat /><ColumnAccuracy /><ColumnCurrencySymbol /><ColumnPositivePattern /><ColumnNegativePattern /><ColumnWidths><item><key><string>Employee ID</string></key><value><int>119</int></value></item><item><key><string>Full Name</string></key><value><int>102</int></value></item><item><key><string>Department</string></key><value><int>112</int></value></item><item><key><string>Location</string></key><value><int>92</int></value></item><item><key><string>Monthly Base Salary (INR)</string></key><value><int>209</int></value></item><item><key><string>Corporate Benefit Plan</string></key><value><int>184</int></value></item><item><key><string>Insurance tier</string></key><value><int>123</int></value></item><item><key><string>Monthly Premiums</string></key><value><int>159</int></value></item><item><key><string>Salary Bracket</string></key><value><int>131</int></value></item></ColumnWidths><ColumnDisplayIndex><item><key><string>Employee ID</string></key><value><int>0</int></value></item><item><key><string>Full Name</string></key><value><int>1</int></value></item><item><key><string>Department</string></key><value><int>2</int></value></item><item><key><string>Location</string></key><value><int>3</int></value></item><item><key><string>Monthly Base Salary (INR)</string></key><value><int>4</int></value></item><item><key><string>Corporate Benefit Plan</string></key><value><int>5</int></value></item><item><key><string>Insurance tier</string></key><value><int>6</int></value></item><item><key><string>Monthly Premiums</string></key><value><int>7</int></value></item><item><key><string>Salary Bracket</string></key><value><int>8</int></value></item></ColumnDisplayIndex><ColumnFrozen /><ColumnChecked /><ColumnFilter /><SelectionFilter /><FilterParameters /><IsSortDescending>false</IsSortDescending></TableWidgetGridSerialization>]]></CustomContent></Gemini>
</file>

<file path=customXml/item8.xml><?xml version="1.0" encoding="utf-8"?>
<Gemini xmlns="http://gemini/pivotcustomization/TableXML_Indian_Employee_Data_3918fd26-4389-4336-bf2f-aff2a97afc30">
  <CustomContent><![CDATA[<TableWidgetGridSerialization xmlns:xsd="http://www.w3.org/2001/XMLSchema" xmlns:xsi="http://www.w3.org/2001/XMLSchema-instance"><ColumnSuggestedType /><ColumnFormat /><ColumnAccuracy /><ColumnCurrencySymbol /><ColumnPositivePattern /><ColumnNegativePattern /><ColumnWidths><item><key><string>Employee ID</string></key><value><int>119</int></value></item><item><key><string>Full Name</string></key><value><int>102</int></value></item><item><key><string>Gender</string></key><value><int>84</int></value></item><item><key><string>Department</string></key><value><int>112</int></value></item><item><key><string>Location</string></key><value><int>92</int></value></item><item><key><string>Monthly Base Salary (INR)</string></key><value><int>209</int></value></item><item><key><string>Corporate Benefit Plan</string></key><value><int>184</int></value></item><item><key><string>Insurance tier</string></key><value><int>123</int></value></item><item><key><string>Monthly Premiums</string></key><value><int>159</int></value></item><item><key><string>Salary Bracket</string></key><value><int>131</int></value></item><item><key><string>Salary Tier</string></key><value><int>105</int></value></item><item><key><string>Vendor Survey Job Code</string></key><value><int>200</int></value></item><item><key><string>Vendor Global Group Name</string></key><value><int>219</int></value></item></ColumnWidths><ColumnDisplayIndex><item><key><string>Employee ID</string></key><value><int>0</int></value></item><item><key><string>Full Name</string></key><value><int>1</int></value></item><item><key><string>Gender</string></key><value><int>2</int></value></item><item><key><string>Department</string></key><value><int>3</int></value></item><item><key><string>Location</string></key><value><int>4</int></value></item><item><key><string>Monthly Base Salary (INR)</string></key><value><int>5</int></value></item><item><key><string>Corporate Benefit Plan</string></key><value><int>6</int></value></item><item><key><string>Insurance tier</string></key><value><int>7</int></value></item><item><key><string>Monthly Premiums</string></key><value><int>8</int></value></item><item><key><string>Salary Bracket</string></key><value><int>9</int></value></item><item><key><string>Salary Tier</string></key><value><int>10</int></value></item><item><key><string>Vendor Survey Job Code</string></key><value><int>11</int></value></item><item><key><string>Vendor Global Group Name</string></key><value><int>12</int></value></item></ColumnDisplayIndex><ColumnFrozen /><ColumnChecked /><ColumnFilter /><SelectionFilter /><FilterParameters /><IsSortDescending>false</IsSortDescending></TableWidgetGridSerialization>]]></CustomContent>
</Gemini>
</file>

<file path=customXml/item9.xml><?xml version="1.0" encoding="utf-8"?>
<Gemini xmlns="http://gemini/pivotcustomization/1b76a591-1284-4bd3-aab4-21e5b7b4f4f0">
  <CustomContent><![CDATA[<?xml version="1.0" encoding="utf-16"?><Settings><CalculatedFields><item><MeasureName>Gender Pay Gap</MeasureName><DisplayName>Gender Pay Gap</DisplayName><Visible>False</Visible></item><item><MeasureName>Salary Spread within Tier</MeasureName><DisplayName>Salary Spread within Tier</DisplayName><Visible>False</Visible></item><item><MeasureName>Headcount</MeasureName><DisplayName>Headcount</DisplayName><Visible>False</Visible></item><item><MeasureName>Total Monthly Premium Cost</MeasureName><DisplayName>Total Monthly Premium Cost</DisplayName><Visible>False</Visible></item><item><MeasureName>Average Salary</MeasureName><DisplayName>Average Salary</DisplayName><Visible>False</Visible></item><item><MeasureName>High-Cost Employee %</MeasureName><DisplayName>High-Cost Employee %</DisplayName><Visible>False</Visible></item></CalculatedFields><SAHostHash>0</SAHostHash><GeminiFieldListVisible>True</GeminiFieldListVisible></Settings>]]></CustomContent>
</Gemini>
</file>

<file path=customXml/item10.xml><?xml version="1.0" encoding="utf-8"?>
<DataMashup xmlns="http://schemas.microsoft.com/DataMashup" sqmid="7edbf8e1-2c1a-4af0-8e7d-4feb27dc4e40">AAAAAIwIAABQSwMEFAACAAgASqDzXFc4jq2mAAAA9gAAABIAHABDb25maWcvUGFja2FnZS54bWwgohgAKKAUAAAAAAAAAAAAAAAAAAAAAAAAAAAAhY8xDoIwGIWvQrrTlhqMkp8yOJmIMTExrk2t0AjF0GK5m4NH8gpiFHVzfN/7hvfu1xtkfV0FF9Va3ZgURZiiQBnZHLQpUtS5YzhDGYeNkCdRqGCQjU16e0hR6dw5IcR7j/0EN21BGKUR2eerrSxVLdBH1v/lUBvrhJEKcdi9xnCGozjGUzbHFMgIIdfmK7Bh77P9gbDoKte1iisTLtdAxgjk/YE/AFBLAwQUAAIACABKoPNc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SqDzXNfAVQaEBQAAfiIAABMAHABGb3JtdWxhcy9TZWN0aW9uMS5tIKIYACigFAAAAAAAAAAAAAAAAAAAAAAAAAAAAO1YW0/bSBR+R+I/jKbSKpGsiKSlLdtNJQiXpQuFJaH7ECI0sQ/EYjwTjcdAivjve8YXPHbspN2HVl25QmWYy/nO5ZtzxicEV/tSkGHyu/thc2NzI5wxBR45Fp7PxPVBMOdyAXC9zzQjfcJBb24Q/DeUkXIBZw4eXeCdf6S6m0p51zr0OXQGUmgQOmzRwe9XlyGo8OqeMbW42pcPgkvmhVd7IODG1yH5jVzAA1NeSPZZOJtKHF6l4AOp5lIxDddG/I1EwFiPEHTnkYePtO0QEXHuEK0iaDuJZmsOXw9nABoVTyx4Gh9rCPp0zSnq/OULr0/jw3TyPDaTkxTxFb2AQN6j1870DBQZSB4FIqQIMmJT9McQOLo4nW59k4LOE032d6lD0mEvH77Oh2/y4XY+fJsP3+XD9/lwhz63X/Q/VzKQGg34E5iH4ermuqdL6UKrzlaHjNOdu5wPXcaZCvsmLJMMJXbTnDMXz35hPIIcI52PZ1tV2jgUfy7FnUD+UCfdrgrn0GH7MGdKB8g827YiaLcWtaTct0GeSJeZu2MDDmZM3KKc0WJu2ThSTIQY5SDxmFkMl1DR0qcneorXZ8YXJL0j6ONQk9bx54s2unkQKQXCXXSMhGcLdtfzUMwgCrUMclicTQBbJcWQCMcijFArvMbaB4UzwNwZ8W/I+IWbJN8zwj0T8sfH+MoRJrw12yglyBCxYtfmBvAQDOCJH+o4azAfL8hTd3try9nB/56d8atV7pi0Ewy6p6T4CrRWYu89SnzT+w6JQ5/fo1NqJb59t406bn2HxCPJvUwedWfg3hElH6hFHDb3NeP+V4zRgQkFJgavlkGGPYWYG+pk+Zoc72M8R/CozQWeg8IciVEnGmds0oyUHwSGEji/EqlatxpII7UG0Na4W03Tgk5I08y35woCPwpCm6irPf/C1oSIqzenkbkAFy3rHPrAvTO1Dzcs4rqVqD8mCc9MBr/3vYhxNCAma7KerJ5jAcXih2x3eWSs7ZOdfE/Cq4KEmJz26iELfNTyEEulxhzbJ4a56Q7DogqEmI75jiUJhqlkksZnIIOpL6CFxa+QAnDduq2Zk845E5PntNaSdnWi667NdMXIF/IcVnQyNCVjsT7NZeVnqcgmCxZjC9rF9bQ6D9kcqyBGbSnprSglRR0dOoKZkFzeLuKxO1uuKCYwtTUMX1UYRpR4IR/s4pw8LMzkUinpZdfEfhuVN72uNaGE6NA99CaXyhRGdNItblNRrRVVZTGNv0TmmyVkfuKe6iRQ1hNjlDJkTzH3DnRNFliiEiYBgrcP2Z9k4UuBTwqcuaMky+xrzn8kvS1LwO4UY2umMgnoD/0AuIRC47oYr+WGD6XSFaHD2dYKr5gLsmTxmULlO7uhC7hf3D7XUaSGIQVNUv+Nc8aVqntpgdIasF4NWlGjDC6jRgmsMG1D2de4tzbJlBSzs4xVPr7pDdVb/4jqWbQclZ5QazjZT94T54DPfqHxo6n8PlstwCFbnd529rL4FAlf2m+VH4C+vZWhn/rej4V+92L4EGzD6Ql+L1jUOQVlpP4dgfLBuhOfIcRr8En6olUOuUOKKdhBMV/wsklFTtk8Xj7Gb1tlLmpxX3GbEW6+GDsncKPPIjyRq3XwOEfKm9SWn3jRLVmMxy+UK9lRxnrK/hxG6h4WiD3FJOKBtfGIyylqfKRkNCefWQBG4/92rr254YtVpthdhILzfo32ga1y8ilOl5oFtvtX9gXKX7IrPquXUFd8UdshWIKw/W8os7jejbC4XBtPz02KDX+NQDR9nKaP0/Rxmj5O08dp+jhNH6fp4zR9nKaP0/Rxmj7O/7+P8/PaOD+1i9M0cX5cE6c6A7yuyQBVxmZ5oBp+goLw9tuNihLSh38BUEsBAi0AFAACAAgASqDzXFc4jq2mAAAA9gAAABIAAAAAAAAAAAAAAAAAAAAAAENvbmZpZy9QYWNrYWdlLnhtbFBLAQItABQAAgAIAEqg81wPyumrpAAAAOkAAAATAAAAAAAAAAAAAAAAAPIAAABbQ29udGVudF9UeXBlc10ueG1sUEsBAi0AFAACAAgASqDzXNfAVQaEBQAAfiIAABMAAAAAAAAAAAAAAAAA4wEAAEZvcm11bGFzL1NlY3Rpb24xLm1QSwUGAAAAAAMAAwDCAAAAtAcAAAAAEAEAAO+7vzw/eG1sIHZlcnNpb249IjEuMCIgZW5jb2Rpbmc9InV0Zi04Ij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xUcAAAAAAACjRwAA77u/PD94bWwgdmVyc2lvbj0iMS4wIiBlbmNvZGluZz0idXRmLTgiPz48TG9jYWxQYWNrYWdlTWV0YWRhdGFGaWxlIHhtbG5zOnhzZD0iaHR0cDovL3d3dy53My5vcmcvMjAwMS9YTUxTY2hlbWEiIHhtbG5zOnhzaT0iaHR0cDovL3d3dy53My5vcmcvMjAwMS9YTUxTY2hlbWEtaW5zdGFuY2UiPjxJdGVtcz48SXRlbT48SXRlbUxvY2F0aW9uPjxJdGVtVHlwZT5BbGxGb3JtdWxhczwvSXRlbVR5cGU+PEl0ZW1QYXRoIC8+PC9JdGVtTG9jYXRpb24+PFN0YWJsZUVudHJpZXM+PEVudHJ5IFR5cGU9IlJlbGF0aW9uc2hpcHMiIFZhbHVlPSJzQUFBQUFBPT0iIC8+PC9TdGFibGVFbnRyaWVzPjwvSXRlbT48SXRlbT48SXRlbUxvY2F0aW9uPjxJdGVtVHlwZT5Gb3JtdWxhPC9JdGVtVHlwZT48SXRlbVBhdGg+U2VjdGlvbjEvSW5kaWFuX0VtcGxveWVlX0RhdGE8L0l0ZW1QYXRoPjwvSXRlbUxvY2F0aW9uPjxTdGFibGVFbnRyaWVzPjxFbnRyeSBUeXBlPSJJc1ByaXZhdGUiIFZhbHVlPSJsMCIgLz48RW50cnkgVHlwZT0iUXVlcnlJRCIgVmFsdWU9InM1MjkzN2Y5OS0wNGZiLTQwMDUtYTViZC1mN2MzYzMyNjZhZjIiIC8+PEVudHJ5IFR5cGU9IkJ1ZmZlck5leHRSZWZyZXNoIiBWYWx1ZT0ibDEiIC8+PEVudHJ5IFR5cGU9IlJlc3VsdFR5cGUiIFZhbHVlPSJzVGFibGUiIC8+PEVudHJ5IFR5cGU9Ik5hbWVVcGRhdGVkQWZ0ZXJGaWxsIiBWYWx1ZT0ibDAiIC8+PEVudHJ5IFR5cGU9Ik5hdmlnYXRpb25TdGVwTmFtZSIgVmFsdWU9InNOYXZpZ2F0aW9uIiAvPjxFbnRyeSBUeXBlPSJSZWNvdmVyeVRhcmdldFJvdyIgVmFsdWU9ImwxIiAvPjxFbnRyeSBUeXBlPSJGaWxsZWRDb21wbGV0ZVJlc3VsdFRvV29ya3NoZWV0IiBWYWx1ZT0ibDEiIC8+PEVudHJ5IFR5cGU9IkZpbGxFbmFibGVkIiBWYWx1ZT0ibDEiIC8+PEVudHJ5IFR5cGU9IkZpbGxMYXN0VXBkYXRlZCIgVmFsdWU9ImQyMDI2LTA3LTE5VDE0OjMyOjA4LjQxNTE0MjlaIiAvPjxFbnRyeSBUeXBlPSJGaWxsQ29sdW1uVHlwZXMiIFZhbHVlPSJzQmdBQUJnWVJBQUFSQUFBQUFBPT0iIC8+PEVudHJ5IFR5cGU9IlJlY292ZXJ5VGFyZ2V0Q29sdW1uIiBWYWx1ZT0ibDEiIC8+PEVudHJ5IFR5cGU9IkZpbGxTdGF0dXMiIFZhbHVlPSJzQ29tcGxldGUiIC8+PEVudHJ5IFR5cGU9IkZpbGxFcnJvckNvdW50IiBWYWx1ZT0ibDAiIC8+PEVudHJ5IFR5cGU9IkZpbGxFcnJvckNvZGUiIFZhbHVlPSJzVW5rbm93biIgLz48RW50cnkgVHlwZT0iUmVsYXRpb25zaGlwSW5mb0NvbnRhaW5lciIgVmFsdWU9InN7JnF1b3Q7Y29sdW1uQ291bnQmcXVvdDs6MTMsJnF1b3Q7a2V5Q29sdW1uTmFtZXMmcXVvdDs6W10sJnF1b3Q7cXVlcnlSZWxhdGlvbnNoaXBzJnF1b3Q7OltdLCZxdW90O2NvbHVtbklkZW50aXRpZXMmcXVvdDs6WyZxdW90O1NlY3Rpb24xL0luZGlhbl9FbXBsb3llZV9EYXRhL1RyaW1tZWQgVGV4dC57RW1wbG95ZWUgSUQsMH0mcXVvdDssJnF1b3Q7U2VjdGlvbjEvSW5kaWFuX0VtcGxveWVlX0RhdGEvUHJvbW90ZWQgSGVhZGVyczEue0Z1bGwgTmFtZSwxfSZxdW90OywmcXVvdDtTZWN0aW9uMS9JbmRpYW5fRW1wbG95ZWVfRGF0YS9Qcm9tb3RlZCBIZWFkZXJzMS57R2VuZGVyLDJ9JnF1b3Q7LCZxdW90O1NlY3Rpb24xL0luZGlhbl9FbXBsb3llZV9EYXRhL1JlcGxhY2VkIFZhbHVlMi57RGVwYXJ0bWVudCwzfSZxdW90OywmcXVvdDtTZWN0aW9uMS9JbmRpYW5fRW1wbG95ZWVfRGF0YS9SZXBsYWNlZCBWYWx1ZTMue0xvY2F0aW9uLDR9JnF1b3Q7LCZxdW90O1NlY3Rpb24xL0luZGlhbl9FbXBsb3llZV9EYXRhL0NoYW5nZWQgVHlwZTEue01vbnRobHkgQmFzZSBTYWxhcnkgKElOUiksNX0mcXVvdDssJnF1b3Q7U2VjdGlvbjEvSW5kaWFuX0VtcGxveWVlX0RhdGEvUHJvbW90ZWQgSGVhZGVyczEue0NvcnBvcmF0ZSBCZW5lZml0IFBsYW4sN30mcXVvdDssJnF1b3Q7U2VjdGlvbjEvSW5kaWFuX0VtcGxveWVlX0RhdGEvQWRkZWQgQ3VzdG9tLntJbnN1cmFuY2UgdGllciw5fSZxdW90OywmcXVvdDtTZWN0aW9uMS9JbmRpYW5fRW1wbG95ZWVfRGF0YS9DaGFuZ2VkIFR5cGUyLntNb250aGx5IFByZW1pdW1zLDh9JnF1b3Q7LCZxdW90O1NlY3Rpb24xL0luZGlhbl9FbXBsb3llZV9EYXRhL0FkZGVkIENvbmRpdGlvbmFsIENvbHVtbi57U2FsYXJ5IEJyYWNrZXQsOX0mcXVvdDssJnF1b3Q7U2VjdGlvbjEvSW5kaWFuX0VtcGxveWVlX0RhdGEvQWRkZWQgQ3VzdG9tMi57U2FsYXJ5IFRpZXIsMTB9JnF1b3Q7LCZxdW90O1NlY3Rpb24xL1ZlbmRvciBNYXAvUHJvbW90ZWQgSGVhZGVycy57VmVuZG9yIFN1cnZleSBKb2IgQ29kZSwxfSZxdW90OywmcXVvdDtTZWN0aW9uMS9WZW5kb3IgTWFwL1Byb21vdGVkIEhlYWRlcnMue1ZlbmRvciBHbG9iYWwgR3JvdXAgTmFtZSwyfSZxdW90O10sJnF1b3Q7Q29sdW1uQ291bnQmcXVvdDs6MTMsJnF1b3Q7S2V5Q29sdW1uTmFtZXMmcXVvdDs6W10sJnF1b3Q7Q29sdW1uSWRlbnRpdGllcyZxdW90OzpbJnF1b3Q7U2VjdGlvbjEvSW5kaWFuX0VtcGxveWVlX0RhdGEvVHJpbW1lZCBUZXh0LntFbXBsb3llZSBJRCwwfSZxdW90OywmcXVvdDtTZWN0aW9uMS9JbmRpYW5fRW1wbG95ZWVfRGF0YS9Qcm9tb3RlZCBIZWFkZXJzMS57RnVsbCBOYW1lLDF9JnF1b3Q7LCZxdW90O1NlY3Rpb24xL0luZGlhbl9FbXBsb3llZV9EYXRhL1Byb21vdGVkIEhlYWRlcnMxLntHZW5kZXIsMn0mcXVvdDssJnF1b3Q7U2VjdGlvbjEvSW5kaWFuX0VtcGxveWVlX0RhdGEvUmVwbGFjZWQgVmFsdWUyLntEZXBhcnRtZW50LDN9JnF1b3Q7LCZxdW90O1NlY3Rpb24xL0luZGlhbl9FbXBsb3llZV9EYXRhL1JlcGxhY2VkIFZhbHVlMy57TG9jYXRpb24sNH0mcXVvdDssJnF1b3Q7U2VjdGlvbjEvSW5kaWFuX0VtcGxveWVlX0RhdGEvQ2hhbmdlZCBUeXBlMS57TW9udGhseSBCYXNlIFNhbGFyeSAoSU5SKSw1fSZxdW90OywmcXVvdDtTZWN0aW9uMS9JbmRpYW5fRW1wbG95ZWVfRGF0YS9Qcm9tb3RlZCBIZWFkZXJzMS57Q29ycG9yYXRlIEJlbmVmaXQgUGxhbiw3fSZxdW90OywmcXVvdDtTZWN0aW9uMS9JbmRpYW5fRW1wbG95ZWVfRGF0YS9BZGRlZCBDdXN0b20ue0luc3VyYW5jZSB0aWVyLDl9JnF1b3Q7LCZxdW90O1NlY3Rpb24xL0luZGlhbl9FbXBsb3llZV9EYXRhL0NoYW5nZWQgVHlwZTIue01vbnRobHkgUHJlbWl1bXMsOH0mcXVvdDssJnF1b3Q7U2VjdGlvbjEvSW5kaWFuX0VtcGxveWVlX0RhdGEvQWRkZWQgQ29uZGl0aW9uYWwgQ29sdW1uLntTYWxhcnkgQnJhY2tldCw5fSZxdW90OywmcXVvdDtTZWN0aW9uMS9JbmRpYW5fRW1wbG95ZWVfRGF0YS9BZGRlZCBDdXN0b20yLntTYWxhcnkgVGllciwxMH0mcXVvdDssJnF1b3Q7U2VjdGlvbjEvVmVuZG9yIE1hcC9Qcm9tb3RlZCBIZWFkZXJzLntWZW5kb3IgU3VydmV5IEpvYiBDb2RlLDF9JnF1b3Q7LCZxdW90O1NlY3Rpb24xL1ZlbmRvciBNYXAvUHJvbW90ZWQgSGVhZGVycy57VmVuZG9yIEdsb2JhbCBHcm91cCBOYW1lLDJ9JnF1b3Q7XSwmcXVvdDtSZWxhdGlvbnNoaXBJbmZvJnF1b3Q7OltdfSIgLz48RW50cnkgVHlwZT0iRmlsbENvbHVtbk5hbWVzIiBWYWx1ZT0ic1smcXVvdDtFbXBsb3llZSBJRCZxdW90OywmcXVvdDtGdWxsIE5hbWUmcXVvdDssJnF1b3Q7R2VuZGVyJnF1b3Q7LCZxdW90O0RlcGFydG1lbnQmcXVvdDssJnF1b3Q7TG9jYXRpb24mcXVvdDssJnF1b3Q7TW9udGhseSBCYXNlIFNhbGFyeSAoSU5SKSZxdW90OywmcXVvdDtDb3Jwb3JhdGUgQmVuZWZpdCBQbGFuJnF1b3Q7LCZxdW90O0luc3VyYW5jZSB0aWVyJnF1b3Q7LCZxdW90O01vbnRobHkgUHJlbWl1bXMmcXVvdDssJnF1b3Q7U2FsYXJ5IEJyYWNrZXQmcXVvdDssJnF1b3Q7U2FsYXJ5IFRpZXImcXVvdDssJnF1b3Q7VmVuZG9yIFN1cnZleSBKb2IgQ29kZSZxdW90OywmcXVvdDtWZW5kb3IgR2xvYmFsIEdyb3VwIE5hbWUmcXVvdDtdIiAvPjxFbnRyeSBUeXBlPSJSZWNvdmVyeVRhcmdldFNoZWV0IiBWYWx1ZT0ic0VtcGxveWVlIERhdGEiIC8+PEVudHJ5IFR5cGU9IkZpbGxUYXJnZXQiIFZhbHVlPSJzSW5kaWFuX0VtcGxveWVlX0RhdGEiIC8+PEVudHJ5IFR5cGU9IkZpbGxUb0RhdGFNb2RlbEVuYWJsZWQiIFZhbHVlPSJsMSIgLz48RW50cnkgVHlwZT0iRmlsbE9iamVjdFR5cGUiIFZhbHVlPSJzVGFibGUiIC8+PEVudHJ5IFR5cGU9IkZpbGxDb3VudCIgVmFsdWU9Imw0OTIiIC8+PEVudHJ5IFR5cGU9IkFkZGVkVG9EYXRhTW9kZWwiIFZhbHVlPSJsMSIgLz48L1N0YWJsZUVudHJpZXM+PC9JdGVtPjxJdGVtPjxJdGVtTG9jYXRpb24+PEl0ZW1UeXBlPkZvcm11bGE8L0l0ZW1UeXBlPjxJdGVtUGF0aD5TZWN0aW9uMS9JbmRpYW5fRW1wbG95ZWVfRGF0YS9Tb3VyY2U8L0l0ZW1QYXRoPjwvSXRlbUxvY2F0aW9uPjxTdGFibGVFbnRyaWVzIC8+PC9JdGVtPjxJdGVtPjxJdGVtTG9jYXRpb24+PEl0ZW1UeXBlPkZvcm11bGE8L0l0ZW1UeXBlPjxJdGVtUGF0aD5TZWN0aW9uMS9JbmRpYW5fRW1wbG95ZWVfRGF0YS9JbmRpYW5fQ29ycG9yYXRlX1dvcmtmb3JjZV9EYXRhX1NoZWV0PC9JdGVtUGF0aD48L0l0ZW1Mb2NhdGlvbj48U3RhYmxlRW50cmllcyAvPjwvSXRlbT48SXRlbT48SXRlbUxvY2F0aW9uPjxJdGVtVHlwZT5Gb3JtdWxhPC9JdGVtVHlwZT48SXRlbVBhdGg+U2VjdGlvbjEvVmVuZG9yJTIwTWFwPC9JdGVtUGF0aD48L0l0ZW1Mb2NhdGlvbj48U3RhYmxlRW50cmllcz48RW50cnkgVHlwZT0iSXNQcml2YXRlIiBWYWx1ZT0ibDAiIC8+PEVudHJ5IFR5cGU9IlF1ZXJ5SUQiIFZhbHVlPSJzZmE0ZjgxYmYtN2Q2OS00NzBkLTk2YWQtOGE2NWFlNDBiZjZjIiAvPjxFbnRyeSBUeXBlPSJGaWxsRW5hYmxlZCIgVmFsdWU9ImwxIiAvPjxFbnRyeSBUeXBlPSJGaWxsT2JqZWN0VHlwZSIgVmFsdWU9InNUYWJsZSIgLz48RW50cnkgVHlwZT0iRmlsbFRvRGF0YU1vZGVsRW5hYmxlZCIgVmFsdWU9ImwwIiAvPjxFbnRyeSBUeXBlPSJCdWZmZXJOZXh0UmVmcmVzaCIgVmFsdWU9ImwxIiAvPjxFbnRyeSBUeXBlPSJSZXN1bHRUeXBlIiBWYWx1ZT0ic1RhYmxlIiAvPjxFbnRyeSBUeXBlPSJOYW1lVXBkYXRlZEFmdGVyRmlsbCIgVmFsdWU9ImwwIiAvPjxFbnRyeSBUeXBlPSJOYXZpZ2F0aW9uU3RlcE5hbWUiIFZhbHVlPSJzTmF2aWdhdGlvbiIgLz48RW50cnkgVHlwZT0iRmlsbFRhcmdldCIgVmFsdWU9InNWZW5kb3JfTWFwIiAvPjxFbnRyeSBUeXBlPSJGaWxsZWRDb21wbGV0ZVJlc3VsdFRvV29ya3NoZWV0IiBWYWx1ZT0ibDEiIC8+PEVudHJ5IFR5cGU9IkZpbGxTdGF0dXMiIFZhbHVlPSJzQ29tcGxldGUiIC8+PEVudHJ5IFR5cGU9IkZpbGxDb2x1bW5OYW1lcyIgVmFsdWU9InNbJnF1b3Q7SW50ZXJuYWwgRGVwYXJ0bWVudCZxdW90OywmcXVvdDtWZW5kb3IgU3VydmV5IEpvYiBDb2RlJnF1b3Q7LCZxdW90O1ZlbmRvciBHbG9iYWwgR3JvdXAgTmFtZSZxdW90OywmcXVvdDtJbmR1c3RyeSBQZWVyIFNlZ21lbnQmcXVvdDtdIiAvPjxFbnRyeSBUeXBlPSJGaWxsQ29sdW1uVHlwZXMiIFZhbHVlPSJzQUFBQUFBPT0iIC8+PEVudHJ5IFR5cGU9IkZpbGxMYXN0VXBkYXRlZCIgVmFsdWU9ImQyMDI2LTA3LTE5VDE0OjMyOjIwLjMwOTU3MzZaIiAvPjxFbnRyeSBUeXBlPSJGaWxsRXJyb3JDb3VudCIgVmFsdWU9ImwwIiAvPjxFbnRyeSBUeXBlPSJGaWxsRXJyb3JDb2RlIiBWYWx1ZT0ic1Vua25vd24iIC8+PEVudHJ5IFR5cGU9IkZpbGxDb3VudCIgVmFsdWU9Imw1IiAvPjxFbnRyeSBUeXBlPSJSZWxhdGlvbnNoaXBJbmZvQ29udGFpbmVyIiBWYWx1ZT0ic3smcXVvdDtjb2x1bW5Db3VudCZxdW90Ozo0LCZxdW90O2tleUNvbHVtbk5hbWVzJnF1b3Q7OltdLCZxdW90O3F1ZXJ5UmVsYXRpb25zaGlwcyZxdW90OzpbXSwmcXVvdDtjb2x1bW5JZGVudGl0aWVzJnF1b3Q7OlsmcXVvdDtTZWN0aW9uMS9WZW5kb3IgTWFwL0F1dG9SZW1vdmVkQ29sdW1uczEue0ludGVybmFsIERlcGFydG1lbnQsMH0mcXVvdDssJnF1b3Q7U2VjdGlvbjEvVmVuZG9yIE1hcC9BdXRvUmVtb3ZlZENvbHVtbnMxLntWZW5kb3IgU3VydmV5IEpvYiBDb2RlLDF9JnF1b3Q7LCZxdW90O1NlY3Rpb24xL1ZlbmRvciBNYXAvQXV0b1JlbW92ZWRDb2x1bW5zMS57VmVuZG9yIEdsb2JhbCBHcm91cCBOYW1lLDJ9JnF1b3Q7LCZxdW90O1NlY3Rpb24xL1ZlbmRvciBNYXAvQXV0b1JlbW92ZWRDb2x1bW5zMS57SW5kdXN0cnkgUGVlciBTZWdtZW50LDN9JnF1b3Q7XSwmcXVvdDtDb2x1bW5Db3VudCZxdW90Ozo0LCZxdW90O0tleUNvbHVtbk5hbWVzJnF1b3Q7OltdLCZxdW90O0NvbHVtbklkZW50aXRpZXMmcXVvdDs6WyZxdW90O1NlY3Rpb24xL1ZlbmRvciBNYXAvQXV0b1JlbW92ZWRDb2x1bW5zMS57SW50ZXJuYWwgRGVwYXJ0bWVudCwwfSZxdW90OywmcXVvdDtTZWN0aW9uMS9WZW5kb3IgTWFwL0F1dG9SZW1vdmVkQ29sdW1uczEue1ZlbmRvciBTdXJ2ZXkgSm9iIENvZGUsMX0mcXVvdDssJnF1b3Q7U2VjdGlvbjEvVmVuZG9yIE1hcC9BdXRvUmVtb3ZlZENvbHVtbnMxLntWZW5kb3IgR2xvYmFsIEdyb3VwIE5hbWUsMn0mcXVvdDssJnF1b3Q7U2VjdGlvbjEvVmVuZG9yIE1hcC9BdXRvUmVtb3ZlZENvbHVtbnMxLntJbmR1c3RyeSBQZWVyIFNlZ21lbnQsM30mcXVvdDtdLCZxdW90O1JlbGF0aW9uc2hpcEluZm8mcXVvdDs6W119IiAvPjxFbnRyeSBUeXBlPSJBZGRlZFRvRGF0YU1vZGVsIiBWYWx1ZT0ibDAiIC8+PC9TdGFibGVFbnRyaWVzPjwvSXRlbT48SXRlbT48SXRlbUxvY2F0aW9uPjxJdGVtVHlwZT5Gb3JtdWxhPC9JdGVtVHlwZT48SXRlbVBhdGg+U2VjdGlvbjEvVmVuZG9yJTIwTWFwL1NvdXJjZTwvSXRlbVBhdGg+PC9JdGVtTG9jYXRpb24+PFN0YWJsZUVudHJpZXMgLz48L0l0ZW0+PEl0ZW0+PEl0ZW1Mb2NhdGlvbj48SXRlbVR5cGU+Rm9ybXVsYTwvSXRlbVR5cGU+PEl0ZW1QYXRoPlNlY3Rpb24xL1ZlbmRvciUyME1hcC9WZW5kb3IlMjBNYXBfU2hlZXQ8L0l0ZW1QYXRoPjwvSXRlbUxvY2F0aW9uPjxTdGFibGVFbnRyaWVzIC8+PC9JdGVtPjxJdGVtPjxJdGVtTG9jYXRpb24+PEl0ZW1UeXBlPkZvcm11bGE8L0l0ZW1UeXBlPjxJdGVtUGF0aD5TZWN0aW9uMS9WZW5kb3IlMjBNYXAvUHJvbW90ZWQlMjBIZWFkZXJzPC9JdGVtUGF0aD48L0l0ZW1Mb2NhdGlvbj48U3RhYmxlRW50cmllcyAvPjwvSXRlbT48SXRlbT48SXRlbUxvY2F0aW9uPjxJdGVtVHlwZT5Gb3JtdWxhPC9JdGVtVHlwZT48SXRlbVBhdGg+U2VjdGlvbjEvUXVlcnlfQXVkaXRfRXhjZXB0aW9uczwvSXRlbVBhdGg+PC9JdGVtTG9jYXRpb24+PFN0YWJsZUVudHJpZXM+PEVudHJ5IFR5cGU9IklzUHJpdmF0ZSIgVmFsdWU9ImwwIiAvPjxFbnRyeSBUeXBlPSJRdWVyeUlEIiBWYWx1ZT0iczlkN2ZmNzJmLTdjNzMtNDRjNS1hYjM5LWZkZDBlY2Q2NGE2YyIgLz48RW50cnkgVHlwZT0iQnVmZmVyTmV4dFJlZnJlc2giIFZhbHVlPSJsMSIgLz48RW50cnkgVHlwZT0iUmVzdWx0VHlwZSIgVmFsdWU9InNUYWJsZSIgLz48RW50cnkgVHlwZT0iTmFtZVVwZGF0ZWRBZnRlckZpbGwiIFZhbHVlPSJsMCIgLz48RW50cnkgVHlwZT0iTmF2aWdhdGlvblN0ZXBOYW1lIiBWYWx1ZT0ic05hdmlnYXRpb24iIC8+PEVudHJ5IFR5cGU9IkZpbGxlZENvbXBsZXRlUmVzdWx0VG9Xb3Jrc2hlZXQiIFZhbHVlPSJsMSIgLz48RW50cnkgVHlwZT0iRmlsbEVuYWJsZWQiIFZhbHVlPSJsMSIgLz48RW50cnkgVHlwZT0iRmlsbEVycm9yQ291bnQiIFZhbHVlPSJsMCIgLz48RW50cnkgVHlwZT0iRmlsbEVycm9yQ29kZSIgVmFsdWU9InNVbmtub3duIiAvPjxFbnRyeSBUeXBlPSJGaWxsVG9EYXRhTW9kZWxFbmFibGVkIiBWYWx1ZT0ibDEiIC8+PEVudHJ5IFR5cGU9IkZpbGxPYmplY3RUeXBlIiBWYWx1ZT0ic1RhYmxlIiAvPjxFbnRyeSBUeXBlPSJGaWxsVGFyZ2V0IiBWYWx1ZT0ic1F1ZXJ5X0F1ZGl0X0V4Y2VwdGlvbnNfMl8xIiAvPjxFbnRyeSBUeXBlPSJGaWxsTGFzdFVwZGF0ZWQiIFZhbHVlPSJkMjAyNi0wNy0xOVQxNDozMjoxOC40ODUzODc2WiIgLz48RW50cnkgVHlwZT0iRmlsbENvbHVtblR5cGVzIiBWYWx1ZT0ic0JnQUFCZ1lSQUFBUkFBQUFBQT09IiAvPjxFbnRyeSBUeXBlPSJGaWxsQ291bnQiIFZhbHVlPSJsMCIgLz48RW50cnkgVHlwZT0iTG9hZGVkVG9BbmFseXNpc1NlcnZpY2VzIiBWYWx1ZT0ibDAiIC8+PEVudHJ5IFR5cGU9IkZpbGxDb2x1bW5OYW1lcyIgVmFsdWU9InNbJnF1b3Q7RW1wbG95ZWUgSUQmcXVvdDssJnF1b3Q7RnVsbCBOYW1lJnF1b3Q7LCZxdW90O0dlbmRlciZxdW90OywmcXVvdDtEZXBhcnRtZW50JnF1b3Q7LCZxdW90O0xvY2F0aW9uJnF1b3Q7LCZxdW90O01vbnRobHkgQmFzZSBTYWxhcnkgKElOUikmcXVvdDssJnF1b3Q7Q29ycG9yYXRlIEJlbmVmaXQgUGxhbiZxdW90OywmcXVvdDtJbnN1cmFuY2UgdGllciZxdW90OywmcXVvdDtNb250aGx5IFByZW1pdW1zJnF1b3Q7LCZxdW90O1NhbGFyeSBCcmFja2V0JnF1b3Q7LCZxdW90O1NhbGFyeSBUaWVyJnF1b3Q7LCZxdW90O1ZlbmRvciBTdXJ2ZXkgSm9iIENvZGUmcXVvdDssJnF1b3Q7VmVuZG9yIEdsb2JhbCBHcm91cCBOYW1lJnF1b3Q7XSIgLz48RW50cnkgVHlwZT0iRmlsbFN0YXR1cyIgVmFsdWU9InNDb21wbGV0ZSIgLz48RW50cnkgVHlwZT0iQWRkZWRUb0RhdGFNb2RlbCIgVmFsdWU9ImwxIiAvPjxFbnRyeSBUeXBlPSJSZWxhdGlvbnNoaXBJbmZvQ29udGFpbmVyIiBWYWx1ZT0ic3smcXVvdDtjb2x1bW5Db3VudCZxdW90OzoxMywmcXVvdDtrZXlDb2x1bW5OYW1lcyZxdW90OzpbXSwmcXVvdDtxdWVyeVJlbGF0aW9uc2hpcHMmcXVvdDs6W10sJnF1b3Q7Y29sdW1uSWRlbnRpdGllcyZxdW90OzpbJnF1b3Q7U2VjdGlvbjEvUXVlcnlfQXVkaXRfRXhjZXB0aW9ucy9UcmltbWVkIFRleHQue0VtcGxveWVlIElELDB9JnF1b3Q7LCZxdW90O1NlY3Rpb24xL1F1ZXJ5X0F1ZGl0X0V4Y2VwdGlvbnMvUHJvbW90ZWQgSGVhZGVyczEue0Z1bGwgTmFtZSwxfSZxdW90OywmcXVvdDtTZWN0aW9uMS9RdWVyeV9BdWRpdF9FeGNlcHRpb25zL1Byb21vdGVkIEhlYWRlcnMxLntHZW5kZXIsMn0mcXVvdDssJnF1b3Q7U2VjdGlvbjEvUXVlcnlfQXVkaXRfRXhjZXB0aW9ucy9SZXBsYWNlZCBWYWx1ZTIue0RlcGFydG1lbnQsM30mcXVvdDssJnF1b3Q7U2VjdGlvbjEvUXVlcnlfQXVkaXRfRXhjZXB0aW9ucy9SZXBsYWNlZCBWYWx1ZTMue0xvY2F0aW9uLDR9JnF1b3Q7LCZxdW90O1NlY3Rpb24xL1F1ZXJ5X0F1ZGl0X0V4Y2VwdGlvbnMvQ2hhbmdlZCBUeXBlMS57TW9udGhseSBCYXNlIFNhbGFyeSAoSU5SKSw1fSZxdW90OywmcXVvdDtTZWN0aW9uMS9RdWVyeV9BdWRpdF9FeGNlcHRpb25zL1Byb21vdGVkIEhlYWRlcnMxLntDb3Jwb3JhdGUgQmVuZWZpdCBQbGFuLDd9JnF1b3Q7LCZxdW90O1NlY3Rpb24xL1F1ZXJ5X0F1ZGl0X0V4Y2VwdGlvbnMvQWRkZWQgQ3VzdG9tLntJbnN1cmFuY2UgdGllciw5fSZxdW90OywmcXVvdDtTZWN0aW9uMS9RdWVyeV9BdWRpdF9FeGNlcHRpb25zL0NoYW5nZWQgVHlwZTIue01vbnRobHkgUHJlbWl1bXMsOH0mcXVvdDssJnF1b3Q7U2VjdGlvbjEvUXVlcnlfQXVkaXRfRXhjZXB0aW9ucy9BZGRlZCBDb25kaXRpb25hbCBDb2x1bW4ue1NhbGFyeSBCcmFja2V0LDl9JnF1b3Q7LCZxdW90O1NlY3Rpb24xL1F1ZXJ5X0F1ZGl0X0V4Y2VwdGlvbnMvQWRkZWQgQ3VzdG9tMi57U2FsYXJ5IFRpZXIsMTB9JnF1b3Q7LCZxdW90O1NlY3Rpb24xL1ZlbmRvciBNYXAvUHJvbW90ZWQgSGVhZGVycy57VmVuZG9yIFN1cnZleSBKb2IgQ29kZSwxfSZxdW90OywmcXVvdDtTZWN0aW9uMS9WZW5kb3IgTWFwL1Byb21vdGVkIEhlYWRlcnMue1ZlbmRvciBHbG9iYWwgR3JvdXAgTmFtZSwyfSZxdW90O10sJnF1b3Q7Q29sdW1uQ291bnQmcXVvdDs6MTMsJnF1b3Q7S2V5Q29sdW1uTmFtZXMmcXVvdDs6W10sJnF1b3Q7Q29sdW1uSWRlbnRpdGllcyZxdW90OzpbJnF1b3Q7U2VjdGlvbjEvUXVlcnlfQXVkaXRfRXhjZXB0aW9ucy9UcmltbWVkIFRleHQue0VtcGxveWVlIElELDB9JnF1b3Q7LCZxdW90O1NlY3Rpb24xL1F1ZXJ5X0F1ZGl0X0V4Y2VwdGlvbnMvUHJvbW90ZWQgSGVhZGVyczEue0Z1bGwgTmFtZSwxfSZxdW90OywmcXVvdDtTZWN0aW9uMS9RdWVyeV9BdWRpdF9FeGNlcHRpb25zL1Byb21vdGVkIEhlYWRlcnMxLntHZW5kZXIsMn0mcXVvdDssJnF1b3Q7U2VjdGlvbjEvUXVlcnlfQXVkaXRfRXhjZXB0aW9ucy9SZXBsYWNlZCBWYWx1ZTIue0RlcGFydG1lbnQsM30mcXVvdDssJnF1b3Q7U2VjdGlvbjEvUXVlcnlfQXVkaXRfRXhjZXB0aW9ucy9SZXBsYWNlZCBWYWx1ZTMue0xvY2F0aW9uLDR9JnF1b3Q7LCZxdW90O1NlY3Rpb24xL1F1ZXJ5X0F1ZGl0X0V4Y2VwdGlvbnMvQ2hhbmdlZCBUeXBlMS57TW9udGhseSBCYXNlIFNhbGFyeSAoSU5SKSw1fSZxdW90OywmcXVvdDtTZWN0aW9uMS9RdWVyeV9BdWRpdF9FeGNlcHRpb25zL1Byb21vdGVkIEhlYWRlcnMxLntDb3Jwb3JhdGUgQmVuZWZpdCBQbGFuLDd9JnF1b3Q7LCZxdW90O1NlY3Rpb24xL1F1ZXJ5X0F1ZGl0X0V4Y2VwdGlvbnMvQWRkZWQgQ3VzdG9tLntJbnN1cmFuY2UgdGllciw5fSZxdW90OywmcXVvdDtTZWN0aW9uMS9RdWVyeV9BdWRpdF9FeGNlcHRpb25zL0NoYW5nZWQgVHlwZTIue01vbnRobHkgUHJlbWl1bXMsOH0mcXVvdDssJnF1b3Q7U2VjdGlvbjEvUXVlcnlfQXVkaXRfRXhjZXB0aW9ucy9BZGRlZCBDb25kaXRpb25hbCBDb2x1bW4ue1NhbGFyeSBCcmFja2V0LDl9JnF1b3Q7LCZxdW90O1NlY3Rpb24xL1F1ZXJ5X0F1ZGl0X0V4Y2VwdGlvbnMvQWRkZWQgQ3VzdG9tMi57U2FsYXJ5IFRpZXIsMTB9JnF1b3Q7LCZxdW90O1NlY3Rpb24xL1ZlbmRvciBNYXAvUHJvbW90ZWQgSGVhZGVycy57VmVuZG9yIFN1cnZleSBKb2IgQ29kZSwxfSZxdW90OywmcXVvdDtTZWN0aW9uMS9WZW5kb3IgTWFwL1Byb21vdGVkIEhlYWRlcnMue1ZlbmRvciBHbG9iYWwgR3JvdXAgTmFtZSwyfSZxdW90O10sJnF1b3Q7UmVsYXRpb25zaGlwSW5mbyZxdW90OzpbXX0iIC8+PC9TdGFibGVFbnRyaWVzPjwvSXRlbT48SXRlbT48SXRlbUxvY2F0aW9uPjxJdGVtVHlwZT5Gb3JtdWxhPC9JdGVtVHlwZT48SXRlbVBhdGg+U2VjdGlvbjEvUXVlcnlfQXVkaXRfRXhjZXB0aW9ucy9Tb3VyY2U8L0l0ZW1QYXRoPjwvSXRlbUxvY2F0aW9uPjxTdGFibGVFbnRyaWVzIC8+PC9JdGVtPjxJdGVtPjxJdGVtTG9jYXRpb24+PEl0ZW1UeXBlPkZvcm11bGE8L0l0ZW1UeXBlPjxJdGVtUGF0aD5TZWN0aW9uMS9RdWVyeV9BdWRpdF9FeGNlcHRpb25zL0luZGlhbl9Db3Jwb3JhdGVfV29ya2ZvcmNlX0RhdGFfU2hlZXQ8L0l0ZW1QYXRoPjwvSXRlbUxvY2F0aW9uPjxTdGFibGVFbnRyaWVzIC8+PC9JdGVtPjxJdGVtPjxJdGVtTG9jYXRpb24+PEl0ZW1UeXBlPkZvcm11bGE8L0l0ZW1UeXBlPjxJdGVtUGF0aD5TZWN0aW9uMS9RdWVyeV9BdWRpdF9FeGNlcHRpb25zL1JlbW92ZWQlMjBPdGhlciUyMENvbHVtbnM8L0l0ZW1QYXRoPjwvSXRlbUxvY2F0aW9uPjxTdGFibGVFbnRyaWVzIC8+PC9JdGVtPjxJdGVtPjxJdGVtTG9jYXRpb24+PEl0ZW1UeXBlPkZvcm11bGE8L0l0ZW1UeXBlPjxJdGVtUGF0aD5TZWN0aW9uMS9RdWVyeV9BdWRpdF9FeGNlcHRpb25zL1Byb21vdGVkJTIwSGVhZGVyczE8L0l0ZW1QYXRoPjwvSXRlbUxvY2F0aW9uPjxTdGFibGVFbnRyaWVzIC8+PC9JdGVtPjxJdGVtPjxJdGVtTG9jYXRpb24+PEl0ZW1UeXBlPkZvcm11bGE8L0l0ZW1UeXBlPjxJdGVtUGF0aD5TZWN0aW9uMS9RdWVyeV9BdWRpdF9FeGNlcHRpb25zL1JlcGxhY2VkJTIwVmFsdWU8L0l0ZW1QYXRoPjwvSXRlbUxvY2F0aW9uPjxTdGFibGVFbnRyaWVzIC8+PC9JdGVtPjxJdGVtPjxJdGVtTG9jYXRpb24+PEl0ZW1UeXBlPkZvcm11bGE8L0l0ZW1UeXBlPjxJdGVtUGF0aD5TZWN0aW9uMS9RdWVyeV9BdWRpdF9FeGNlcHRpb25zL1JlcGxhY2VkJTIwVmFsdWUxPC9JdGVtUGF0aD48L0l0ZW1Mb2NhdGlvbj48U3RhYmxlRW50cmllcyAvPjwvSXRlbT48SXRlbT48SXRlbUxvY2F0aW9uPjxJdGVtVHlwZT5Gb3JtdWxhPC9JdGVtVHlwZT48SXRlbVBhdGg+U2VjdGlvbjEvUXVlcnlfQXVkaXRfRXhjZXB0aW9ucy9DaGFuZ2VkJTIwVHlwZTwvSXRlbVBhdGg+PC9JdGVtTG9jYXRpb24+PFN0YWJsZUVudHJpZXMgLz48L0l0ZW0+PEl0ZW0+PEl0ZW1Mb2NhdGlvbj48SXRlbVR5cGU+Rm9ybXVsYTwvSXRlbVR5cGU+PEl0ZW1QYXRoPlNlY3Rpb24xL1F1ZXJ5X0F1ZGl0X0V4Y2VwdGlvbnMvQWRkZWQlMjBDdXN0b208L0l0ZW1QYXRoPjwvSXRlbUxvY2F0aW9uPjxTdGFibGVFbnRyaWVzIC8+PC9JdGVtPjxJdGVtPjxJdGVtTG9jYXRpb24+PEl0ZW1UeXBlPkZvcm11bGE8L0l0ZW1UeXBlPjxJdGVtUGF0aD5TZWN0aW9uMS9RdWVyeV9BdWRpdF9FeGNlcHRpb25zL0NhcGl0YWxpemVkJTIwRWFjaCUyMFdvcmQ8L0l0ZW1QYXRoPjwvSXRlbUxvY2F0aW9uPjxTdGFibGVFbnRyaWVzIC8+PC9JdGVtPjxJdGVtPjxJdGVtTG9jYXRpb24+PEl0ZW1UeXBlPkZvcm11bGE8L0l0ZW1UeXBlPjxJdGVtUGF0aD5TZWN0aW9uMS9RdWVyeV9BdWRpdF9FeGNlcHRpb25zL1RyaW1tZWQlMjBUZXh0PC9JdGVtUGF0aD48L0l0ZW1Mb2NhdGlvbj48U3RhYmxlRW50cmllcyAvPjwvSXRlbT48SXRlbT48SXRlbUxvY2F0aW9uPjxJdGVtVHlwZT5Gb3JtdWxhPC9JdGVtVHlwZT48SXRlbVBhdGg+U2VjdGlvbjEvUXVlcnlfQXVkaXRfRXhjZXB0aW9ucy9BZGRlZCUyMEN1c3RvbTE8L0l0ZW1QYXRoPjwvSXRlbUxvY2F0aW9uPjxTdGFibGVFbnRyaWVzIC8+PC9JdGVtPjxJdGVtPjxJdGVtTG9jYXRpb24+PEl0ZW1UeXBlPkZvcm11bGE8L0l0ZW1UeXBlPjxJdGVtUGF0aD5TZWN0aW9uMS9RdWVyeV9BdWRpdF9FeGNlcHRpb25zL0NoYW5nZWQlMjBUeXBlMTwvSXRlbVBhdGg+PC9JdGVtTG9jYXRpb24+PFN0YWJsZUVudHJpZXMgLz48L0l0ZW0+PEl0ZW0+PEl0ZW1Mb2NhdGlvbj48SXRlbVR5cGU+Rm9ybXVsYTwvSXRlbVR5cGU+PEl0ZW1QYXRoPlNlY3Rpb24xL1F1ZXJ5X0F1ZGl0X0V4Y2VwdGlvbnMvUmVtb3ZlZCUyMENvbHVtbnM8L0l0ZW1QYXRoPjwvSXRlbUxvY2F0aW9uPjxTdGFibGVFbnRyaWVzIC8+PC9JdGVtPjxJdGVtPjxJdGVtTG9jYXRpb24+PEl0ZW1UeXBlPkZvcm11bGE8L0l0ZW1UeXBlPjxJdGVtUGF0aD5TZWN0aW9uMS9RdWVyeV9BdWRpdF9FeGNlcHRpb25zL1JlcGxhY2VkJTIwVmFsdWUyPC9JdGVtUGF0aD48L0l0ZW1Mb2NhdGlvbj48U3RhYmxlRW50cmllcyAvPjwvSXRlbT48SXRlbT48SXRlbUxvY2F0aW9uPjxJdGVtVHlwZT5Gb3JtdWxhPC9JdGVtVHlwZT48SXRlbVBhdGg+U2VjdGlvbjEvUXVlcnlfQXVkaXRfRXhjZXB0aW9ucy9GaWx0ZXJlZCUyMFJvd3MxPC9JdGVtUGF0aD48L0l0ZW1Mb2NhdGlvbj48U3RhYmxlRW50cmllcyAvPjwvSXRlbT48SXRlbT48SXRlbUxvY2F0aW9uPjxJdGVtVHlwZT5Gb3JtdWxhPC9JdGVtVHlwZT48SXRlbVBhdGg+U2VjdGlvbjEvUXVlcnlfQXVkaXRfRXhjZXB0aW9ucy9SZXBsYWNlZCUyMFZhbHVlMzwvSXRlbVBhdGg+PC9JdGVtTG9jYXRpb24+PFN0YWJsZUVudHJpZXMgLz48L0l0ZW0+PEl0ZW0+PEl0ZW1Mb2NhdGlvbj48SXRlbVR5cGU+Rm9ybXVsYTwvSXRlbVR5cGU+PEl0ZW1QYXRoPlNlY3Rpb24xL1F1ZXJ5X0F1ZGl0X0V4Y2VwdGlvbnMvQWRkZWQlMjBDb25kaXRpb25hbCUyMENvbHVtbjwvSXRlbVBhdGg+PC9JdGVtTG9jYXRpb24+PFN0YWJsZUVudHJpZXMgLz48L0l0ZW0+PEl0ZW0+PEl0ZW1Mb2NhdGlvbj48SXRlbVR5cGU+Rm9ybXVsYTwvSXRlbVR5cGU+PEl0ZW1QYXRoPlNlY3Rpb24xL1F1ZXJ5X0F1ZGl0X0V4Y2VwdGlvbnMvU29ydGVkJTIwUm93czE8L0l0ZW1QYXRoPjwvSXRlbUxvY2F0aW9uPjxTdGFibGVFbnRyaWVzIC8+PC9JdGVtPjxJdGVtPjxJdGVtTG9jYXRpb24+PEl0ZW1UeXBlPkZvcm11bGE8L0l0ZW1UeXBlPjxJdGVtUGF0aD5TZWN0aW9uMS9RdWVyeV9BdWRpdF9FeGNlcHRpb25zL0ZpbHRlcmVkJTIwUm93czwvSXRlbVBhdGg+PC9JdGVtTG9jYXRpb24+PFN0YWJsZUVudHJpZXMgLz48L0l0ZW0+PEl0ZW0+PEl0ZW1Mb2NhdGlvbj48SXRlbVR5cGU+Rm9ybXVsYTwvSXRlbVR5cGU+PEl0ZW1QYXRoPlNlY3Rpb24xL1F1ZXJ5X0F1ZGl0X0V4Y2VwdGlvbnMvRmlsdGVyZWQlMjBSb3dzMjwvSXRlbVBhdGg+PC9JdGVtTG9jYXRpb24+PFN0YWJsZUVudHJpZXMgLz48L0l0ZW0+PEl0ZW0+PEl0ZW1Mb2NhdGlvbj48SXRlbVR5cGU+Rm9ybXVsYTwvSXRlbVR5cGU+PEl0ZW1QYXRoPlNlY3Rpb24xL1F1ZXJ5X0F1ZGl0X0V4Y2VwdGlvbnMvQ2hhbmdlZCUyMFR5cGUyPC9JdGVtUGF0aD48L0l0ZW1Mb2NhdGlvbj48U3RhYmxlRW50cmllcyAvPjwvSXRlbT48SXRlbT48SXRlbUxvY2F0aW9uPjxJdGVtVHlwZT5Gb3JtdWxhPC9JdGVtVHlwZT48SXRlbVBhdGg+U2VjdGlvbjEvUXVlcnlfQXVkaXRfRXhjZXB0aW9ucy9BZGRlZCUyMEN1c3RvbTI8L0l0ZW1QYXRoPjwvSXRlbUxvY2F0aW9uPjxTdGFibGVFbnRyaWVzIC8+PC9JdGVtPjxJdGVtPjxJdGVtTG9jYXRpb24+PEl0ZW1UeXBlPkZvcm11bGE8L0l0ZW1UeXBlPjxJdGVtUGF0aD5TZWN0aW9uMS9RdWVyeV9BdWRpdF9FeGNlcHRpb25zL01lcmdlZCUyMFF1ZXJpZXM8L0l0ZW1QYXRoPjwvSXRlbUxvY2F0aW9uPjxTdGFibGVFbnRyaWVzIC8+PC9JdGVtPjxJdGVtPjxJdGVtTG9jYXRpb24+PEl0ZW1UeXBlPkZvcm11bGE8L0l0ZW1UeXBlPjxJdGVtUGF0aD5TZWN0aW9uMS9RdWVyeV9BdWRpdF9FeGNlcHRpb25zL0V4cGFuZGVkJTIwVmVuZG9yJTIwTWFwPC9JdGVtUGF0aD48L0l0ZW1Mb2NhdGlvbj48U3RhYmxlRW50cmllcyAvPjwvSXRlbT48SXRlbT48SXRlbUxvY2F0aW9uPjxJdGVtVHlwZT5Gb3JtdWxhPC9JdGVtVHlwZT48SXRlbVBhdGg+U2VjdGlvbjEvUXVlcnlfQXVkaXRfRXhjZXB0aW9ucy9GaWx0ZXJlZCUyMFJvd3MzPC9JdGVtUGF0aD48L0l0ZW1Mb2NhdGlvbj48U3RhYmxlRW50cmllcyAvPjwvSXRlbT48SXRlbT48SXRlbUxvY2F0aW9uPjxJdGVtVHlwZT5Gb3JtdWxhPC9JdGVtVHlwZT48SXRlbVBhdGg+U2VjdGlvbjEvSW5kaWFuX0VtcGxveWVlX0RhdGEvUmVtb3ZlZCUyME90aGVyJTIwQ29sdW1uczwvSXRlbVBhdGg+PC9JdGVtTG9jYXRpb24+PFN0YWJsZUVudHJpZXMgLz48L0l0ZW0+PEl0ZW0+PEl0ZW1Mb2NhdGlvbj48SXRlbVR5cGU+Rm9ybXVsYTwvSXRlbVR5cGU+PEl0ZW1QYXRoPlNlY3Rpb24xL0luZGlhbl9FbXBsb3llZV9EYXRhL1Byb21vdGVkJTIwSGVhZGVyczE8L0l0ZW1QYXRoPjwvSXRlbUxvY2F0aW9uPjxTdGFibGVFbnRyaWVzIC8+PC9JdGVtPjxJdGVtPjxJdGVtTG9jYXRpb24+PEl0ZW1UeXBlPkZvcm11bGE8L0l0ZW1UeXBlPjxJdGVtUGF0aD5TZWN0aW9uMS9JbmRpYW5fRW1wbG95ZWVfRGF0YS9SZXBsYWNlZCUyMFZhbHVlPC9JdGVtUGF0aD48L0l0ZW1Mb2NhdGlvbj48U3RhYmxlRW50cmllcyAvPjwvSXRlbT48SXRlbT48SXRlbUxvY2F0aW9uPjxJdGVtVHlwZT5Gb3JtdWxhPC9JdGVtVHlwZT48SXRlbVBhdGg+U2VjdGlvbjEvSW5kaWFuX0VtcGxveWVlX0RhdGEvUmVwbGFjZWQlMjBWYWx1ZTE8L0l0ZW1QYXRoPjwvSXRlbUxvY2F0aW9uPjxTdGFibGVFbnRyaWVzIC8+PC9JdGVtPjxJdGVtPjxJdGVtTG9jYXRpb24+PEl0ZW1UeXBlPkZvcm11bGE8L0l0ZW1UeXBlPjxJdGVtUGF0aD5TZWN0aW9uMS9JbmRpYW5fRW1wbG95ZWVfRGF0YS9DaGFuZ2VkJTIwVHlwZTwvSXRlbVBhdGg+PC9JdGVtTG9jYXRpb24+PFN0YWJsZUVudHJpZXMgLz48L0l0ZW0+PEl0ZW0+PEl0ZW1Mb2NhdGlvbj48SXRlbVR5cGU+Rm9ybXVsYTwvSXRlbVR5cGU+PEl0ZW1QYXRoPlNlY3Rpb24xL0luZGlhbl9FbXBsb3llZV9EYXRhL0FkZGVkJTIwQ3VzdG9tPC9JdGVtUGF0aD48L0l0ZW1Mb2NhdGlvbj48U3RhYmxlRW50cmllcyAvPjwvSXRlbT48SXRlbT48SXRlbUxvY2F0aW9uPjxJdGVtVHlwZT5Gb3JtdWxhPC9JdGVtVHlwZT48SXRlbVBhdGg+U2VjdGlvbjEvSW5kaWFuX0VtcGxveWVlX0RhdGEvQ2FwaXRhbGl6ZWQlMjBFYWNoJTIwV29yZDwvSXRlbVBhdGg+PC9JdGVtTG9jYXRpb24+PFN0YWJsZUVudHJpZXMgLz48L0l0ZW0+PEl0ZW0+PEl0ZW1Mb2NhdGlvbj48SXRlbVR5cGU+Rm9ybXVsYTwvSXRlbVR5cGU+PEl0ZW1QYXRoPlNlY3Rpb24xL0luZGlhbl9FbXBsb3llZV9EYXRhL1RyaW1tZWQlMjBUZXh0PC9JdGVtUGF0aD48L0l0ZW1Mb2NhdGlvbj48U3RhYmxlRW50cmllcyAvPjwvSXRlbT48SXRlbT48SXRlbUxvY2F0aW9uPjxJdGVtVHlwZT5Gb3JtdWxhPC9JdGVtVHlwZT48SXRlbVBhdGg+U2VjdGlvbjEvSW5kaWFuX0VtcGxveWVlX0RhdGEvQWRkZWQlMjBDdXN0b20xPC9JdGVtUGF0aD48L0l0ZW1Mb2NhdGlvbj48U3RhYmxlRW50cmllcyAvPjwvSXRlbT48SXRlbT48SXRlbUxvY2F0aW9uPjxJdGVtVHlwZT5Gb3JtdWxhPC9JdGVtVHlwZT48SXRlbVBhdGg+U2VjdGlvbjEvSW5kaWFuX0VtcGxveWVlX0RhdGEvQ2hhbmdlZCUyMFR5cGUxPC9JdGVtUGF0aD48L0l0ZW1Mb2NhdGlvbj48U3RhYmxlRW50cmllcyAvPjwvSXRlbT48SXRlbT48SXRlbUxvY2F0aW9uPjxJdGVtVHlwZT5Gb3JtdWxhPC9JdGVtVHlwZT48SXRlbVBhdGg+U2VjdGlvbjEvSW5kaWFuX0VtcGxveWVlX0RhdGEvUmVtb3ZlZCUyMENvbHVtbnM8L0l0ZW1QYXRoPjwvSXRlbUxvY2F0aW9uPjxTdGFibGVFbnRyaWVzIC8+PC9JdGVtPjxJdGVtPjxJdGVtTG9jYXRpb24+PEl0ZW1UeXBlPkZvcm11bGE8L0l0ZW1UeXBlPjxJdGVtUGF0aD5TZWN0aW9uMS9JbmRpYW5fRW1wbG95ZWVfRGF0YS9SZXBsYWNlZCUyMFZhbHVlMjwvSXRlbVBhdGg+PC9JdGVtTG9jYXRpb24+PFN0YWJsZUVudHJpZXMgLz48L0l0ZW0+PEl0ZW0+PEl0ZW1Mb2NhdGlvbj48SXRlbVR5cGU+Rm9ybXVsYTwvSXRlbVR5cGU+PEl0ZW1QYXRoPlNlY3Rpb24xL0luZGlhbl9FbXBsb3llZV9EYXRhL0ZpbHRlcmVkJTIwUm93czE8L0l0ZW1QYXRoPjwvSXRlbUxvY2F0aW9uPjxTdGFibGVFbnRyaWVzIC8+PC9JdGVtPjxJdGVtPjxJdGVtTG9jYXRpb24+PEl0ZW1UeXBlPkZvcm11bGE8L0l0ZW1UeXBlPjxJdGVtUGF0aD5TZWN0aW9uMS9JbmRpYW5fRW1wbG95ZWVfRGF0YS9SZXBsYWNlZCUyMFZhbHVlMzwvSXRlbVBhdGg+PC9JdGVtTG9jYXRpb24+PFN0YWJsZUVudHJpZXMgLz48L0l0ZW0+PEl0ZW0+PEl0ZW1Mb2NhdGlvbj48SXRlbVR5cGU+Rm9ybXVsYTwvSXRlbVR5cGU+PEl0ZW1QYXRoPlNlY3Rpb24xL0luZGlhbl9FbXBsb3llZV9EYXRhL0FkZGVkJTIwQ29uZGl0aW9uYWwlMjBDb2x1bW48L0l0ZW1QYXRoPjwvSXRlbUxvY2F0aW9uPjxTdGFibGVFbnRyaWVzIC8+PC9JdGVtPjxJdGVtPjxJdGVtTG9jYXRpb24+PEl0ZW1UeXBlPkZvcm11bGE8L0l0ZW1UeXBlPjxJdGVtUGF0aD5TZWN0aW9uMS9JbmRpYW5fRW1wbG95ZWVfRGF0YS9Tb3J0ZWQlMjBSb3dzMTwvSXRlbVBhdGg+PC9JdGVtTG9jYXRpb24+PFN0YWJsZUVudHJpZXMgLz48L0l0ZW0+PEl0ZW0+PEl0ZW1Mb2NhdGlvbj48SXRlbVR5cGU+Rm9ybXVsYTwvSXRlbVR5cGU+PEl0ZW1QYXRoPlNlY3Rpb24xL0luZGlhbl9FbXBsb3llZV9EYXRhL0ZpbHRlcmVkJTIwUm93czwvSXRlbVBhdGg+PC9JdGVtTG9jYXRpb24+PFN0YWJsZUVudHJpZXMgLz48L0l0ZW0+PEl0ZW0+PEl0ZW1Mb2NhdGlvbj48SXRlbVR5cGU+Rm9ybXVsYTwvSXRlbVR5cGU+PEl0ZW1QYXRoPlNlY3Rpb24xL0luZGlhbl9FbXBsb3llZV9EYXRhL0ZpbHRlcmVkJTIwUm93czI8L0l0ZW1QYXRoPjwvSXRlbUxvY2F0aW9uPjxTdGFibGVFbnRyaWVzIC8+PC9JdGVtPjxJdGVtPjxJdGVtTG9jYXRpb24+PEl0ZW1UeXBlPkZvcm11bGE8L0l0ZW1UeXBlPjxJdGVtUGF0aD5TZWN0aW9uMS9JbmRpYW5fRW1wbG95ZWVfRGF0YS9DaGFuZ2VkJTIwVHlwZTI8L0l0ZW1QYXRoPjwvSXRlbUxvY2F0aW9uPjxTdGFibGVFbnRyaWVzIC8+PC9JdGVtPjxJdGVtPjxJdGVtTG9jYXRpb24+PEl0ZW1UeXBlPkZvcm11bGE8L0l0ZW1UeXBlPjxJdGVtUGF0aD5TZWN0aW9uMS9JbmRpYW5fRW1wbG95ZWVfRGF0YS9BZGRlZCUyMEN1c3RvbTI8L0l0ZW1QYXRoPjwvSXRlbUxvY2F0aW9uPjxTdGFibGVFbnRyaWVzIC8+PC9JdGVtPjxJdGVtPjxJdGVtTG9jYXRpb24+PEl0ZW1UeXBlPkZvcm11bGE8L0l0ZW1UeXBlPjxJdGVtUGF0aD5TZWN0aW9uMS9JbmRpYW5fRW1wbG95ZWVfRGF0YS9NZXJnZWQlMjBRdWVyaWVzPC9JdGVtUGF0aD48L0l0ZW1Mb2NhdGlvbj48U3RhYmxlRW50cmllcyAvPjwvSXRlbT48SXRlbT48SXRlbUxvY2F0aW9uPjxJdGVtVHlwZT5Gb3JtdWxhPC9JdGVtVHlwZT48SXRlbVBhdGg+U2VjdGlvbjEvSW5kaWFuX0VtcGxveWVlX0RhdGEvRXhwYW5kZWQlMjBWZW5kb3IlMjBNYXA8L0l0ZW1QYXRoPjwvSXRlbUxvY2F0aW9uPjxTdGFibGVFbnRyaWVzIC8+PC9JdGVtPjwvSXRlbXM+PC9Mb2NhbFBhY2thZ2VNZXRhZGF0YUZpbGU+FgAAAFBLBQYAAAAAAAAAAAAAAAAAAAAAAAAmAQAAAQAAANCMnd8BFdERjHoAwE/Cl+sBAAAApJCqRwY1rUKWNDHbf3cNOQAAAAACAAAAAAAQZgAAAAEAACAAAABLeQnlptancanMwz2HTll+2roWscaxcOq5T5lMWm62FwAAAAAOgAAAAAIAACAAAADlBLKj1LMdRW8x6nDmvMTewZehParW/ftEv8v7Ud6r3FAAAAB7E1uQydoi2a8dTK3+J1leLaUgxta0TsQ1rYPlT8PN+NeSmdP/vI/i0iD9gxeiUm6BYjrIzlRMpr5rkFpVH3vhHjRts9DoJRrOzhK6dNAY+EAAAABnHWbjQlZggd+H6sVk9IIoYi9UqZouEWsIIEAOCNSwEkg4Zoau64rYfNgvIIU0MEgKeNdw8b+NzM9QvS75NvkZ</DataMashup>
</file>

<file path=customXml/item11.xml><?xml version="1.0" encoding="UTF-8"?>
<Gemini xmlns="http://gemini/pivotcustomization/TableXML_Query_Audit_Exceptions 1_cb54789d-41ff-4e81-888b-b48d2eaa0960"><CustomContent><![CDATA[<TableWidgetGridSerialization xmlns:xsd="http://www.w3.org/2001/XMLSchema" xmlns:xsi="http://www.w3.org/2001/XMLSchema-instance"><ColumnSuggestedType /><ColumnFormat /><ColumnAccuracy /><ColumnCurrencySymbol /><ColumnPositivePattern /><ColumnNegativePattern /><ColumnWidths><item><key><string>Employee ID</string></key><value><int>119</int></value></item><item><key><string>Full Name</string></key><value><int>102</int></value></item><item><key><string>Gender</string></key><value><int>84</int></value></item><item><key><string>Department</string></key><value><int>112</int></value></item><item><key><string>Location</string></key><value><int>92</int></value></item><item><key><string>Monthly Base Salary (INR)</string></key><value><int>209</int></value></item><item><key><string>Corporate Benefit Plan</string></key><value><int>184</int></value></item><item><key><string>Insurance tier</string></key><value><int>123</int></value></item><item><key><string>Monthly Premiums</string></key><value><int>159</int></value></item><item><key><string>Salary Bracket</string></key><value><int>131</int></value></item><item><key><string>Salary Tier</string></key><value><int>105</int></value></item><item><key><string>Vendor Survey Job Code</string></key><value><int>200</int></value></item><item><key><string>Vendor Global Group Name</string></key><value><int>219</int></value></item></ColumnWidths><ColumnDisplayIndex><item><key><string>Employee ID</string></key><value><int>0</int></value></item><item><key><string>Full Name</string></key><value><int>1</int></value></item><item><key><string>Gender</string></key><value><int>2</int></value></item><item><key><string>Department</string></key><value><int>3</int></value></item><item><key><string>Location</string></key><value><int>4</int></value></item><item><key><string>Monthly Base Salary (INR)</string></key><value><int>5</int></value></item><item><key><string>Corporate Benefit Plan</string></key><value><int>6</int></value></item><item><key><string>Insurance tier</string></key><value><int>7</int></value></item><item><key><string>Monthly Premiums</string></key><value><int>8</int></value></item><item><key><string>Salary Bracket</string></key><value><int>9</int></value></item><item><key><string>Salary Tier</string></key><value><int>10</int></value></item><item><key><string>Vendor Survey Job Code</string></key><value><int>11</int></value></item><item><key><string>Vendor Global Group Name</string></key><value><int>12</int></value></item></ColumnDisplayIndex><ColumnFrozen /><ColumnChecked /><ColumnFilter /><SelectionFilter /><FilterParameters /><IsSortDescending>false</IsSortDescending></TableWidgetGridSerialization>]]></CustomContent></Gemini>
</file>

<file path=customXml/item12.xml><?xml version="1.0" encoding="utf-8"?>
<Gemini xmlns="http://gemini/pivotcustomization/1f30994b-54df-4629-884d-87cb9bbd0ca9">
  <CustomContent><![CDATA[<?xml version="1.0" encoding="utf-16"?><Settings><CalculatedFields><item><MeasureName>Gender Pay Gap</MeasureName><DisplayName>Gender Pay Gap</DisplayName><Visible>False</Visible></item><item><MeasureName>Salary Spread within Tier</MeasureName><DisplayName>Salary Spread within Tier</DisplayName><Visible>False</Visible></item></CalculatedFields><SAHostHash>0</SAHostHash><GeminiFieldListVisible>True</GeminiFieldListVisible></Settings>]]></CustomContent>
</Gemini>
</file>

<file path=customXml/item13.xml><?xml version="1.0" encoding="utf-8"?>
<Gemini xmlns="http://gemini/pivotcustomization/87280b58-3f6b-4c21-a435-5e68354b7efa">
  <CustomContent><![CDATA[<?xml version="1.0" encoding="utf-16"?><Settings><CalculatedFields><item><MeasureName>Gender Pay Gap</MeasureName><DisplayName>Gender Pay Gap</DisplayName><Visible>False</Visible></item><item><MeasureName>Salary Spread within Tier</MeasureName><DisplayName>Salary Spread within Tier</DisplayName><Visible>False</Visible></item></CalculatedFields><SAHostHash>0</SAHostHash><GeminiFieldListVisible>True</GeminiFieldListVisible></Settings>]]></CustomContent>
</Gemini>
</file>

<file path=customXml/item14.xml><?xml version="1.0" encoding="utf-8"?>
<Gemini xmlns="http://gemini/pivotcustomization/78f8f34a-8fb8-4814-b5c7-5d3c19f19613">
  <CustomContent><![CDATA[<?xml version="1.0" encoding="utf-16"?><Settings><CalculatedFields><item><MeasureName>Gender Pay Gap</MeasureName><DisplayName>Gender Pay Gap</DisplayName><Visible>False</Visible></item><item><MeasureName>Salary Spread within Tier</MeasureName><DisplayName>Salary Spread within Tier</DisplayName><Visible>False</Visible></item></CalculatedFields><SAHostHash>0</SAHostHash><GeminiFieldListVisible>True</GeminiFieldListVisible></Settings>]]></CustomContent>
</Gemini>
</file>

<file path=customXml/item15.xml><?xml version="1.0" encoding="UTF-8"?>
<Gemini xmlns="http://gemini/pivotcustomization/TableXML_Indian_Corporate_Workforce_Dataset  3_6e343527-973f-4441-bfc8-4e2b98543b0d"><CustomContent xmlns="http://gemini/pivotcustomization/TableXML_Indian_Corporate_Workforce_Dataset 3_6e343527-973f-4441-bfc8-4e2b98543b0d"><![CDATA[<TableWidgetGridSerialization xmlns:xsd="http://www.w3.org/2001/XMLSchema" xmlns:xsi="http://www.w3.org/2001/XMLSchema-instance"><ColumnSuggestedType /><ColumnFormat /><ColumnAccuracy /><ColumnCurrencySymbol /><ColumnPositivePattern /><ColumnNegativePattern /><ColumnWidths><item><key><string>Employee ID</string></key><value><int>119</int></value></item><item><key><string>Full Name</string></key><value><int>102</int></value></item><item><key><string>Department</string></key><value><int>112</int></value></item><item><key><string>Location</string></key><value><int>92</int></value></item><item><key><string>Monthly Base Salary (INR)</string></key><value><int>209</int></value></item><item><key><string>Corporate Benefit Plan</string></key><value><int>184</int></value></item><item><key><string>Insurance tier</string></key><value><int>123</int></value></item><item><key><string>Monthly Premiums</string></key><value><int>159</int></value></item><item><key><string>Salary Bracket</string></key><value><int>131</int></value></item></ColumnWidths><ColumnDisplayIndex><item><key><string>Employee ID</string></key><value><int>0</int></value></item><item><key><string>Full Name</string></key><value><int>1</int></value></item><item><key><string>Department</string></key><value><int>2</int></value></item><item><key><string>Location</string></key><value><int>3</int></value></item><item><key><string>Monthly Base Salary (INR)</string></key><value><int>4</int></value></item><item><key><string>Corporate Benefit Plan</string></key><value><int>5</int></value></item><item><key><string>Insurance tier</string></key><value><int>6</int></value></item><item><key><string>Monthly Premiums</string></key><value><int>7</int></value></item><item><key><string>Salary Bracket</string></key><value><int>8</int></value></item></ColumnDisplayIndex><ColumnFrozen /><ColumnChecked /><ColumnFilter /><SelectionFilter /><FilterParameters /><IsSortDescending>false</IsSortDescending></TableWidgetGridSerialization>]]></CustomContent></Gemini>
</file>

<file path=customXml/item16.xml><?xml version="1.0" encoding="utf-8"?>
<Gemini xmlns="http://gemini/pivotcustomization/01d8b897-712a-4310-bd3a-9ac81dc81dae">
  <CustomContent><![CDATA[<?xml version="1.0" encoding="utf-16"?><Settings><CalculatedFields><item><MeasureName>Gender Pay Gap</MeasureName><DisplayName>Gender Pay Gap</DisplayName><Visible>False</Visible></item><item><MeasureName>Salary Spread within Tier</MeasureName><DisplayName>Salary Spread within Tier</DisplayName><Visible>False</Visible></item></CalculatedFields><SAHostHash>0</SAHostHash><GeminiFieldListVisible>True</GeminiFieldListVisible></Settings>]]></CustomContent>
</Gemini>
</file>

<file path=customXml/item17.xml><?xml version="1.0" encoding="UTF-8"?>
<Gemini xmlns="http://gemini/pivotcustomization/TableXML_Indian_Employee_Data 1"><CustomContent><![CDATA[<TableWidgetGridSerialization xmlns:xsd="http://www.w3.org/2001/XMLSchema" xmlns:xsi="http://www.w3.org/2001/XMLSchema-instance"><ColumnSuggestedType /><ColumnFormat /><ColumnAccuracy /><ColumnCurrencySymbol /><ColumnPositivePattern /><ColumnNegativePattern /><ColumnWidths><item><key><string>Employee ID</string></key><value><int>119</int></value></item><item><key><string>Full Name</string></key><value><int>102</int></value></item><item><key><string>Gender</string></key><value><int>84</int></value></item><item><key><string>Department</string></key><value><int>112</int></value></item><item><key><string>Location</string></key><value><int>92</int></value></item><item><key><string>Monthly Base Salary (INR)</string></key><value><int>209</int></value></item><item><key><string>Corporate Benefit Plan</string></key><value><int>184</int></value></item><item><key><string>Insurance tier</string></key><value><int>123</int></value></item><item><key><string>Monthly Premiums</string></key><value><int>159</int></value></item><item><key><string>Salary Bracket</string></key><value><int>131</int></value></item><item><key><string>Salary Tier</string></key><value><int>105</int></value></item><item><key><string>Vendor Survey Job Code</string></key><value><int>200</int></value></item><item><key><string>Vendor Global Group Name</string></key><value><int>219</int></value></item></ColumnWidths><ColumnDisplayIndex><item><key><string>Employee ID</string></key><value><int>0</int></value></item><item><key><string>Full Name</string></key><value><int>1</int></value></item><item><key><string>Gender</string></key><value><int>2</int></value></item><item><key><string>Department</string></key><value><int>3</int></value></item><item><key><string>Location</string></key><value><int>4</int></value></item><item><key><string>Monthly Base Salary (INR)</string></key><value><int>5</int></value></item><item><key><string>Corporate Benefit Plan</string></key><value><int>6</int></value></item><item><key><string>Insurance tier</string></key><value><int>7</int></value></item><item><key><string>Monthly Premiums</string></key><value><int>8</int></value></item><item><key><string>Salary Bracket</string></key><value><int>9</int></value></item><item><key><string>Salary Tier</string></key><value><int>10</int></value></item><item><key><string>Vendor Survey Job Code</string></key><value><int>11</int></value></item><item><key><string>Vendor Global Group Name</string></key><value><int>12</int></value></item></ColumnDisplayIndex><ColumnFrozen /><ColumnChecked /><ColumnFilter /><SelectionFilter /><FilterParameters /><IsSortDescending>false</IsSortDescending></TableWidgetGridSerialization>]]></CustomContent></Gemini>
</file>

<file path=customXml/item18.xml><?xml version="1.0" encoding="utf-8"?>
<Gemini xmlns="http://gemini/pivotcustomization/ShowHidden">
  <CustomContent><![CDATA[True]]></CustomContent>
</Gemini>
</file>

<file path=customXml/item19.xml><?xml version="1.0" encoding="utf-8"?>
<Gemini xmlns="http://gemini/pivotcustomization/87d60fc3-0096-4eed-92f7-7c443c93c93e">
  <CustomContent><![CDATA[<?xml version="1.0" encoding="utf-16"?><Settings><CalculatedFields><item><MeasureName>Gender Pay Gap</MeasureName><DisplayName>Gender Pay Gap</DisplayName><Visible>False</Visible></item><item><MeasureName>Salary Spread within Tier</MeasureName><DisplayName>Salary Spread within Tier</DisplayName><Visible>False</Visible></item><item><MeasureName>Headcount</MeasureName><DisplayName>Headcount</DisplayName><Visible>False</Visible></item><item><MeasureName>Total Monthly Premium Cost</MeasureName><DisplayName>Total Monthly Premium Cost</DisplayName><Visible>False</Visible></item><item><MeasureName>Average Salary</MeasureName><DisplayName>Average Salary</DisplayName><Visible>False</Visible></item><item><MeasureName>High-Cost Employee %</MeasureName><DisplayName>High-Cost Employee %</DisplayName><Visible>False</Visible></item></CalculatedFields><SAHostHash>0</SAHostHash><GeminiFieldListVisible>True</GeminiFieldListVisible></Settings>]]></CustomContent>
</Gemini>
</file>

<file path=customXml/item20.xml><?xml version="1.0" encoding="utf-8"?>
<Gemini xmlns="http://gemini/pivotcustomization/0845b470-877c-45e6-a74c-6564f9e337e9">
  <CustomContent><![CDATA[<?xml version="1.0" encoding="utf-16"?><Settings><CalculatedFields><item><MeasureName>Gender Pay Gap</MeasureName><DisplayName>Gender Pay Gap</DisplayName><Visible>False</Visible></item><item><MeasureName>Salary Spread within Tier</MeasureName><DisplayName>Salary Spread within Tier</DisplayName><Visible>False</Visible></item></CalculatedFields><SAHostHash>0</SAHostHash><GeminiFieldListVisible>True</GeminiFieldListVisible></Settings>]]></CustomContent>
</Gemini>
</file>

<file path=customXml/item21.xml><?xml version="1.0" encoding="utf-8"?>
<Gemini xmlns="http://gemini/pivotcustomization/2fd10cbc-6436-4254-9bb3-f971e260dc54">
  <CustomContent><![CDATA[<?xml version="1.0" encoding="utf-16"?><Settings><CalculatedFields><item><MeasureName>Gender Pay Gap</MeasureName><DisplayName>Gender Pay Gap</DisplayName><Visible>False</Visible></item><item><MeasureName>Salary Spread within Tier</MeasureName><DisplayName>Salary Spread within Tier</DisplayName><Visible>False</Visible></item><item><MeasureName>Headcount</MeasureName><DisplayName>Headcount</DisplayName><Visible>False</Visible></item><item><MeasureName>Total Monthly Premium Cost</MeasureName><DisplayName>Total Monthly Premium Cost</DisplayName><Visible>False</Visible></item><item><MeasureName>Average Salary</MeasureName><DisplayName>Average Salary</DisplayName><Visible>False</Visible></item><item><MeasureName>High-Cost Employee %</MeasureName><DisplayName>High-Cost Employee %</DisplayName><Visible>False</Visible></item></CalculatedFields><SAHostHash>0</SAHostHash><GeminiFieldListVisible>True</GeminiFieldListVisible></Settings>]]></CustomContent>
</Gemini>
</file>

<file path=customXml/item22.xml><?xml version="1.0" encoding="utf-8"?>
<Gemini xmlns="http://gemini/pivotcustomization/SandboxNonEmpty">
  <CustomContent><![CDATA[1]]></CustomContent>
</Gemini>
</file>

<file path=customXml/item23.xml><?xml version="1.0" encoding="utf-8"?>
<Gemini xmlns="http://gemini/pivotcustomization/b20f4259-f4fe-40cf-a14f-d7669fb959fc">
  <CustomContent><![CDATA[<?xml version="1.0" encoding="utf-16"?><Settings><CalculatedFields><item><MeasureName>Gender Pay Gap</MeasureName><DisplayName>Gender Pay Gap</DisplayName><Visible>False</Visible></item><item><MeasureName>Salary Spread within Tier</MeasureName><DisplayName>Salary Spread within Tier</DisplayName><Visible>False</Visible></item></CalculatedFields><SAHostHash>0</SAHostHash><GeminiFieldListVisible>True</GeminiFieldListVisible></Settings>]]></CustomContent>
</Gemini>
</file>

<file path=customXml/item24.xml><?xml version="1.0" encoding="utf-8"?>
<Gemini xmlns="http://gemini/pivotcustomization/MeasureGridState">
  <CustomContent><![CDATA[<ArrayOfKeyValueOfstringSandboxEditor.MeasureGridStateScdE35Ry xmlns="http://schemas.microsoft.com/2003/10/Serialization/Arrays" xmlns:i="http://www.w3.org/2001/XMLSchema-instance"><KeyValueOfstringSandboxEditor.MeasureGridStateScdE35Ry><Key>Indian_Employee_Data_3918fd26-4389-4336-bf2f-aff2a97afc30</Key><Value xmlns:a="http://schemas.datacontract.org/2004/07/Microsoft.AnalysisServices.Common"><a:HasFocus>true</a:HasFocus><a:SizeAtDpi96>113</a:SizeAtDpi96><a:Visible>true</a:Visible></Value></KeyValueOfstringSandboxEditor.MeasureGridStateScdE35Ry><KeyValueOfstringSandboxEditor.MeasureGridStateScdE35Ry><Key>Query_Audit_Exceptions 1_cb54789d-41ff-4e81-888b-b48d2eaa0960</Key><Value xmlns:a="http://schemas.datacontract.org/2004/07/Microsoft.AnalysisServices.Common"><a:HasFocus>true</a:HasFocus><a:SizeAtDpi96>113</a:SizeAtDpi96><a:Visible>true</a:Visible></Value></KeyValueOfstringSandboxEditor.MeasureGridStateScdE35Ry><KeyValueOfstringSandboxEditor.MeasureGridStateScdE35Ry><Key>Query_Audit_Exceptions_02543f7d-340f-41dd-a8bf-37506debecb1</Key><Value xmlns:a="http://schemas.datacontract.org/2004/07/Microsoft.AnalysisServices.Common"><a:HasFocus>true</a:HasFocus><a:SizeAtDpi96>113</a:SizeAtDpi96><a:Visible>true</a:Visible></Value></KeyValueOfstringSandboxEditor.MeasureGridStateScdE35Ry></ArrayOfKeyValueOfstringSandboxEditor.MeasureGridStateScdE35Ry>]]></CustomContent>
</Gemini>
</file>

<file path=customXml/item25.xml><?xml version="1.0" encoding="utf-8"?>
<Gemini xmlns="http://gemini/pivotcustomization/IsSandboxEmbedded">
  <CustomContent><![CDATA[yes]]></CustomContent>
</Gemini>
</file>

<file path=customXml/item26.xml><?xml version="1.0" encoding="utf-8"?>
<Gemini xmlns="http://gemini/pivotcustomization/6f3712e1-bc74-4cbf-94a0-6d9d471d443b">
  <CustomContent><![CDATA[<?xml version="1.0" encoding="utf-16"?><Settings><CalculatedFields><item><MeasureName>Gender Pay Gap</MeasureName><DisplayName>Gender Pay Gap</DisplayName><Visible>False</Visible></item><item><MeasureName>Salary Spread within Tier</MeasureName><DisplayName>Salary Spread within Tier</DisplayName><Visible>False</Visible></item></CalculatedFields><SAHostHash>0</SAHostHash><GeminiFieldListVisible>True</GeminiFieldListVisible></Settings>]]></CustomContent>
</Gemini>
</file>

<file path=customXml/item27.xml><?xml version="1.0" encoding="utf-8"?>
<Gemini xmlns="http://gemini/pivotcustomization/e3cef267-f8f2-4d1e-a4f5-37fba32d6eef">
  <CustomContent><![CDATA[<?xml version="1.0" encoding="utf-16"?><Settings><CalculatedFields><item><MeasureName>Gender Pay Gap</MeasureName><DisplayName>Gender Pay Gap</DisplayName><Visible>False</Visible></item><item><MeasureName>Salary Spread within Tier</MeasureName><DisplayName>Salary Spread within Tier</DisplayName><Visible>False</Visible></item><item><MeasureName>Headcount</MeasureName><DisplayName>Headcount</DisplayName><Visible>False</Visible></item><item><MeasureName>Total Monthly Premium Cost</MeasureName><DisplayName>Total Monthly Premium Cost</DisplayName><Visible>False</Visible></item><item><MeasureName>Average Salary</MeasureName><DisplayName>Average Salary</DisplayName><Visible>False</Visible></item><item><MeasureName>High-Cost Employee %</MeasureName><DisplayName>High-Cost Employee %</DisplayName><Visible>False</Visible></item></CalculatedFields><SAHostHash>0</SAHostHash><GeminiFieldListVisible>True</GeminiFieldListVisible></Settings>]]></CustomContent>
</Gemini>
</file>

<file path=customXml/item28.xml><?xml version="1.0" encoding="utf-8"?>
<Gemini xmlns="http://gemini/pivotcustomization/87218161-3f3a-4865-89ca-2d788945b2af">
  <CustomContent><![CDATA[<?xml version="1.0" encoding="utf-16"?><Settings><CalculatedFields><item><MeasureName>Gender Pay Gap</MeasureName><DisplayName>Gender Pay Gap</DisplayName><Visible>False</Visible></item><item><MeasureName>Salary Spread within Tier</MeasureName><DisplayName>Salary Spread within Tier</DisplayName><Visible>False</Visible></item></CalculatedFields><SAHostHash>0</SAHostHash><GeminiFieldListVisible>True</GeminiFieldListVisible></Settings>]]></CustomContent>
</Gemini>
</file>

<file path=customXml/item29.xml><?xml version="1.0" encoding="utf-8"?>
<Gemini xmlns="http://gemini/pivotcustomization/9dc16fea-20bd-4150-bf69-36ccbcc65c9e">
  <CustomContent><![CDATA[<?xml version="1.0" encoding="utf-16"?><Settings><CalculatedFields><item><MeasureName>Gender Pay Gap</MeasureName><DisplayName>Gender Pay Gap</DisplayName><Visible>False</Visible></item><item><MeasureName>Salary Spread within Tier</MeasureName><DisplayName>Salary Spread within Tier</DisplayName><Visible>False</Visible></item><item><MeasureName>Headcount</MeasureName><DisplayName>Headcount</DisplayName><Visible>False</Visible></item><item><MeasureName>Total Monthly Premium Cost</MeasureName><DisplayName>Total Monthly Premium Cost</DisplayName><Visible>False</Visible></item><item><MeasureName>Average Salary</MeasureName><DisplayName>Average Salary</DisplayName><Visible>False</Visible></item><item><MeasureName>High-Cost Employee %</MeasureName><DisplayName>High-Cost Employee %</DisplayName><Visible>False</Visible></item></CalculatedFields><SAHostHash>0</SAHostHash><GeminiFieldListVisible>True</GeminiFieldListVisible></Settings>]]></CustomContent>
</Gemini>
</file>

<file path=customXml/item30.xml><?xml version="1.0" encoding="utf-8"?>
<Gemini xmlns="http://gemini/pivotcustomization/ShowImplicitMeasures">
  <CustomContent><![CDATA[False]]></CustomContent>
</Gemini>
</file>

<file path=customXml/item31.xml><?xml version="1.0" encoding="utf-8"?>
<Gemini xmlns="http://gemini/pivotcustomization/a0b81418-33e4-4f17-adc1-a60103560550">
  <CustomContent><![CDATA[<?xml version="1.0" encoding="utf-16"?><Settings><CalculatedFields><item><MeasureName>Gender Pay Gap</MeasureName><DisplayName>Gender Pay Gap</DisplayName><Visible>False</Visible></item><item><MeasureName>Salary Spread within Tier</MeasureName><DisplayName>Salary Spread within Tier</DisplayName><Visible>False</Visible></item><item><MeasureName>Headcount</MeasureName><DisplayName>Headcount</DisplayName><Visible>False</Visible></item><item><MeasureName>Total Monthly Premium Cost</MeasureName><DisplayName>Total Monthly Premium Cost</DisplayName><Visible>False</Visible></item><item><MeasureName>Average Salary</MeasureName><DisplayName>Average Salary</DisplayName><Visible>False</Visible></item><item><MeasureName>High-Cost Employee %</MeasureName><DisplayName>High-Cost Employee %</DisplayName><Visible>False</Visible></item></CalculatedFields><SAHostHash>0</SAHostHash><GeminiFieldListVisible>True</GeminiFieldListVisible></Settings>]]></CustomContent>
</Gemini>
</file>

<file path=customXml/item32.xml><?xml version="1.0" encoding="UTF-8"?>
<Gemini xmlns="http://gemini/pivotcustomization/TableXML_Indian_Corporate_Workforce_Dataset  2_8da38fbb-4e23-45fa-9aac-5d92215ade1d"><CustomContent xmlns="http://gemini/pivotcustomization/TableXML_Indian_Corporate_Workforce_Dataset 2_8da38fbb-4e23-45fa-9aac-5d92215ade1d"><![CDATA[<TableWidgetGridSerialization xmlns:xsd="http://www.w3.org/2001/XMLSchema" xmlns:xsi="http://www.w3.org/2001/XMLSchema-instance"><ColumnSuggestedType /><ColumnFormat /><ColumnAccuracy /><ColumnCurrencySymbol /><ColumnPositivePattern /><ColumnNegativePattern /><ColumnWidths><item><key><string>Employee ID</string></key><value><int>119</int></value></item><item><key><string>Full Name</string></key><value><int>102</int></value></item><item><key><string>Gender</string></key><value><int>84</int></value></item><item><key><string>Department</string></key><value><int>112</int></value></item><item><key><string>Location</string></key><value><int>92</int></value></item><item><key><string>Monthly Base Salary (INR)</string></key><value><int>209</int></value></item><item><key><string>Corporate Benefit Plan</string></key><value><int>184</int></value></item><item><key><string>Insurance tier</string></key><value><int>123</int></value></item><item><key><string>Monthly Premiums</string></key><value><int>159</int></value></item><item><key><string>Salary Bracket</string></key><value><int>131</int></value></item></ColumnWidths><ColumnDisplayIndex><item><key><string>Employee ID</string></key><value><int>0</int></value></item><item><key><string>Full Name</string></key><value><int>1</int></value></item><item><key><string>Gender</string></key><value><int>2</int></value></item><item><key><string>Department</string></key><value><int>3</int></value></item><item><key><string>Location</string></key><value><int>4</int></value></item><item><key><string>Monthly Base Salary (INR)</string></key><value><int>5</int></value></item><item><key><string>Corporate Benefit Plan</string></key><value><int>6</int></value></item><item><key><string>Insurance tier</string></key><value><int>7</int></value></item><item><key><string>Monthly Premiums</string></key><value><int>8</int></value></item><item><key><string>Salary Bracket</string></key><value><int>9</int></value></item></ColumnDisplayIndex><ColumnFrozen /><ColumnChecked /><ColumnFilter /><SelectionFilter /><FilterParameters /><IsSortDescending>false</IsSortDescending></TableWidgetGridSerialization>]]></CustomContent></Gemini>
</file>

<file path=customXml/item33.xml><?xml version="1.0" encoding="UTF-8"?>
<Gemini xmlns="http://gemini/pivotcustomization/TableXML_Indian_Corporate_Workforce_Dataset  3_6e343527-973f-4441-bfc8-4e2b98543b0d"><CustomContent xmlns="http://gemini/pivotcustomization/TableXML_Indian_Corporate_Workforce_Dataset 3_6e343527-973f-4441-bfc8-4e2b98543b0d"><![CDATA[<TableWidgetGridSerialization xmlns:xsd="http://www.w3.org/2001/XMLSchema" xmlns:xsi="http://www.w3.org/2001/XMLSchema-instance"><ColumnSuggestedType /><ColumnFormat /><ColumnAccuracy /><ColumnCurrencySymbol /><ColumnPositivePattern /><ColumnNegativePattern /><ColumnWidths><item><key><string>Employee ID</string></key><value><int>119</int></value></item><item><key><string>Full Name</string></key><value><int>102</int></value></item><item><key><string>Department</string></key><value><int>112</int></value></item><item><key><string>Location</string></key><value><int>92</int></value></item><item><key><string>Monthly Base Salary (INR)</string></key><value><int>209</int></value></item><item><key><string>Corporate Benefit Plan</string></key><value><int>184</int></value></item><item><key><string>Insurance tier</string></key><value><int>123</int></value></item><item><key><string>Monthly Premiums</string></key><value><int>159</int></value></item><item><key><string>Salary Bracket</string></key><value><int>131</int></value></item></ColumnWidths><ColumnDisplayIndex><item><key><string>Employee ID</string></key><value><int>0</int></value></item><item><key><string>Full Name</string></key><value><int>1</int></value></item><item><key><string>Department</string></key><value><int>2</int></value></item><item><key><string>Location</string></key><value><int>3</int></value></item><item><key><string>Monthly Base Salary (INR)</string></key><value><int>4</int></value></item><item><key><string>Corporate Benefit Plan</string></key><value><int>5</int></value></item><item><key><string>Insurance tier</string></key><value><int>6</int></value></item><item><key><string>Monthly Premiums</string></key><value><int>7</int></value></item><item><key><string>Salary Bracket</string></key><value><int>8</int></value></item></ColumnDisplayIndex><ColumnFrozen /><ColumnChecked /><ColumnFilter /><SelectionFilter /><FilterParameters /><IsSortDescending>false</IsSortDescending></TableWidgetGridSerialization>]]></CustomContent></Gemini>
</file>

<file path=customXml/item34.xml><?xml version="1.0" encoding="UTF-8"?>
<Gemini xmlns="http://gemini/pivotcustomization/TableXML_Indian_Corporate_Workforce_Dataset  3_6e343527-973f-4441-bfc8-4e2b98543b0d"><CustomContent xmlns="http://gemini/pivotcustomization/TableXML_Indian_Corporate_Workforce_Dataset 3_6e343527-973f-4441-bfc8-4e2b98543b0d"><![CDATA[<TableWidgetGridSerialization xmlns:xsd="http://www.w3.org/2001/XMLSchema" xmlns:xsi="http://www.w3.org/2001/XMLSchema-instance"><ColumnSuggestedType /><ColumnFormat /><ColumnAccuracy /><ColumnCurrencySymbol /><ColumnPositivePattern /><ColumnNegativePattern /><ColumnWidths><item><key><string>Employee ID</string></key><value><int>119</int></value></item><item><key><string>Full Name</string></key><value><int>102</int></value></item><item><key><string>Department</string></key><value><int>112</int></value></item><item><key><string>Location</string></key><value><int>92</int></value></item><item><key><string>Monthly Base Salary (INR)</string></key><value><int>209</int></value></item><item><key><string>Corporate Benefit Plan</string></key><value><int>184</int></value></item><item><key><string>Insurance tier</string></key><value><int>123</int></value></item><item><key><string>Monthly Premiums</string></key><value><int>159</int></value></item><item><key><string>Salary Bracket</string></key><value><int>131</int></value></item></ColumnWidths><ColumnDisplayIndex><item><key><string>Employee ID</string></key><value><int>0</int></value></item><item><key><string>Full Name</string></key><value><int>1</int></value></item><item><key><string>Department</string></key><value><int>2</int></value></item><item><key><string>Location</string></key><value><int>3</int></value></item><item><key><string>Monthly Base Salary (INR)</string></key><value><int>4</int></value></item><item><key><string>Corporate Benefit Plan</string></key><value><int>5</int></value></item><item><key><string>Insurance tier</string></key><value><int>6</int></value></item><item><key><string>Monthly Premiums</string></key><value><int>7</int></value></item><item><key><string>Salary Bracket</string></key><value><int>8</int></value></item></ColumnDisplayIndex><ColumnFrozen /><ColumnChecked /><ColumnFilter /><SelectionFilter /><FilterParameters /><IsSortDescending>false</IsSortDescending></TableWidgetGridSerialization>]]></CustomContent></Gemini>
</file>

<file path=customXml/item35.xml><?xml version="1.0" encoding="utf-8"?>
<Gemini xmlns="http://gemini/pivotcustomization/ClientWindowXML">
  <CustomContent><![CDATA[Indian_Employee_Data_3918fd26-4389-4336-bf2f-aff2a97afc30]]></CustomContent>
</Gemini>
</file>

<file path=customXml/item36.xml><?xml version="1.0" encoding="utf-8"?>
<Gemini xmlns="http://gemini/pivotcustomization/093017a2-b01c-4034-afb0-c4d62d1ef054">
  <CustomContent><![CDATA[<?xml version="1.0" encoding="utf-16"?><Settings><CalculatedFields><item><MeasureName>Gender Pay Gap</MeasureName><DisplayName>Gender Pay Gap</DisplayName><Visible>False</Visible></item><item><MeasureName>Salary Spread within Tier</MeasureName><DisplayName>Salary Spread within Tier</DisplayName><Visible>False</Visible></item><item><MeasureName>Headcount</MeasureName><DisplayName>Headcount</DisplayName><Visible>False</Visible></item><item><MeasureName>Total Monthly Premium Cost</MeasureName><DisplayName>Total Monthly Premium Cost</DisplayName><Visible>False</Visible></item><item><MeasureName>Average Salary</MeasureName><DisplayName>Average Salary</DisplayName><Visible>False</Visible></item><item><MeasureName>High-Cost Employee %</MeasureName><DisplayName>High-Cost Employee %</DisplayName><Visible>False</Visible></item></CalculatedFields><SAHostHash>0</SAHostHash><GeminiFieldListVisible>True</GeminiFieldListVisible></Settings>]]></CustomContent>
</Gemini>
</file>

<file path=customXml/item37.xml><?xml version="1.0" encoding="UTF-8"?>
<Gemini xmlns="http://gemini/pivotcustomization/TableXML_Indian_Corporate_Workforce_Dataset  2_8da38fbb-4e23-45fa-9aac-5d92215ade1d"><CustomContent xmlns="http://gemini/pivotcustomization/TableXML_Indian_Corporate_Workforce_Dataset 2_8da38fbb-4e23-45fa-9aac-5d92215ade1d"><![CDATA[<TableWidgetGridSerialization xmlns:xsd="http://www.w3.org/2001/XMLSchema" xmlns:xsi="http://www.w3.org/2001/XMLSchema-instance"><ColumnSuggestedType /><ColumnFormat /><ColumnAccuracy /><ColumnCurrencySymbol /><ColumnPositivePattern /><ColumnNegativePattern /><ColumnWidths><item><key><string>Employee ID</string></key><value><int>119</int></value></item><item><key><string>Full Name</string></key><value><int>102</int></value></item><item><key><string>Gender</string></key><value><int>84</int></value></item><item><key><string>Department</string></key><value><int>112</int></value></item><item><key><string>Location</string></key><value><int>92</int></value></item><item><key><string>Monthly Base Salary (INR)</string></key><value><int>209</int></value></item><item><key><string>Corporate Benefit Plan</string></key><value><int>184</int></value></item><item><key><string>Insurance tier</string></key><value><int>123</int></value></item><item><key><string>Monthly Premiums</string></key><value><int>159</int></value></item><item><key><string>Salary Bracket</string></key><value><int>131</int></value></item></ColumnWidths><ColumnDisplayIndex><item><key><string>Employee ID</string></key><value><int>0</int></value></item><item><key><string>Full Name</string></key><value><int>1</int></value></item><item><key><string>Gender</string></key><value><int>2</int></value></item><item><key><string>Department</string></key><value><int>3</int></value></item><item><key><string>Location</string></key><value><int>4</int></value></item><item><key><string>Monthly Base Salary (INR)</string></key><value><int>5</int></value></item><item><key><string>Corporate Benefit Plan</string></key><value><int>6</int></value></item><item><key><string>Insurance tier</string></key><value><int>7</int></value></item><item><key><string>Monthly Premiums</string></key><value><int>8</int></value></item><item><key><string>Salary Bracket</string></key><value><int>9</int></value></item></ColumnDisplayIndex><ColumnFrozen /><ColumnChecked /><ColumnFilter /><SelectionFilter /><FilterParameters /><IsSortDescending>false</IsSortDescending></TableWidgetGridSerialization>]]></CustomContent></Gemini>
</file>

<file path=customXml/item38.xml><?xml version="1.0" encoding="utf-8"?>
<Gemini xmlns="http://gemini/pivotcustomization/ManualCalcMode">
  <CustomContent><![CDATA[False]]></CustomContent>
</Gemini>
</file>

<file path=customXml/item39.xml><?xml version="1.0" encoding="utf-8"?>
<Gemini xmlns="http://gemini/pivotcustomization/PowerPivotVersion">
  <CustomContent><![CDATA[2015.130.1606.47]]></CustomContent>
</Gemini>
</file>

<file path=customXml/item40.xml><?xml version="1.0" encoding="utf-8"?>
<Gemini xmlns="http://gemini/pivotcustomization/16576d63-532a-4a00-8daf-b8e91778e053">
  <CustomContent><![CDATA[<?xml version="1.0" encoding="utf-16"?><Settings><CalculatedFields><item><MeasureName>Gender Pay Gap</MeasureName><DisplayName>Gender Pay Gap</DisplayName><Visible>False</Visible></item><item><MeasureName>Salary Spread within Tier</MeasureName><DisplayName>Salary Spread within Tier</DisplayName><Visible>False</Visible></item><item><MeasureName>Headcount</MeasureName><DisplayName>Headcount</DisplayName><Visible>False</Visible></item><item><MeasureName>Total Monthly Premium Cost</MeasureName><DisplayName>Total Monthly Premium Cost</DisplayName><Visible>False</Visible></item><item><MeasureName>Average Salary</MeasureName><DisplayName>Average Salary</DisplayName><Visible>False</Visible></item><item><MeasureName>High-Cost Employee %</MeasureName><DisplayName>High-Cost Employee %</DisplayName><Visible>False</Visible></item></CalculatedFields><SAHostHash>0</SAHostHash><GeminiFieldListVisible>True</GeminiFieldListVisible></Settings>]]></CustomContent>
</Gemini>
</file>

<file path=customXml/item41.xml><?xml version="1.0" encoding="utf-8"?>
<Gemini xmlns="http://gemini/pivotcustomization/TableXML_Indian_Corporate_Workforce_Dataset__2">
  <CustomContent><![CDATA[<TableWidgetGridSerialization xmlns:xsd="http://www.w3.org/2001/XMLSchema" xmlns:xsi="http://www.w3.org/2001/XMLSchema-instance"><ColumnSuggestedType /><ColumnFormat /><ColumnAccuracy /><ColumnCurrencySymbol /><ColumnPositivePattern /><ColumnNegativePattern /><ColumnWidths><item><key><string>Employee ID</string></key><value><int>119</int></value></item><item><key><string>Full Name</string></key><value><int>102</int></value></item><item><key><string>Gender</string></key><value><int>84</int></value></item><item><key><string>Department</string></key><value><int>112</int></value></item><item><key><string>Location</string></key><value><int>92</int></value></item><item><key><string>Monthly Base Salary (INR)</string></key><value><int>209</int></value></item><item><key><string>Corporate Benefit Plan</string></key><value><int>184</int></value></item><item><key><string>Insurance tier</string></key><value><int>123</int></value></item><item><key><string>Monthly Premiums</string></key><value><int>159</int></value></item><item><key><string>Salary Bracket</string></key><value><int>131</int></value></item></ColumnWidths><ColumnDisplayIndex><item><key><string>Employee ID</string></key><value><int>0</int></value></item><item><key><string>Full Name</string></key><value><int>1</int></value></item><item><key><string>Gender</string></key><value><int>2</int></value></item><item><key><string>Department</string></key><value><int>3</int></value></item><item><key><string>Location</string></key><value><int>4</int></value></item><item><key><string>Monthly Base Salary (INR)</string></key><value><int>5</int></value></item><item><key><string>Corporate Benefit Plan</string></key><value><int>6</int></value></item><item><key><string>Insurance tier</string></key><value><int>7</int></value></item><item><key><string>Monthly Premiums</string></key><value><int>8</int></value></item><item><key><string>Salary Bracket</string></key><value><int>9</int></value></item></ColumnDisplayIndex><ColumnFrozen /><ColumnChecked /><ColumnFilter /><SelectionFilter /><FilterParameters /><IsSortDescending>false</IsSortDescending></TableWidgetGridSerialization>]]></CustomContent>
</Gemini>
</file>

<file path=customXml/item42.xml><?xml version="1.0" encoding="utf-8"?>
<Gemini xmlns="http://gemini/pivotcustomization/ba73c4bf-f984-485a-8622-ba686f49232a">
  <CustomContent><![CDATA[<?xml version="1.0" encoding="utf-16"?><Settings><CalculatedFields><item><MeasureName>Gender Pay Gap</MeasureName><DisplayName>Gender Pay Gap</DisplayName><Visible>False</Visible></item><item><MeasureName>Salary Spread within Tier</MeasureName><DisplayName>Salary Spread within Tier</DisplayName><Visible>False</Visible></item><item><MeasureName>Headcount</MeasureName><DisplayName>Headcount</DisplayName><Visible>False</Visible></item><item><MeasureName>Total Monthly Premium Cost</MeasureName><DisplayName>Total Monthly Premium Cost</DisplayName><Visible>False</Visible></item><item><MeasureName>Average Salary</MeasureName><DisplayName>Average Salary</DisplayName><Visible>False</Visible></item><item><MeasureName>High-Cost Employee %</MeasureName><DisplayName>High-Cost Employee %</DisplayName><Visible>False</Visible></item></CalculatedFields><SAHostHash>0</SAHostHash><GeminiFieldListVisible>True</GeminiFieldListVisible></Settings>]]></CustomContent>
</Gemini>
</file>

<file path=customXml/item43.xml><?xml version="1.0" encoding="utf-8"?>
<Gemini xmlns="http://gemini/pivotcustomization/TableOrder">
  <CustomContent><![CDATA[Indian_Employee_Data_3918fd26-4389-4336-bf2f-aff2a97afc30,Query_Audit_Exceptions_02543f7d-340f-41dd-a8bf-37506debecb1,Query_Audit_Exceptions 1_cb54789d-41ff-4e81-888b-b48d2eaa0960]]></CustomContent>
</Gemini>
</file>

<file path=customXml/item44.xml><?xml version="1.0" encoding="utf-8"?>
<Gemini xmlns="http://gemini/pivotcustomization/f09ffd11-06c2-40d2-aee1-82ce993be3b2">
  <CustomContent><![CDATA[<?xml version="1.0" encoding="utf-16"?><Settings><CalculatedFields><item><MeasureName>Gender Pay Gap</MeasureName><DisplayName>Gender Pay Gap</DisplayName><Visible>False</Visible></item><item><MeasureName>Salary Spread within Tier</MeasureName><DisplayName>Salary Spread within Tier</DisplayName><Visible>False</Visible></item></CalculatedFields><SAHostHash>0</SAHostHash><GeminiFieldListVisible>True</GeminiFieldListVisible></Settings>]]></CustomContent>
</Gemini>
</file>

<file path=customXml/item45.xml><?xml version="1.0" encoding="UTF-8"?>
<Gemini xmlns="http://gemini/pivotcustomization/TableXML_Indian_Corporate_Workforce_Dataset  3_6e343527-973f-4441-bfc8-4e2b98543b0d"><CustomContent xmlns="http://gemini/pivotcustomization/TableXML_Indian_Corporate_Workforce_Dataset 3_6e343527-973f-4441-bfc8-4e2b98543b0d"><![CDATA[<TableWidgetGridSerialization xmlns:xsd="http://www.w3.org/2001/XMLSchema" xmlns:xsi="http://www.w3.org/2001/XMLSchema-instance"><ColumnSuggestedType /><ColumnFormat /><ColumnAccuracy /><ColumnCurrencySymbol /><ColumnPositivePattern /><ColumnNegativePattern /><ColumnWidths><item><key><string>Employee ID</string></key><value><int>119</int></value></item><item><key><string>Full Name</string></key><value><int>102</int></value></item><item><key><string>Department</string></key><value><int>112</int></value></item><item><key><string>Location</string></key><value><int>92</int></value></item><item><key><string>Monthly Base Salary (INR)</string></key><value><int>209</int></value></item><item><key><string>Corporate Benefit Plan</string></key><value><int>184</int></value></item><item><key><string>Insurance tier</string></key><value><int>123</int></value></item><item><key><string>Monthly Premiums</string></key><value><int>159</int></value></item><item><key><string>Salary Bracket</string></key><value><int>131</int></value></item></ColumnWidths><ColumnDisplayIndex><item><key><string>Employee ID</string></key><value><int>0</int></value></item><item><key><string>Full Name</string></key><value><int>1</int></value></item><item><key><string>Department</string></key><value><int>2</int></value></item><item><key><string>Location</string></key><value><int>3</int></value></item><item><key><string>Monthly Base Salary (INR)</string></key><value><int>4</int></value></item><item><key><string>Corporate Benefit Plan</string></key><value><int>5</int></value></item><item><key><string>Insurance tier</string></key><value><int>6</int></value></item><item><key><string>Monthly Premiums</string></key><value><int>7</int></value></item><item><key><string>Salary Bracket</string></key><value><int>8</int></value></item></ColumnDisplayIndex><ColumnFrozen /><ColumnChecked /><ColumnFilter /><SelectionFilter /><FilterParameters /><IsSortDescending>false</IsSortDescending></TableWidgetGridSerialization>]]></CustomContent></Gemini>
</file>

<file path=customXml/item46.xml><?xml version="1.0" encoding="utf-8"?>
<Gemini xmlns="http://gemini/pivotcustomization/528e3f9f-6584-4d94-8a26-5112d0cdd348">
  <CustomContent><![CDATA[<?xml version="1.0" encoding="utf-16"?><Settings><CalculatedFields><item><MeasureName>Gender Pay Gap</MeasureName><DisplayName>Gender Pay Gap</DisplayName><Visible>False</Visible></item><item><MeasureName>Salary Spread within Tier</MeasureName><DisplayName>Salary Spread within Tier</DisplayName><Visible>False</Visible></item><item><MeasureName>Headcount</MeasureName><DisplayName>Headcount</DisplayName><Visible>False</Visible></item><item><MeasureName>Total Monthly Premium Cost</MeasureName><DisplayName>Total Monthly Premium Cost</DisplayName><Visible>False</Visible></item><item><MeasureName>Average Salary</MeasureName><DisplayName>Average Salary</DisplayName><Visible>False</Visible></item><item><MeasureName>High-Cost Employee %</MeasureName><DisplayName>High-Cost Employee %</DisplayName><Visible>False</Visible></item></CalculatedFields><SAHostHash>0</SAHostHash><GeminiFieldListVisible>True</GeminiFieldListVisible></Settings>]]></CustomContent>
</Gemini>
</file>

<file path=customXml/item47.xml><?xml version="1.0" encoding="utf-8"?>
<Gemini xmlns="http://gemini/pivotcustomization/RelationshipAutoDetectionEnabled">
  <CustomContent><![CDATA[True]]></CustomContent>
</Gemini>
</file>

<file path=customXml/item48.xml><?xml version="1.0" encoding="UTF-8"?>
<Gemini xmlns="http://gemini/pivotcustomization/TableXML_Indian_Corporate_Workforce_Dataset  3_6e343527-973f-4441-bfc8-4e2b98543b0d"><CustomContent xmlns="http://gemini/pivotcustomization/TableXML_Indian_Corporate_Workforce_Dataset 3_6e343527-973f-4441-bfc8-4e2b98543b0d"><![CDATA[<TableWidgetGridSerialization xmlns:xsd="http://www.w3.org/2001/XMLSchema" xmlns:xsi="http://www.w3.org/2001/XMLSchema-instance"><ColumnSuggestedType /><ColumnFormat /><ColumnAccuracy /><ColumnCurrencySymbol /><ColumnPositivePattern /><ColumnNegativePattern /><ColumnWidths><item><key><string>Employee ID</string></key><value><int>119</int></value></item><item><key><string>Full Name</string></key><value><int>102</int></value></item><item><key><string>Department</string></key><value><int>112</int></value></item><item><key><string>Location</string></key><value><int>92</int></value></item><item><key><string>Monthly Base Salary (INR)</string></key><value><int>209</int></value></item><item><key><string>Corporate Benefit Plan</string></key><value><int>184</int></value></item><item><key><string>Insurance tier</string></key><value><int>123</int></value></item><item><key><string>Monthly Premiums</string></key><value><int>159</int></value></item><item><key><string>Salary Bracket</string></key><value><int>131</int></value></item></ColumnWidths><ColumnDisplayIndex><item><key><string>Employee ID</string></key><value><int>0</int></value></item><item><key><string>Full Name</string></key><value><int>1</int></value></item><item><key><string>Department</string></key><value><int>2</int></value></item><item><key><string>Location</string></key><value><int>3</int></value></item><item><key><string>Monthly Base Salary (INR)</string></key><value><int>4</int></value></item><item><key><string>Corporate Benefit Plan</string></key><value><int>5</int></value></item><item><key><string>Insurance tier</string></key><value><int>6</int></value></item><item><key><string>Monthly Premiums</string></key><value><int>7</int></value></item><item><key><string>Salary Bracket</string></key><value><int>8</int></value></item></ColumnDisplayIndex><ColumnFrozen /><ColumnChecked /><ColumnFilter /><SelectionFilter /><FilterParameters /><IsSortDescending>false</IsSortDescending></TableWidgetGridSerialization>]]></CustomContent></Gemini>
</file>

<file path=customXml/item49.xml><?xml version="1.0" encoding="utf-8"?>
<Gemini xmlns="http://gemini/pivotcustomization/2ba1ae04-5159-41bc-96b8-a27a9934aaf4">
  <CustomContent><![CDATA[<?xml version="1.0" encoding="utf-16"?><Settings><CalculatedFields><item><MeasureName>Gender Pay Gap</MeasureName><DisplayName>Gender Pay Gap</DisplayName><Visible>False</Visible></item><item><MeasureName>Salary Spread within Tier</MeasureName><DisplayName>Salary Spread within Tier</DisplayName><Visible>False</Visible></item></CalculatedFields><SAHostHash>0</SAHostHash><GeminiFieldListVisible>True</GeminiFieldListVisible></Settings>]]></CustomContent>
</Gemini>
</file>

<file path=customXml/item50.xml><?xml version="1.0" encoding="utf-8"?>
<Gemini xmlns="http://gemini/pivotcustomization/1e35109a-7572-480f-baaf-80a800b74a18">
  <CustomContent><![CDATA[<?xml version="1.0" encoding="utf-16"?><Settings><CalculatedFields><item><MeasureName>Gender Pay Gap</MeasureName><DisplayName>Gender Pay Gap</DisplayName><Visible>False</Visible></item><item><MeasureName>Salary Spread within Tier</MeasureName><DisplayName>Salary Spread within Tier</DisplayName><Visible>False</Visible></item><item><MeasureName>Headcount</MeasureName><DisplayName>Headcount</DisplayName><Visible>False</Visible></item><item><MeasureName>Total Monthly Premium Cost</MeasureName><DisplayName>Total Monthly Premium Cost</DisplayName><Visible>False</Visible></item><item><MeasureName>Average Salary</MeasureName><DisplayName>Average Salary</DisplayName><Visible>False</Visible></item><item><MeasureName>High-Cost Employee %</MeasureName><DisplayName>High-Cost Employee %</DisplayName><Visible>False</Visible></item></CalculatedFields><SAHostHash>0</SAHostHash><GeminiFieldListVisible>True</GeminiFieldListVisible></Settings>]]></CustomContent>
</Gemini>
</file>

<file path=customXml/item51.xml><?xml version="1.0" encoding="utf-8"?>
<Gemini xmlns="http://gemini/pivotcustomization/11821c9f-de00-44c0-b844-c689420d9247">
  <CustomContent><![CDATA[<?xml version="1.0" encoding="utf-16"?><Settings><CalculatedFields><item><MeasureName>Gender Pay Gap</MeasureName><DisplayName>Gender Pay Gap</DisplayName><Visible>False</Visible></item><item><MeasureName>Salary Spread within Tier</MeasureName><DisplayName>Salary Spread within Tier</DisplayName><Visible>False</Visible></item><item><MeasureName>Headcount</MeasureName><DisplayName>Headcount</DisplayName><Visible>False</Visible></item><item><MeasureName>Total Monthly Premium Cost</MeasureName><DisplayName>Total Monthly Premium Cost</DisplayName><Visible>False</Visible></item><item><MeasureName>Average Salary</MeasureName><DisplayName>Average Salary</DisplayName><Visible>False</Visible></item><item><MeasureName>High-Cost Employee %</MeasureName><DisplayName>High-Cost Employee %</DisplayName><Visible>False</Visible></item></CalculatedFields><SAHostHash>0</SAHostHash><GeminiFieldListVisible>True</GeminiFieldListVisible></Settings>]]></CustomContent>
</Gemini>
</file>

<file path=customXml/item52.xml><?xml version="1.0" encoding="utf-8"?>
<Gemini xmlns="http://gemini/pivotcustomization/381c7355-507c-4e26-8ee3-0347d9794c23">
  <CustomContent><![CDATA[<?xml version="1.0" encoding="utf-16"?><Settings><CalculatedFields><item><MeasureName>Gender Pay Gap</MeasureName><DisplayName>Gender Pay Gap</DisplayName><Visible>False</Visible></item><item><MeasureName>Salary Spread within Tier</MeasureName><DisplayName>Salary Spread within Tier</DisplayName><Visible>False</Visible></item><item><MeasureName>Headcount</MeasureName><DisplayName>Headcount</DisplayName><Visible>False</Visible></item><item><MeasureName>Total Monthly Premium Cost</MeasureName><DisplayName>Total Monthly Premium Cost</DisplayName><Visible>False</Visible></item><item><MeasureName>Average Salary</MeasureName><DisplayName>Average Salary</DisplayName><Visible>False</Visible></item><item><MeasureName>High-Cost Employee %</MeasureName><DisplayName>High-Cost Employee %</DisplayName><Visible>False</Visible></item></CalculatedFields><SAHostHash>0</SAHostHash><GeminiFieldListVisible>True</GeminiFieldListVisible></Settings>]]></CustomContent>
</Gemini>
</file>

<file path=customXml/item53.xml><?xml version="1.0" encoding="utf-8"?>
<Gemini xmlns="http://gemini/pivotcustomization/e357c191-41a1-4e07-815f-08ad22c46e26">
  <CustomContent><![CDATA[<?xml version="1.0" encoding="utf-16"?><Settings><CalculatedFields><item><MeasureName>Gender Pay Gap</MeasureName><DisplayName>Gender Pay Gap</DisplayName><Visible>False</Visible></item><item><MeasureName>Salary Spread within Tier</MeasureName><DisplayName>Salary Spread within Tier</DisplayName><Visible>False</Visible></item></CalculatedFields><SAHostHash>0</SAHostHash><GeminiFieldListVisible>True</GeminiFieldListVisible></Settings>]]></CustomContent>
</Gemini>
</file>

<file path=customXml/item54.xml><?xml version="1.0" encoding="utf-8"?>
<Gemini xmlns="http://gemini/pivotcustomization/da6f734b-6e0b-4c0c-a01b-83d912530aa5">
  <CustomContent><![CDATA[<?xml version="1.0" encoding="utf-16"?><Settings><CalculatedFields><item><MeasureName>Gender Pay Gap</MeasureName><DisplayName>Gender Pay Gap</DisplayName><Visible>False</Visible></item><item><MeasureName>Salary Spread within Tier</MeasureName><DisplayName>Salary Spread within Tier</DisplayName><Visible>False</Visible></item></CalculatedFields><SAHostHash>0</SAHostHash><GeminiFieldListVisible>True</GeminiFieldListVisible></Settings>]]></CustomContent>
</Gemini>
</file>

<file path=customXml/item55.xml><?xml version="1.0" encoding="UTF-8"?>
<Gemini xmlns="http://gemini/pivotcustomization/TableXML_Indian_Corporate_Workforce_Dataset  2_8da38fbb-4e23-45fa-9aac-5d92215ade1d"><CustomContent xmlns="http://gemini/pivotcustomization/TableXML_Indian_Corporate_Workforce_Dataset 2_8da38fbb-4e23-45fa-9aac-5d92215ade1d"><![CDATA[<TableWidgetGridSerialization xmlns:xsd="http://www.w3.org/2001/XMLSchema" xmlns:xsi="http://www.w3.org/2001/XMLSchema-instance"><ColumnSuggestedType /><ColumnFormat /><ColumnAccuracy /><ColumnCurrencySymbol /><ColumnPositivePattern /><ColumnNegativePattern /><ColumnWidths><item><key><string>Employee ID</string></key><value><int>119</int></value></item><item><key><string>Full Name</string></key><value><int>102</int></value></item><item><key><string>Gender</string></key><value><int>84</int></value></item><item><key><string>Department</string></key><value><int>112</int></value></item><item><key><string>Location</string></key><value><int>92</int></value></item><item><key><string>Monthly Base Salary (INR)</string></key><value><int>209</int></value></item><item><key><string>Corporate Benefit Plan</string></key><value><int>184</int></value></item><item><key><string>Insurance tier</string></key><value><int>123</int></value></item><item><key><string>Monthly Premiums</string></key><value><int>159</int></value></item><item><key><string>Salary Bracket</string></key><value><int>131</int></value></item></ColumnWidths><ColumnDisplayIndex><item><key><string>Employee ID</string></key><value><int>0</int></value></item><item><key><string>Full Name</string></key><value><int>1</int></value></item><item><key><string>Gender</string></key><value><int>2</int></value></item><item><key><string>Department</string></key><value><int>3</int></value></item><item><key><string>Location</string></key><value><int>4</int></value></item><item><key><string>Monthly Base Salary (INR)</string></key><value><int>5</int></value></item><item><key><string>Corporate Benefit Plan</string></key><value><int>6</int></value></item><item><key><string>Insurance tier</string></key><value><int>7</int></value></item><item><key><string>Monthly Premiums</string></key><value><int>8</int></value></item><item><key><string>Salary Bracket</string></key><value><int>9</int></value></item></ColumnDisplayIndex><ColumnFrozen /><ColumnChecked /><ColumnFilter /><SelectionFilter /><FilterParameters /><IsSortDescending>false</IsSortDescending></TableWidgetGridSerialization>]]></CustomContent></Gemini>
</file>

<file path=customXml/item56.xml><?xml version="1.0" encoding="utf-8"?>
<Gemini xmlns="http://gemini/pivotcustomization/838a08ec-d8c2-43aa-b2db-fc872dc71587">
  <CustomContent><![CDATA[<?xml version="1.0" encoding="utf-16"?><Settings><CalculatedFields><item><MeasureName>Gender Pay Gap</MeasureName><DisplayName>Gender Pay Gap</DisplayName><Visible>False</Visible></item><item><MeasureName>Salary Spread within Tier</MeasureName><DisplayName>Salary Spread within Tier</DisplayName><Visible>False</Visible></item><item><MeasureName>Headcount</MeasureName><DisplayName>Headcount</DisplayName><Visible>False</Visible></item><item><MeasureName>Total Monthly Premium Cost</MeasureName><DisplayName>Total Monthly Premium Cost</DisplayName><Visible>False</Visible></item><item><MeasureName>Average Salary</MeasureName><DisplayName>Average Salary</DisplayName><Visible>False</Visible></item><item><MeasureName>High-Cost Employee %</MeasureName><DisplayName>High-Cost Employee %</DisplayName><Visible>False</Visible></item></CalculatedFields><SAHostHash>0</SAHostHash><GeminiFieldListVisible>True</GeminiFieldListVisible></Settings>]]></CustomContent>
</Gemini>
</file>

<file path=customXml/item57.xml><?xml version="1.0" encoding="utf-8"?>
<Gemini xmlns="http://gemini/pivotcustomization/488fd1c0-a6ba-49a6-a89a-c39d41ff88b6">
  <CustomContent><![CDATA[<?xml version="1.0" encoding="utf-16"?><Settings><CalculatedFields><item><MeasureName>Gender Pay Gap</MeasureName><DisplayName>Gender Pay Gap</DisplayName><Visible>False</Visible></item><item><MeasureName>Salary Spread within Tier</MeasureName><DisplayName>Salary Spread within Tier</DisplayName><Visible>False</Visible></item><item><MeasureName>Headcount</MeasureName><DisplayName>Headcount</DisplayName><Visible>False</Visible></item><item><MeasureName>Total Monthly Premium Cost</MeasureName><DisplayName>Total Monthly Premium Cost</DisplayName><Visible>False</Visible></item><item><MeasureName>Average Salary</MeasureName><DisplayName>Average Salary</DisplayName><Visible>False</Visible></item><item><MeasureName>High-Cost Employee %</MeasureName><DisplayName>High-Cost Employee %</DisplayName><Visible>False</Visible></item></CalculatedFields><SAHostHash>0</SAHostHash><GeminiFieldListVisible>True</GeminiFieldListVisible></Settings>]]></CustomContent>
</Gemini>
</file>

<file path=customXml/item58.xml><?xml version="1.0" encoding="utf-8"?>
<Gemini xmlns="http://gemini/pivotcustomization/Diagrams">
  <CustomContent><![CDATA[<ArrayOfDiagramManager.SerializableDiagram xmlns="http://schemas.datacontract.org/2004/07/Microsoft.AnalysisServices.Common" xmlns:i="http://www.w3.org/2001/XMLSchema-instance"><DiagramManager.SerializableDiagram><Adapter i:type="MeasureDiagramSandboxAdapter"><TableName>Indian_Corporate_Workforce_Dataset  3</TableName></Adapter><DiagramType>MeasureDiagram</DiagramType><DisplayContext i:type="MeasureGridDisplayContext"><ColumnTagKey><Key>Static Tags\Column</Key></ColumnTagKey><ErrorsTagGroupKey><Key>TagGroups\Errors</Key></ErrorsTagGroupKey><FormulaTagKey><Key>Static Tags\Formula</Key></FormulaTagKey><HiddenTagKey><Key>Static Tags\Hidden</Key></HiddenTagKey><HostType>ModelerWindow</HostType><ImplicitMeasureSourceColumnLinkTagKey><Key>Static Tags\Implicit Measure and Source Column Link</Key></ImplicitMeasureSourceColumnLinkTagKey><ImplicitMeasureTagKey><Key>Static Tags\Is implicit measure</Key></ImplicitMeasureTagKey><KpiTagKey><Key>Static Tags\KPI</Key></KpiTagKey><MeasureTagKey><Key>Static Tags\Measure</Key></MeasureTagKey><ValueTagKey><Key>Static Tags\Value</Key></ValueTagKey></DisplayContext><DisplayType>MeasureGrid</DisplayType><Key i:type="SandboxEditorMeasureGridKey"><TableName>Indian_Corporate_Workforce_Dataset  3</TableName></Key><Maintainer i:type="MeasureDiagram.MeasureDiagramMaintainer"><AllKeys><DiagramObjectKey><Key>Measure Diagram</Key></DiagramObjectKey><DiagramObjectKey><Key>Actions\Delete</Key></DiagramObjectKey><DiagramObjectKey><Key>Actions\Convert to KPI</Key></DiagramObjectKey><DiagramObjectKey><Key>Actions\Edit KPI</Key></DiagramObjectKey><DiagramObjectKey><Key>Actions\Remove KPI</Key></DiagramObjectKey><DiagramObjectKey><Key>Actions\Copy Measure</Key></DiagramObjectKey><DiagramObjectKey><Key>Actions\AutoMeasure_Sum</Key></DiagramObjectKey><DiagramObjectKey><Key>Actions\AutoMeasure_Count</Key></DiagramObjectKey><DiagramObjectKey><Key>Actions\AutoMeasure_Average</Key></DiagramObjectKey><DiagramObjectKey><Key>Actions\AutoMeasure_Max</Key></DiagramObjectKey><DiagramObjectKey><Key>Actions\AutoMeasure_Min</Key></DiagramObjectKey><DiagramObjectKey><Key>Actions\AutoMeasure_StdDev</Key></DiagramObjectKey><DiagramObjectKey><Key>Actions\AutoMeasure_StdDevp</Key></DiagramObjectKey><DiagramObjectKey><Key>Actions\AutoMeasure_Var</Key></DiagramObjectKey><DiagramObjectKey><Key>Actions\AutoMeasure_Varp</Key></DiagramObjectKey><DiagramObjectKey><Key>Actions\AutoMeasure_DistinctCount</Key></DiagramObjectKey><DiagramObjectKey><Key>Actions\Edit</Key></DiagramObjectKey><DiagramObjectKey><Key>Actions\Create</Key></DiagramObjectKey><DiagramObjectKey><Key>Actions\Format</Key></DiagramObjectKey><DiagramObjectKey><Key>Actions\Edit Description</Key></DiagramObjectKey><DiagramObjectKey><Key>Actions\Hide Measures</Key></DiagramObjectKey><DiagramObjectKey><Key>Actions\Unhide Measures</Key></DiagramObjectKey><DiagramObjectKey><Key>TagGroups\Types</Key></DiagramObjectKey><DiagramObjectKey><Key>TagGroups\Link Types</Key></DiagramObjectKey><DiagramObjectKey><Key>TagGroups\KPI</Key></DiagramObjectKey><DiagramObjectKey><Key>TagGroups\Errors</Key></DiagramObjectKey><DiagramObjectKey><Key>TagGroups\Values and Formulas</Key></DiagramObjectKey><DiagramObjectKey><Key>TagGroups\State</Key></DiagramObjectKey><DiagramObjectKey><Key>Static Tags\Column</Key></DiagramObjectKey><DiagramObjectKey><Key>Static Tags\Measure</Key></DiagramObjectKey><DiagramObjectKey><Key>Static Tags\Implicit Measure and Source Column Link</Key></DiagramObjectKey><DiagramObjectKey><Key>Static Tags\KPI</Key></DiagramObjectKey><DiagramObjectKey><Key>Static Tags\Semantic Error</Key></DiagramObjectKey><DiagramObjectKey><Key>Static Tags\Calculation Error</Key></DiagramObjectKey><DiagramObjectKey><Key>Static Tags\Value</Key></DiagramObjectKey><DiagramObjectKey><Key>Static Tags\Formula</Key></DiagramObjectKey><DiagramObjectKey><Key>Static Tags\Evaluation in progress</Key></DiagramObjectKey><DiagramObjectKey><Key>Static Tags\Is implicit measure</Key></DiagramObjectKey><DiagramObjectKey><Key>Static Tags\Hidden</Key></DiagramObjectKey><DiagramObjectKey><Key>Static Tags\Not in perspective</Key></DiagramObjectKey><DiagramObjectKey><Key>Static Tags\Is readonly</Key></DiagramObjectKey><DiagramObjectKey><Key>Measures\Sum of Monthly Base Salary (INR)</Key></DiagramObjectKey><DiagramObjectKey><Key>Measures\Sum of Monthly Base Salary (INR)\TagInfo\Formula</Key></DiagramObjectKey><DiagramObjectKey><Key>Measures\Sum of Monthly Base Salary (INR)\TagInfo\Value</Key></DiagramObjectKey><DiagramObjectKey><Key>Measures\Average of Monthly Base Salary (INR)</Key></DiagramObjectKey><DiagramObjectKey><Key>Measures\Average of Monthly Base Salary (INR)\TagInfo\Formula</Key></DiagramObjectKey><DiagramObjectKey><Key>Measures\Average of Monthly Base Salary (INR)\TagInfo\Value</Key></DiagramObjectKey><DiagramObjectKey><Key>Measures\Count of Monthly Premiums</Key></DiagramObjectKey><DiagramObjectKey><Key>Measures\Count of Monthly Premiums\TagInfo\Formula</Key></DiagramObjectKey><DiagramObjectKey><Key>Measures\Count of Monthly Premiums\TagInfo\Value</Key></DiagramObjectKey><DiagramObjectKey><Key>Measures\Count of Location</Key></DiagramObjectKey><DiagramObjectKey><Key>Measures\Count of Location\TagInfo\Formula</Key></DiagramObjectKey><DiagramObjectKey><Key>Measures\Count of Location\TagInfo\Value</Key></DiagramObjectKey><DiagramObjectKey><Key>Columns\Employee ID</Key></DiagramObjectKey><DiagramObjectKey><Key>Columns\Full Name</Key></DiagramObjectKey><DiagramObjectKey><Key>Columns\Department</Key></DiagramObjectKey><DiagramObjectKey><Key>Columns\Location</Key></DiagramObjectKey><DiagramObjectKey><Key>Columns\Monthly Base Salary (INR)</Key></DiagramObjectKey><DiagramObjectKey><Key>Columns\Corporate Benefit Plan</Key></DiagramObjectKey><DiagramObjectKey><Key>Columns\Insurance tier</Key></DiagramObjectKey><DiagramObjectKey><Key>Columns\Monthly Premiums</Key></DiagramObjectKey><DiagramObjectKey><Key>Columns\Salary Bracket</Key></DiagramObjectKey><DiagramObjectKey><Key>Links\&lt;Columns\Sum of Monthly Base Salary (INR)&gt;-&lt;Measures\Monthly Base Salary (INR)&gt;</Key></DiagramObjectKey><DiagramObjectKey><Key>Links\&lt;Columns\Sum of Monthly Base Salary (INR)&gt;-&lt;Measures\Monthly Base Salary (INR)&gt;\COLUMN</Key></DiagramObjectKey><DiagramObjectKey><Key>Links\&lt;Columns\Sum of Monthly Base Salary (INR)&gt;-&lt;Measures\Monthly Base Salary (INR)&gt;\MEASURE</Key></DiagramObjectKey><DiagramObjectKey><Key>Links\&lt;Columns\Average of Monthly Base Salary (INR)&gt;-&lt;Measures\Monthly Base Salary (INR)&gt;</Key></DiagramObjectKey><DiagramObjectKey><Key>Links\&lt;Columns\Average of Monthly Base Salary (INR)&gt;-&lt;Measures\Monthly Base Salary (INR)&gt;\COLUMN</Key></DiagramObjectKey><DiagramObjectKey><Key>Links\&lt;Columns\Average of Monthly Base Salary (INR)&gt;-&lt;Measures\Monthly Base Salary (INR)&gt;\MEASURE</Key></DiagramObjectKey><DiagramObjectKey><Key>Links\&lt;Columns\Count of Monthly Premiums&gt;-&lt;Measures\Monthly Premiums&gt;</Key></DiagramObjectKey><DiagramObjectKey><Key>Links\&lt;Columns\Count of Monthly Premiums&gt;-&lt;Measures\Monthly Premiums&gt;\COLUMN</Key></DiagramObjectKey><DiagramObjectKey><Key>Links\&lt;Columns\Count of Monthly Premiums&gt;-&lt;Measures\Monthly Premiums&gt;\MEASURE</Key></DiagramObjectKey><DiagramObjectKey><Key>Links\&lt;Columns\Count of Location&gt;-&lt;Measures\Location&gt;</Key></DiagramObjectKey><DiagramObjectKey><Key>Links\&lt;Columns\Count of Location&gt;-&lt;Measures\Location&gt;\COLUMN</Key></DiagramObjectKey><DiagramObjectKey><Key>Links\&lt;Columns\Count of Location&gt;-&lt;Measures\Location&gt;\MEASURE</Key></DiagramObjectKey></AllKeys><SelectedKeys/></Maintainer><ViewStateFactoryType>Microsoft.AnalysisServices.Common.MeasureGridViewStateFactory</ViewStateFactoryType><ViewStates xmlns:a="http://schemas.microsoft.com/2003/10/Serialization/Arrays"><a:KeyValueOfDiagramObjectKeyanyTypezbwNTnLX><a:Key><Key>Measure Diagram</Key></a:Key><a:Value i:type="MeasureGridDiagramViewState"><FocusColumn>4</FocusColumn><FocusRow>1</FocusRow><SelectionEndColumn>4</SelectionEndColumn><SelectionEndRow>1</SelectionEndRow><Texts/></a:Value></a:KeyValueOfDiagramObjectKeyanyTypezbwNTnLX><a:KeyValueOfDiagramObjectKeyanyTypezbwNTnLX><a:Key><Key>Actions\Delete</Key></a:Key><a:Value i:type="MeasureGridViewStateIDiagramAction"/></a:KeyValueOfDiagramObjectKeyanyTypezbwNTnLX><a:KeyValueOfDiagramObjectKeyanyTypezbwNTnLX><a:Key><Key>Actions\Convert to KPI</Key></a:Key><a:Value i:type="MeasureGridViewStateIDiagramAction"/></a:KeyValueOfDiagramObjectKeyanyTypezbwNTnLX><a:KeyValueOfDiagramObjectKeyanyTypezbwNTnLX><a:Key><Key>Actions\Edit KPI</Key></a:Key><a:Value i:type="MeasureGridViewStateIDiagramAction"/></a:KeyValueOfDiagramObjectKeyanyTypezbwNTnLX><a:KeyValueOfDiagramObjectKeyanyTypezbwNTnLX><a:Key><Key>Actions\Remove KPI</Key></a:Key><a:Value i:type="MeasureGridViewStateIDiagramAction"/></a:KeyValueOfDiagramObjectKeyanyTypezbwNTnLX><a:KeyValueOfDiagramObjectKeyanyTypezbwNTnLX><a:Key><Key>Actions\Copy Measure</Key></a:Key><a:Value i:type="MeasureGridViewStateIDiagramAction"/></a:KeyValueOfDiagramObjectKeyanyTypezbwNTnLX><a:KeyValueOfDiagramObjectKeyanyTypezbwNTnLX><a:Key><Key>Actions\AutoMeasure_Sum</Key></a:Key><a:Value i:type="MeasureGridViewStateIDiagramAction"/></a:KeyValueOfDiagramObjectKeyanyTypezbwNTnLX><a:KeyValueOfDiagramObjectKeyanyTypezbwNTnLX><a:Key><Key>Actions\AutoMeasure_Count</Key></a:Key><a:Value i:type="MeasureGridViewStateIDiagramAction"/></a:KeyValueOfDiagramObjectKeyanyTypezbwNTnLX><a:KeyValueOfDiagramObjectKeyanyTypezbwNTnLX><a:Key><Key>Actions\AutoMeasure_Average</Key></a:Key><a:Value i:type="MeasureGridViewStateIDiagramAction"/></a:KeyValueOfDiagramObjectKeyanyTypezbwNTnLX><a:KeyValueOfDiagramObjectKeyanyTypezbwNTnLX><a:Key><Key>Actions\AutoMeasure_Max</Key></a:Key><a:Value i:type="MeasureGridViewStateIDiagramAction"/></a:KeyValueOfDiagramObjectKeyanyTypezbwNTnLX><a:KeyValueOfDiagramObjectKeyanyTypezbwNTnLX><a:Key><Key>Actions\AutoMeasure_Min</Key></a:Key><a:Value i:type="MeasureGridViewStateIDiagramAction"/></a:KeyValueOfDiagramObjectKeyanyTypezbwNTnLX><a:KeyValueOfDiagramObjectKeyanyTypezbwNTnLX><a:Key><Key>Actions\AutoMeasure_StdDev</Key></a:Key><a:Value i:type="MeasureGridViewStateIDiagramAction"/></a:KeyValueOfDiagramObjectKeyanyTypezbwNTnLX><a:KeyValueOfDiagramObjectKeyanyTypezbwNTnLX><a:Key><Key>Actions\AutoMeasure_StdDevp</Key></a:Key><a:Value i:type="MeasureGridViewStateIDiagramAction"/></a:KeyValueOfDiagramObjectKeyanyTypezbwNTnLX><a:KeyValueOfDiagramObjectKeyanyTypezbwNTnLX><a:Key><Key>Actions\AutoMeasure_Var</Key></a:Key><a:Value i:type="MeasureGridViewStateIDiagramAction"/></a:KeyValueOfDiagramObjectKeyanyTypezbwNTnLX><a:KeyValueOfDiagramObjectKeyanyTypezbwNTnLX><a:Key><Key>Actions\AutoMeasure_Varp</Key></a:Key><a:Value i:type="MeasureGridViewStateIDiagramAction"/></a:KeyValueOfDiagramObjectKeyanyTypezbwNTnLX><a:KeyValueOfDiagramObjectKeyanyTypezbwNTnLX><a:Key><Key>Actions\AutoMeasure_DistinctCount</Key></a:Key><a:Value i:type="MeasureGridViewStateIDiagramAction"/></a:KeyValueOfDiagramObjectKeyanyTypezbwNTnLX><a:KeyValueOfDiagramObjectKeyanyTypezbwNTnLX><a:Key><Key>Actions\Edit</Key></a:Key><a:Value i:type="MeasureGridViewStateIDiagramAction"/></a:KeyValueOfDiagramObjectKeyanyTypezbwNTnLX><a:KeyValueOfDiagramObjectKeyanyTypezbwNTnLX><a:Key><Key>Actions\Create</Key></a:Key><a:Value i:type="MeasureGridViewStateIDiagramAction"/></a:KeyValueOfDiagramObjectKeyanyTypezbwNTnLX><a:KeyValueOfDiagramObjectKeyanyTypezbwNTnLX><a:Key><Key>Actions\Format</Key></a:Key><a:Value i:type="MeasureGridViewStateIDiagramAction"/></a:KeyValueOfDiagramObjectKeyanyTypezbwNTnLX><a:KeyValueOfDiagramObjectKeyanyTypezbwNTnLX><a:Key><Key>Actions\Edit Description</Key></a:Key><a:Value i:type="MeasureGridViewStateIDiagramAction"/></a:KeyValueOfDiagramObjectKeyanyTypezbwNTnLX><a:KeyValueOfDiagramObjectKeyanyTypezbwNTnLX><a:Key><Key>Actions\Hide Measures</Key></a:Key><a:Value i:type="MeasureGridViewStateIDiagramAction"/></a:KeyValueOfDiagramObjectKeyanyTypezbwNTnLX><a:KeyValueOfDiagramObjectKeyanyTypezbwNTnLX><a:Key><Key>Actions\Unhide Measures</Key></a:Key><a:Value i:type="MeasureGridViewStateIDiagramAction"/></a:KeyValueOfDiagramObjectKeyanyTypezbwNTnLX><a:KeyValueOfDiagramObjectKeyanyTypezbwNTnLX><a:Key><Key>TagGroups\Types</Key></a:Key><a:Value i:type="MeasureGridViewStateIDiagramTagGroup"/></a:KeyValueOfDiagramObjectKeyanyTypezbwNTnLX><a:KeyValueOfDiagramObjectKeyanyTypezbwNTnLX><a:Key><Key>TagGroups\Link Types</Key></a:Key><a:Value i:type="MeasureGridViewStateIDiagramTagGroup"/></a:KeyValueOfDiagramObjectKeyanyTypezbwNTnLX><a:KeyValueOfDiagramObjectKeyanyTypezbwNTnLX><a:Key><Key>TagGroups\KPI</Key></a:Key><a:Value i:type="MeasureGridViewStateIDiagramTagGroup"/></a:KeyValueOfDiagramObjectKeyanyTypezbwNTnLX><a:KeyValueOfDiagramObjectKeyanyTypezbwNTnLX><a:Key><Key>TagGroups\Errors</Key></a:Key><a:Value i:type="MeasureGridViewStateIDiagramTagGroup"/></a:KeyValueOfDiagramObjectKeyanyTypezbwNTnLX><a:KeyValueOfDiagramObjectKeyanyTypezbwNTnLX><a:Key><Key>TagGroups\Values and Formulas</Key></a:Key><a:Value i:type="MeasureGridViewStateIDiagramTagGroup"/></a:KeyValueOfDiagramObjectKeyanyTypezbwNTnLX><a:KeyValueOfDiagramObjectKeyanyTypezbwNTnLX><a:Key><Key>TagGroups\State</Key></a:Key><a:Value i:type="MeasureGridViewStateIDiagramTagGroup"/></a:KeyValueOfDiagramObjectKeyanyTypezbwNTnLX><a:KeyValueOfDiagramObjectKeyanyTypezbwNTnLX><a:Key><Key>Static Tags\Column</Key></a:Key><a:Value i:type="MeasureGridViewStateIDiagramTag"/></a:KeyValueOfDiagramObjectKeyanyTypezbwNTnLX><a:KeyValueOfDiagramObjectKeyanyTypezbwNTnLX><a:Key><Key>Static Tags\Measure</Key></a:Key><a:Value i:type="MeasureGridViewStateIDiagramTag"/></a:KeyValueOfDiagramObjectKeyanyTypezbwNTnLX><a:KeyValueOfDiagramObjectKeyanyTypezbwNTnLX><a:Key><Key>Static Tags\Implicit Measure and Source Column Link</Key></a:Key><a:Value i:type="MeasureGridViewStateIDiagramTag"/></a:KeyValueOfDiagramObjectKeyanyTypezbwNTnLX><a:KeyValueOfDiagramObjectKeyanyTypezbwNTnLX><a:Key><Key>Static Tags\KPI</Key></a:Key><a:Value i:type="MeasureGridViewStateIDiagramTag"/></a:KeyValueOfDiagramObjectKeyanyTypezbwNTnLX><a:KeyValueOfDiagramObjectKeyanyTypezbwNTnLX><a:Key><Key>Static Tags\Semantic Error</Key></a:Key><a:Value i:type="MeasureGridViewStateIDiagramTag"/></a:KeyValueOfDiagramObjectKeyanyTypezbwNTnLX><a:KeyValueOfDiagramObjectKeyanyTypezbwNTnLX><a:Key><Key>Static Tags\Calculation Error</Key></a:Key><a:Value i:type="MeasureGridViewStateIDiagramTag"/></a:KeyValueOfDiagramObjectKeyanyTypezbwNTnLX><a:KeyValueOfDiagramObjectKeyanyTypezbwNTnLX><a:Key><Key>Static Tags\Value</Key></a:Key><a:Value i:type="MeasureGridViewStateIDiagramTag"/></a:KeyValueOfDiagramObjectKeyanyTypezbwNTnLX><a:KeyValueOfDiagramObjectKeyanyTypezbwNTnLX><a:Key><Key>Static Tags\Formula</Key></a:Key><a:Value i:type="MeasureGridViewStateIDiagramTag"/></a:KeyValueOfDiagramObjectKeyanyTypezbwNTnLX><a:KeyValueOfDiagramObjectKeyanyTypezbwNTnLX><a:Key><Key>Static Tags\Evaluation in progress</Key></a:Key><a:Value i:type="MeasureGridViewStateIDiagramTag"/></a:KeyValueOfDiagramObjectKeyanyTypezbwNTnLX><a:KeyValueOfDiagramObjectKeyanyTypezbwNTnLX><a:Key><Key>Static Tags\Is implicit measure</Key></a:Key><a:Value i:type="MeasureGridViewStateIDiagramTag"/></a:KeyValueOfDiagramObjectKeyanyTypezbwNTnLX><a:KeyValueOfDiagramObjectKeyanyTypezbwNTnLX><a:Key><Key>Static Tags\Hidden</Key></a:Key><a:Value i:type="MeasureGridViewStateIDiagramTag"/></a:KeyValueOfDiagramObjectKeyanyTypezbwNTnLX><a:KeyValueOfDiagramObjectKeyanyTypezbwNTnLX><a:Key><Key>Static Tags\Not in perspective</Key></a:Key><a:Value i:type="MeasureGridViewStateIDiagramTag"/></a:KeyValueOfDiagramObjectKeyanyTypezbwNTnLX><a:KeyValueOfDiagramObjectKeyanyTypezbwNTnLX><a:Key><Key>Static Tags\Is readonly</Key></a:Key><a:Value i:type="MeasureGridViewStateIDiagramTag"/></a:KeyValueOfDiagramObjectKeyanyTypezbwNTnLX><a:KeyValueOfDiagramObjectKeyanyTypezbwNTnLX><a:Key><Key>Measures\Sum of Monthly Base Salary (INR)</Key></a:Key><a:Value i:type="MeasureGridNodeViewState"><Column>4</Column><LayedOut>true</LayedOut><WasUIInvisible>true</WasUIInvisible></a:Value></a:KeyValueOfDiagramObjectKeyanyTypezbwNTnLX><a:KeyValueOfDiagramObjectKeyanyTypezbwNTnLX><a:Key><Key>Measures\Sum of Monthly Base Salary (INR)\TagInfo\Formula</Key></a:Key><a:Value i:type="MeasureGridViewStateIDiagramTagAdditionalInfo"/></a:KeyValueOfDiagramObjectKeyanyTypezbwNTnLX><a:KeyValueOfDiagramObjectKeyanyTypezbwNTnLX><a:Key><Key>Measures\Sum of Monthly Base Salary (INR)\TagInfo\Value</Key></a:Key><a:Value i:type="MeasureGridViewStateIDiagramTagAdditionalInfo"/></a:KeyValueOfDiagramObjectKeyanyTypezbwNTnLX><a:KeyValueOfDiagramObjectKeyanyTypezbwNTnLX><a:Key><Key>Measures\Average of Monthly Base Salary (INR)</Key></a:Key><a:Value i:type="MeasureGridNodeViewState"><Column>4</Column><LayedOut>true</LayedOut><Row>1</Row><WasUIInvisible>true</WasUIInvisible></a:Value></a:KeyValueOfDiagramObjectKeyanyTypezbwNTnLX><a:KeyValueOfDiagramObjectKeyanyTypezbwNTnLX><a:Key><Key>Measures\Average of Monthly Base Salary (INR)\TagInfo\Formula</Key></a:Key><a:Value i:type="MeasureGridViewStateIDiagramTagAdditionalInfo"/></a:KeyValueOfDiagramObjectKeyanyTypezbwNTnLX><a:KeyValueOfDiagramObjectKeyanyTypezbwNTnLX><a:Key><Key>Measures\Average of Monthly Base Salary (INR)\TagInfo\Value</Key></a:Key><a:Value i:type="MeasureGridViewStateIDiagramTagAdditionalInfo"/></a:KeyValueOfDiagramObjectKeyanyTypezbwNTnLX><a:KeyValueOfDiagramObjectKeyanyTypezbwNTnLX><a:Key><Key>Measures\Count of Monthly Premiums</Key></a:Key><a:Value i:type="MeasureGridNodeViewState"><Column>7</Column><LayedOut>true</LayedOut><WasUIInvisible>true</WasUIInvisible></a:Value></a:KeyValueOfDiagramObjectKeyanyTypezbwNTnLX><a:KeyValueOfDiagramObjectKeyanyTypezbwNTnLX><a:Key><Key>Measures\Count of Monthly Premiums\TagInfo\Formula</Key></a:Key><a:Value i:type="MeasureGridViewStateIDiagramTagAdditionalInfo"/></a:KeyValueOfDiagramObjectKeyanyTypezbwNTnLX><a:KeyValueOfDiagramObjectKeyanyTypezbwNTnLX><a:Key><Key>Measures\Count of Monthly Premiums\TagInfo\Value</Key></a:Key><a:Value i:type="MeasureGridViewStateIDiagramTagAdditionalInfo"/></a:KeyValueOfDiagramObjectKeyanyTypezbwNTnLX><a:KeyValueOfDiagramObjectKeyanyTypezbwNTnLX><a:Key><Key>Measures\Count of Location</Key></a:Key><a:Value i:type="MeasureGridNodeViewState"><Column>3</Column><LayedOut>true</LayedOut><WasUIInvisible>true</WasUIInvisible></a:Value></a:KeyValueOfDiagramObjectKeyanyTypezbwNTnLX><a:KeyValueOfDiagramObjectKeyanyTypezbwNTnLX><a:Key><Key>Measures\Count of Location\TagInfo\Formula</Key></a:Key><a:Value i:type="MeasureGridViewStateIDiagramTagAdditionalInfo"/></a:KeyValueOfDiagramObjectKeyanyTypezbwNTnLX><a:KeyValueOfDiagramObjectKeyanyTypezbwNTnLX><a:Key><Key>Measures\Count of Location\TagInfo\Value</Key></a:Key><a:Value i:type="MeasureGridViewStateIDiagramTagAdditionalInfo"/></a:KeyValueOfDiagramObjectKeyanyTypezbwNTnLX><a:KeyValueOfDiagramObjectKeyanyTypezbwNTnLX><a:Key><Key>Columns\Employee ID</Key></a:Key><a:Value i:type="MeasureGridNodeViewState"><LayedOut>true</LayedOut></a:Value></a:KeyValueOfDiagramObjectKeyanyTypezbwNTnLX><a:KeyValueOfDiagramObjectKeyanyTypezbwNTnLX><a:Key><Key>Columns\Full Name</Key></a:Key><a:Value i:type="MeasureGridNodeViewState"><Column>1</Column><LayedOut>true</LayedOut></a:Value></a:KeyValueOfDiagramObjectKeyanyTypezbwNTnLX><a:KeyValueOfDiagramObjectKeyanyTypezbwNTnLX><a:Key><Key>Columns\Department</Key></a:Key><a:Value i:type="MeasureGridNodeViewState"><Column>2</Column><LayedOut>true</LayedOut></a:Value></a:KeyValueOfDiagramObjectKeyanyTypezbwNTnLX><a:KeyValueOfDiagramObjectKeyanyTypezbwNTnLX><a:Key><Key>Columns\Location</Key></a:Key><a:Value i:type="MeasureGridNodeViewState"><Column>3</Column><LayedOut>true</LayedOut></a:Value></a:KeyValueOfDiagramObjectKeyanyTypezbwNTnLX><a:KeyValueOfDiagramObjectKeyanyTypezbwNTnLX><a:Key><Key>Columns\Monthly Base Salary (INR)</Key></a:Key><a:Value i:type="MeasureGridNodeViewState"><Column>4</Column><LayedOut>true</LayedOut></a:Value></a:KeyValueOfDiagramObjectKeyanyTypezbwNTnLX><a:KeyValueOfDiagramObjectKeyanyTypezbwNTnLX><a:Key><Key>Columns\Corporate Benefit Plan</Key></a:Key><a:Value i:type="MeasureGridNodeViewState"><Column>5</Column><LayedOut>true</LayedOut></a:Value></a:KeyValueOfDiagramObjectKeyanyTypezbwNTnLX><a:KeyValueOfDiagramObjectKeyanyTypezbwNTnLX><a:Key><Key>Columns\Insurance tier</Key></a:Key><a:Value i:type="MeasureGridNodeViewState"><Column>6</Column><LayedOut>true</LayedOut></a:Value></a:KeyValueOfDiagramObjectKeyanyTypezbwNTnLX><a:KeyValueOfDiagramObjectKeyanyTypezbwNTnLX><a:Key><Key>Columns\Monthly Premiums</Key></a:Key><a:Value i:type="MeasureGridNodeViewState"><Column>7</Column><LayedOut>true</LayedOut></a:Value></a:KeyValueOfDiagramObjectKeyanyTypezbwNTnLX><a:KeyValueOfDiagramObjectKeyanyTypezbwNTnLX><a:Key><Key>Columns\Salary Bracket</Key></a:Key><a:Value i:type="MeasureGridNodeViewState"><Column>8</Column><LayedOut>true</LayedOut></a:Value></a:KeyValueOfDiagramObjectKeyanyTypezbwNTnLX><a:KeyValueOfDiagramObjectKeyanyTypezbwNTnLX><a:Key><Key>Links\&lt;Columns\Sum of Monthly Base Salary (INR)&gt;-&lt;Measures\Monthly Base Salary (INR)&gt;</Key></a:Key><a:Value i:type="MeasureGridViewStateIDiagramLink"/></a:KeyValueOfDiagramObjectKeyanyTypezbwNTnLX><a:KeyValueOfDiagramObjectKeyanyTypezbwNTnLX><a:Key><Key>Links\&lt;Columns\Sum of Monthly Base Salary (INR)&gt;-&lt;Measures\Monthly Base Salary (INR)&gt;\COLUMN</Key></a:Key><a:Value i:type="MeasureGridViewStateIDiagramLinkEndpoint"/></a:KeyValueOfDiagramObjectKeyanyTypezbwNTnLX><a:KeyValueOfDiagramObjectKeyanyTypezbwNTnLX><a:Key><Key>Links\&lt;Columns\Sum of Monthly Base Salary (INR)&gt;-&lt;Measures\Monthly Base Salary (INR)&gt;\MEASURE</Key></a:Key><a:Value i:type="MeasureGridViewStateIDiagramLinkEndpoint"/></a:KeyValueOfDiagramObjectKeyanyTypezbwNTnLX><a:KeyValueOfDiagramObjectKeyanyTypezbwNTnLX><a:Key><Key>Links\&lt;Columns\Average of Monthly Base Salary (INR)&gt;-&lt;Measures\Monthly Base Salary (INR)&gt;</Key></a:Key><a:Value i:type="MeasureGridViewStateIDiagramLink"/></a:KeyValueOfDiagramObjectKeyanyTypezbwNTnLX><a:KeyValueOfDiagramObjectKeyanyTypezbwNTnLX><a:Key><Key>Links\&lt;Columns\Average of Monthly Base Salary (INR)&gt;-&lt;Measures\Monthly Base Salary (INR)&gt;\COLUMN</Key></a:Key><a:Value i:type="MeasureGridViewStateIDiagramLinkEndpoint"/></a:KeyValueOfDiagramObjectKeyanyTypezbwNTnLX><a:KeyValueOfDiagramObjectKeyanyTypezbwNTnLX><a:Key><Key>Links\&lt;Columns\Average of Monthly Base Salary (INR)&gt;-&lt;Measures\Monthly Base Salary (INR)&gt;\MEASURE</Key></a:Key><a:Value i:type="MeasureGridViewStateIDiagramLinkEndpoint"/></a:KeyValueOfDiagramObjectKeyanyTypezbwNTnLX><a:KeyValueOfDiagramObjectKeyanyTypezbwNTnLX><a:Key><Key>Links\&lt;Columns\Count of Monthly Premiums&gt;-&lt;Measures\Monthly Premiums&gt;</Key></a:Key><a:Value i:type="MeasureGridViewStateIDiagramLink"/></a:KeyValueOfDiagramObjectKeyanyTypezbwNTnLX><a:KeyValueOfDiagramObjectKeyanyTypezbwNTnLX><a:Key><Key>Links\&lt;Columns\Count of Monthly Premiums&gt;-&lt;Measures\Monthly Premiums&gt;\COLUMN</Key></a:Key><a:Value i:type="MeasureGridViewStateIDiagramLinkEndpoint"/></a:KeyValueOfDiagramObjectKeyanyTypezbwNTnLX><a:KeyValueOfDiagramObjectKeyanyTypezbwNTnLX><a:Key><Key>Links\&lt;Columns\Count of Monthly Premiums&gt;-&lt;Measures\Monthly Premiums&gt;\MEASURE</Key></a:Key><a:Value i:type="MeasureGridViewStateIDiagramLinkEndpoint"/></a:KeyValueOfDiagramObjectKeyanyTypezbwNTnLX><a:KeyValueOfDiagramObjectKeyanyTypezbwNTnLX><a:Key><Key>Links\&lt;Columns\Count of Location&gt;-&lt;Measures\Location&gt;</Key></a:Key><a:Value i:type="MeasureGridViewStateIDiagramLink"/></a:KeyValueOfDiagramObjectKeyanyTypezbwNTnLX><a:KeyValueOfDiagramObjectKeyanyTypezbwNTnLX><a:Key><Key>Links\&lt;Columns\Count of Location&gt;-&lt;Measures\Location&gt;\COLUMN</Key></a:Key><a:Value i:type="MeasureGridViewStateIDiagramLinkEndpoint"/></a:KeyValueOfDiagramObjectKeyanyTypezbwNTnLX><a:KeyValueOfDiagramObjectKeyanyTypezbwNTnLX><a:Key><Key>Links\&lt;Columns\Count of Location&gt;-&lt;Measures\Location&gt;\MEASURE</Key></a:Key><a:Value i:type="MeasureGridViewStateIDiagramLinkEndpoint"/></a:KeyValueOfDiagramObjectKeyanyTypezbwNTnLX></ViewStates></DiagramManager.SerializableDiagram><DiagramManager.SerializableDiagram><Adapter i:type="MeasureDiagramSandboxAdapter"><TableName>Indian_Corporate_Workforce_Dataset  2</TableName></Adapter><DiagramType>MeasureDiagram</DiagramType><DisplayContext i:type="MeasureGridDisplayContext"><ColumnTagKey><Key>Static Tags\Column</Key></ColumnTagKey><ErrorsTagGroupKey><Key>TagGroups\Errors</Key></ErrorsTagGroupKey><FormulaTagKey><Key>Static Tags\Formula</Key></FormulaTagKey><HiddenTagKey><Key>Static Tags\Hidden</Key></HiddenTagKey><HostType>ModelerWindow</HostType><ImplicitMeasureSourceColumnLinkTagKey><Key>Static Tags\Implicit Measure and Source Column Link</Key></ImplicitMeasureSourceColumnLinkTagKey><ImplicitMeasureTagKey><Key>Static Tags\Is implicit measure</Key></ImplicitMeasureTagKey><KpiTagKey><Key>Static Tags\KPI</Key></KpiTagKey><MeasureTagKey><Key>Static Tags\Measure</Key></MeasureTagKey><ValueTagKey><Key>Static Tags\Value</Key></ValueTagKey></DisplayContext><DisplayType>MeasureGrid</DisplayType><Key i:type="SandboxEditorMeasureGridKey"><TableName>Indian_Corporate_Workforce_Dataset  2</TableName></Key><Maintainer i:type="MeasureDiagram.MeasureDiagramMaintainer"><AllKeys><DiagramObjectKey><Key>Measure Diagram</Key></DiagramObjectKey><DiagramObjectKey><Key>Actions\Delete</Key></DiagramObjectKey><DiagramObjectKey><Key>Actions\Convert to KPI</Key></DiagramObjectKey><DiagramObjectKey><Key>Actions\Edit KPI</Key></DiagramObjectKey><DiagramObjectKey><Key>Actions\Remove KPI</Key></DiagramObjectKey><DiagramObjectKey><Key>Actions\Copy Measure</Key></DiagramObjectKey><DiagramObjectKey><Key>Actions\AutoMeasure_Sum</Key></DiagramObjectKey><DiagramObjectKey><Key>Actions\AutoMeasure_Count</Key></DiagramObjectKey><DiagramObjectKey><Key>Actions\AutoMeasure_Average</Key></DiagramObjectKey><DiagramObjectKey><Key>Actions\AutoMeasure_Max</Key></DiagramObjectKey><DiagramObjectKey><Key>Actions\AutoMeasure_Min</Key></DiagramObjectKey><DiagramObjectKey><Key>Actions\AutoMeasure_StdDev</Key></DiagramObjectKey><DiagramObjectKey><Key>Actions\AutoMeasure_StdDevp</Key></DiagramObjectKey><DiagramObjectKey><Key>Actions\AutoMeasure_Var</Key></DiagramObjectKey><DiagramObjectKey><Key>Actions\AutoMeasure_Varp</Key></DiagramObjectKey><DiagramObjectKey><Key>Actions\AutoMeasure_DistinctCount</Key></DiagramObjectKey><DiagramObjectKey><Key>Actions\Edit</Key></DiagramObjectKey><DiagramObjectKey><Key>Actions\Create</Key></DiagramObjectKey><DiagramObjectKey><Key>Actions\Format</Key></DiagramObjectKey><DiagramObjectKey><Key>Actions\Edit Description</Key></DiagramObjectKey><DiagramObjectKey><Key>Actions\Hide Measures</Key></DiagramObjectKey><DiagramObjectKey><Key>Actions\Unhide Measures</Key></DiagramObjectKey><DiagramObjectKey><Key>TagGroups\Types</Key></DiagramObjectKey><DiagramObjectKey><Key>TagGroups\Link Types</Key></DiagramObjectKey><DiagramObjectKey><Key>TagGroups\KPI</Key></DiagramObjectKey><DiagramObjectKey><Key>TagGroups\Errors</Key></DiagramObjectKey><DiagramObjectKey><Key>TagGroups\Values and Formulas</Key></DiagramObjectKey><DiagramObjectKey><Key>TagGroups\State</Key></DiagramObjectKey><DiagramObjectKey><Key>Static Tags\Column</Key></DiagramObjectKey><DiagramObjectKey><Key>Static Tags\Measure</Key></DiagramObjectKey><DiagramObjectKey><Key>Static Tags\Implicit Measure and Source Column Link</Key></DiagramObjectKey><DiagramObjectKey><Key>Static Tags\KPI</Key></DiagramObjectKey><DiagramObjectKey><Key>Static Tags\Semantic Error</Key></DiagramObjectKey><DiagramObjectKey><Key>Static Tags\Calculation Error</Key></DiagramObjectKey><DiagramObjectKey><Key>Static Tags\Value</Key></DiagramObjectKey><DiagramObjectKey><Key>Static Tags\Formula</Key></DiagramObjectKey><DiagramObjectKey><Key>Static Tags\Evaluation in progress</Key></DiagramObjectKey><DiagramObjectKey><Key>Static Tags\Is implicit measure</Key></DiagramObjectKey><DiagramObjectKey><Key>Static Tags\Hidden</Key></DiagramObjectKey><DiagramObjectKey><Key>Static Tags\Not in perspective</Key></DiagramObjectKey><DiagramObjectKey><Key>Static Tags\Is readonly</Key></DiagramObjectKey><DiagramObjectKey><Key>Measures\Count of Gender</Key></DiagramObjectKey><DiagramObjectKey><Key>Measures\Count of Gender\TagInfo\Formula</Key></DiagramObjectKey><DiagramObjectKey><Key>Measures\Count of Gender\TagInfo\Value</Key></DiagramObjectKey><DiagramObjectKey><Key>Measures\Sum of Monthly Base Salary (INR) 2</Key></DiagramObjectKey><DiagramObjectKey><Key>Measures\Sum of Monthly Base Salary (INR) 2\TagInfo\Formula</Key></DiagramObjectKey><DiagramObjectKey><Key>Measures\Sum of Monthly Base Salary (INR) 2\TagInfo\Value</Key></DiagramObjectKey><DiagramObjectKey><Key>Measures\Average of Monthly Base Salary (INR) 2</Key></DiagramObjectKey><DiagramObjectKey><Key>Measures\Average of Monthly Base Salary (INR) 2\TagInfo\Formula</Key></DiagramObjectKey><DiagramObjectKey><Key>Measures\Average of Monthly Base Salary (INR) 2\TagInfo\Value</Key></DiagramObjectKey><DiagramObjectKey><Key>Measures\Sum of Monthly Premiums</Key></DiagramObjectKey><DiagramObjectKey><Key>Measures\Sum of Monthly Premiums\TagInfo\Formula</Key></DiagramObjectKey><DiagramObjectKey><Key>Measures\Sum of Monthly Premiums\TagInfo\Value</Key></DiagramObjectKey><DiagramObjectKey><Key>Measures\Min of Monthly Base Salary (INR)</Key></DiagramObjectKey><DiagramObjectKey><Key>Measures\Min of Monthly Base Salary (INR)\TagInfo\Formula</Key></DiagramObjectKey><DiagramObjectKey><Key>Measures\Min of Monthly Base Salary (INR)\TagInfo\Value</Key></DiagramObjectKey><DiagramObjectKey><Key>Measures\StdDev of Monthly Base Salary (INR)</Key></DiagramObjectKey><DiagramObjectKey><Key>Measures\StdDev of Monthly Base Salary (INR)\TagInfo\Formula</Key></DiagramObjectKey><DiagramObjectKey><Key>Measures\StdDev of Monthly Base Salary (INR)\TagInfo\Value</Key></DiagramObjectKey><DiagramObjectKey><Key>Measures\Average of Monthly Premiums</Key></DiagramObjectKey><DiagramObjectKey><Key>Measures\Average of Monthly Premiums\TagInfo\Formula</Key></DiagramObjectKey><DiagramObjectKey><Key>Measures\Average of Monthly Premiums\TagInfo\Value</Key></DiagramObjectKey><DiagramObjectKey><Key>Measures\Count of Monthly Premiums 2</Key></DiagramObjectKey><DiagramObjectKey><Key>Measures\Count of Monthly Premiums 2\TagInfo\Formula</Key></DiagramObjectKey><DiagramObjectKey><Key>Measures\Count of Monthly Premiums 2\TagInfo\Value</Key></DiagramObjectKey><DiagramObjectKey><Key>Measures\Count of Insurance tier</Key></DiagramObjectKey><DiagramObjectKey><Key>Measures\Count of Insurance tier\TagInfo\Formula</Key></DiagramObjectKey><DiagramObjectKey><Key>Measures\Count of Insurance tier\TagInfo\Value</Key></DiagramObjectKey><DiagramObjectKey><Key>Measures\Count of Corporate Benefit Plan</Key></DiagramObjectKey><DiagramObjectKey><Key>Measures\Count of Corporate Benefit Plan\TagInfo\Formula</Key></DiagramObjectKey><DiagramObjectKey><Key>Measures\Count of Corporate Benefit Plan\TagInfo\Value</Key></DiagramObjectKey><DiagramObjectKey><Key>Columns\Employee ID</Key></DiagramObjectKey><DiagramObjectKey><Key>Columns\Full Name</Key></DiagramObjectKey><DiagramObjectKey><Key>Columns\Gender</Key></DiagramObjectKey><DiagramObjectKey><Key>Columns\Department</Key></DiagramObjectKey><DiagramObjectKey><Key>Columns\Location</Key></DiagramObjectKey><DiagramObjectKey><Key>Columns\Monthly Base Salary (INR)</Key></DiagramObjectKey><DiagramObjectKey><Key>Columns\Corporate Benefit Plan</Key></DiagramObjectKey><DiagramObjectKey><Key>Columns\Insurance tier</Key></DiagramObjectKey><DiagramObjectKey><Key>Columns\Monthly Premiums</Key></DiagramObjectKey><DiagramObjectKey><Key>Columns\Salary Bracket</Key></DiagramObjectKey><DiagramObjectKey><Key>Links\&lt;Columns\Count of Gender&gt;-&lt;Measures\Gender&gt;</Key></DiagramObjectKey><DiagramObjectKey><Key>Links\&lt;Columns\Count of Gender&gt;-&lt;Measures\Gender&gt;\COLUMN</Key></DiagramObjectKey><DiagramObjectKey><Key>Links\&lt;Columns\Count of Gender&gt;-&lt;Measures\Gender&gt;\MEASURE</Key></DiagramObjectKey><DiagramObjectKey><Key>Links\&lt;Columns\Sum of Monthly Base Salary (INR) 2&gt;-&lt;Measures\Monthly Base Salary (INR)&gt;</Key></DiagramObjectKey><DiagramObjectKey><Key>Links\&lt;Columns\Sum of Monthly Base Salary (INR) 2&gt;-&lt;Measures\Monthly Base Salary (INR)&gt;\COLUMN</Key></DiagramObjectKey><DiagramObjectKey><Key>Links\&lt;Columns\Sum of Monthly Base Salary (INR) 2&gt;-&lt;Measures\Monthly Base Salary (INR)&gt;\MEASURE</Key></DiagramObjectKey><DiagramObjectKey><Key>Links\&lt;Columns\Average of Monthly Base Salary (INR) 2&gt;-&lt;Measures\Monthly Base Salary (INR)&gt;</Key></DiagramObjectKey><DiagramObjectKey><Key>Links\&lt;Columns\Average of Monthly Base Salary (INR) 2&gt;-&lt;Measures\Monthly Base Salary (INR)&gt;\COLUMN</Key></DiagramObjectKey><DiagramObjectKey><Key>Links\&lt;Columns\Average of Monthly Base Salary (INR) 2&gt;-&lt;Measures\Monthly Base Salary (INR)&gt;\MEASURE</Key></DiagramObjectKey><DiagramObjectKey><Key>Links\&lt;Columns\Sum of Monthly Premiums&gt;-&lt;Measures\Monthly Premiums&gt;</Key></DiagramObjectKey><DiagramObjectKey><Key>Links\&lt;Columns\Sum of Monthly Premiums&gt;-&lt;Measures\Monthly Premiums&gt;\COLUMN</Key></DiagramObjectKey><DiagramObjectKey><Key>Links\&lt;Columns\Sum of Monthly Premiums&gt;-&lt;Measures\Monthly Premiums&gt;\MEASURE</Key></DiagramObjectKey><DiagramObjectKey><Key>Links\&lt;Columns\Min of Monthly Base Salary (INR)&gt;-&lt;Measures\Monthly Base Salary (INR)&gt;</Key></DiagramObjectKey><DiagramObjectKey><Key>Links\&lt;Columns\Min of Monthly Base Salary (INR)&gt;-&lt;Measures\Monthly Base Salary (INR)&gt;\COLUMN</Key></DiagramObjectKey><DiagramObjectKey><Key>Links\&lt;Columns\Min of Monthly Base Salary (INR)&gt;-&lt;Measures\Monthly Base Salary (INR)&gt;\MEASURE</Key></DiagramObjectKey><DiagramObjectKey><Key>Links\&lt;Columns\StdDev of Monthly Base Salary (INR)&gt;-&lt;Measures\Monthly Base Salary (INR)&gt;</Key></DiagramObjectKey><DiagramObjectKey><Key>Links\&lt;Columns\StdDev of Monthly Base Salary (INR)&gt;-&lt;Measures\Monthly Base Salary (INR)&gt;\COLUMN</Key></DiagramObjectKey><DiagramObjectKey><Key>Links\&lt;Columns\StdDev of Monthly Base Salary (INR)&gt;-&lt;Measures\Monthly Base Salary (INR)&gt;\MEASURE</Key></DiagramObjectKey><DiagramObjectKey><Key>Links\&lt;Columns\Average of Monthly Premiums&gt;-&lt;Measures\Monthly Premiums&gt;</Key></DiagramObjectKey><DiagramObjectKey><Key>Links\&lt;Columns\Average of Monthly Premiums&gt;-&lt;Measures\Monthly Premiums&gt;\COLUMN</Key></DiagramObjectKey><DiagramObjectKey><Key>Links\&lt;Columns\Average of Monthly Premiums&gt;-&lt;Measures\Monthly Premiums&gt;\MEASURE</Key></DiagramObjectKey><DiagramObjectKey><Key>Links\&lt;Columns\Count of Monthly Premiums 2&gt;-&lt;Measures\Monthly Premiums&gt;</Key></DiagramObjectKey><DiagramObjectKey><Key>Links\&lt;Columns\Count of Monthly Premiums 2&gt;-&lt;Measures\Monthly Premiums&gt;\COLUMN</Key></DiagramObjectKey><DiagramObjectKey><Key>Links\&lt;Columns\Count of Monthly Premiums 2&gt;-&lt;Measures\Monthly Premiums&gt;\MEASURE</Key></DiagramObjectKey><DiagramObjectKey><Key>Links\&lt;Columns\Count of Insurance tier&gt;-&lt;Measures\Insurance tier&gt;</Key></DiagramObjectKey><DiagramObjectKey><Key>Links\&lt;Columns\Count of Insurance tier&gt;-&lt;Measures\Insurance tier&gt;\COLUMN</Key></DiagramObjectKey><DiagramObjectKey><Key>Links\&lt;Columns\Count of Insurance tier&gt;-&lt;Measures\Insurance tier&gt;\MEASURE</Key></DiagramObjectKey><DiagramObjectKey><Key>Links\&lt;Columns\Count of Corporate Benefit Plan&gt;-&lt;Measures\Corporate Benefit Plan&gt;</Key></DiagramObjectKey><DiagramObjectKey><Key>Links\&lt;Columns\Count of Corporate Benefit Plan&gt;-&lt;Measures\Corporate Benefit Plan&gt;\COLUMN</Key></DiagramObjectKey><DiagramObjectKey><Key>Links\&lt;Columns\Count of Corporate Benefit Plan&gt;-&lt;Measures\Corporate Benefit Plan&gt;\MEASURE</Key></DiagramObjectKey></AllKeys><SelectedKeys/></Maintainer><ViewStateFactoryType>Microsoft.AnalysisServices.Common.MeasureGridViewStateFactory</ViewStateFactoryType><ViewStates xmlns:a="http://schemas.microsoft.com/2003/10/Serialization/Arrays"><a:KeyValueOfDiagramObjectKeyanyTypezbwNTnLX><a:Key><Key>Measure Diagram</Key></a:Key><a:Value i:type="MeasureGridDiagramViewState"><FocusColumn>-1</FocusColumn><FocusRow>-1</FocusRow><SelectionEndColumn>-1</SelectionEndColumn><SelectionEndRow>-1</SelectionEndRow><SelectionStartColumn>-1</SelectionStartColumn><SelectionStartRow>-1</SelectionStartRow><Texts/></a:Value></a:KeyValueOfDiagramObjectKeyanyTypezbwNTnLX><a:KeyValueOfDiagramObjectKeyanyTypezbwNTnLX><a:Key><Key>Actions\Delete</Key></a:Key><a:Value i:type="MeasureGridViewStateIDiagramAction"/></a:KeyValueOfDiagramObjectKeyanyTypezbwNTnLX><a:KeyValueOfDiagramObjectKeyanyTypezbwNTnLX><a:Key><Key>Actions\Convert to KPI</Key></a:Key><a:Value i:type="MeasureGridViewStateIDiagramAction"/></a:KeyValueOfDiagramObjectKeyanyTypezbwNTnLX><a:KeyValueOfDiagramObjectKeyanyTypezbwNTnLX><a:Key><Key>Actions\Edit KPI</Key></a:Key><a:Value i:type="MeasureGridViewStateIDiagramAction"/></a:KeyValueOfDiagramObjectKeyanyTypezbwNTnLX><a:KeyValueOfDiagramObjectKeyanyTypezbwNTnLX><a:Key><Key>Actions\Remove KPI</Key></a:Key><a:Value i:type="MeasureGridViewStateIDiagramAction"/></a:KeyValueOfDiagramObjectKeyanyTypezbwNTnLX><a:KeyValueOfDiagramObjectKeyanyTypezbwNTnLX><a:Key><Key>Actions\Copy Measure</Key></a:Key><a:Value i:type="MeasureGridViewStateIDiagramAction"/></a:KeyValueOfDiagramObjectKeyanyTypezbwNTnLX><a:KeyValueOfDiagramObjectKeyanyTypezbwNTnLX><a:Key><Key>Actions\AutoMeasure_Sum</Key></a:Key><a:Value i:type="MeasureGridViewStateIDiagramAction"/></a:KeyValueOfDiagramObjectKeyanyTypezbwNTnLX><a:KeyValueOfDiagramObjectKeyanyTypezbwNTnLX><a:Key><Key>Actions\AutoMeasure_Count</Key></a:Key><a:Value i:type="MeasureGridViewStateIDiagramAction"/></a:KeyValueOfDiagramObjectKeyanyTypezbwNTnLX><a:KeyValueOfDiagramObjectKeyanyTypezbwNTnLX><a:Key><Key>Actions\AutoMeasure_Average</Key></a:Key><a:Value i:type="MeasureGridViewStateIDiagramAction"/></a:KeyValueOfDiagramObjectKeyanyTypezbwNTnLX><a:KeyValueOfDiagramObjectKeyanyTypezbwNTnLX><a:Key><Key>Actions\AutoMeasure_Max</Key></a:Key><a:Value i:type="MeasureGridViewStateIDiagramAction"/></a:KeyValueOfDiagramObjectKeyanyTypezbwNTnLX><a:KeyValueOfDiagramObjectKeyanyTypezbwNTnLX><a:Key><Key>Actions\AutoMeasure_Min</Key></a:Key><a:Value i:type="MeasureGridViewStateIDiagramAction"/></a:KeyValueOfDiagramObjectKeyanyTypezbwNTnLX><a:KeyValueOfDiagramObjectKeyanyTypezbwNTnLX><a:Key><Key>Actions\AutoMeasure_StdDev</Key></a:Key><a:Value i:type="MeasureGridViewStateIDiagramAction"/></a:KeyValueOfDiagramObjectKeyanyTypezbwNTnLX><a:KeyValueOfDiagramObjectKeyanyTypezbwNTnLX><a:Key><Key>Actions\AutoMeasure_StdDevp</Key></a:Key><a:Value i:type="MeasureGridViewStateIDiagramAction"/></a:KeyValueOfDiagramObjectKeyanyTypezbwNTnLX><a:KeyValueOfDiagramObjectKeyanyTypezbwNTnLX><a:Key><Key>Actions\AutoMeasure_Var</Key></a:Key><a:Value i:type="MeasureGridViewStateIDiagramAction"/></a:KeyValueOfDiagramObjectKeyanyTypezbwNTnLX><a:KeyValueOfDiagramObjectKeyanyTypezbwNTnLX><a:Key><Key>Actions\AutoMeasure_Varp</Key></a:Key><a:Value i:type="MeasureGridViewStateIDiagramAction"/></a:KeyValueOfDiagramObjectKeyanyTypezbwNTnLX><a:KeyValueOfDiagramObjectKeyanyTypezbwNTnLX><a:Key><Key>Actions\AutoMeasure_DistinctCount</Key></a:Key><a:Value i:type="MeasureGridViewStateIDiagramAction"/></a:KeyValueOfDiagramObjectKeyanyTypezbwNTnLX><a:KeyValueOfDiagramObjectKeyanyTypezbwNTnLX><a:Key><Key>Actions\Edit</Key></a:Key><a:Value i:type="MeasureGridViewStateIDiagramAction"/></a:KeyValueOfDiagramObjectKeyanyTypezbwNTnLX><a:KeyValueOfDiagramObjectKeyanyTypezbwNTnLX><a:Key><Key>Actions\Create</Key></a:Key><a:Value i:type="MeasureGridViewStateIDiagramAction"/></a:KeyValueOfDiagramObjectKeyanyTypezbwNTnLX><a:KeyValueOfDiagramObjectKeyanyTypezbwNTnLX><a:Key><Key>Actions\Format</Key></a:Key><a:Value i:type="MeasureGridViewStateIDiagramAction"/></a:KeyValueOfDiagramObjectKeyanyTypezbwNTnLX><a:KeyValueOfDiagramObjectKeyanyTypezbwNTnLX><a:Key><Key>Actions\Edit Description</Key></a:Key><a:Value i:type="MeasureGridViewStateIDiagramAction"/></a:KeyValueOfDiagramObjectKeyanyTypezbwNTnLX><a:KeyValueOfDiagramObjectKeyanyTypezbwNTnLX><a:Key><Key>Actions\Hide Measures</Key></a:Key><a:Value i:type="MeasureGridViewStateIDiagramAction"/></a:KeyValueOfDiagramObjectKeyanyTypezbwNTnLX><a:KeyValueOfDiagramObjectKeyanyTypezbwNTnLX><a:Key><Key>Actions\Unhide Measures</Key></a:Key><a:Value i:type="MeasureGridViewStateIDiagramAction"/></a:KeyValueOfDiagramObjectKeyanyTypezbwNTnLX><a:KeyValueOfDiagramObjectKeyanyTypezbwNTnLX><a:Key><Key>TagGroups\Types</Key></a:Key><a:Value i:type="MeasureGridViewStateIDiagramTagGroup"/></a:KeyValueOfDiagramObjectKeyanyTypezbwNTnLX><a:KeyValueOfDiagramObjectKeyanyTypezbwNTnLX><a:Key><Key>TagGroups\Link Types</Key></a:Key><a:Value i:type="MeasureGridViewStateIDiagramTagGroup"/></a:KeyValueOfDiagramObjectKeyanyTypezbwNTnLX><a:KeyValueOfDiagramObjectKeyanyTypezbwNTnLX><a:Key><Key>TagGroups\KPI</Key></a:Key><a:Value i:type="MeasureGridViewStateIDiagramTagGroup"/></a:KeyValueOfDiagramObjectKeyanyTypezbwNTnLX><a:KeyValueOfDiagramObjectKeyanyTypezbwNTnLX><a:Key><Key>TagGroups\Errors</Key></a:Key><a:Value i:type="MeasureGridViewStateIDiagramTagGroup"/></a:KeyValueOfDiagramObjectKeyanyTypezbwNTnLX><a:KeyValueOfDiagramObjectKeyanyTypezbwNTnLX><a:Key><Key>TagGroups\Values and Formulas</Key></a:Key><a:Value i:type="MeasureGridViewStateIDiagramTagGroup"/></a:KeyValueOfDiagramObjectKeyanyTypezbwNTnLX><a:KeyValueOfDiagramObjectKeyanyTypezbwNTnLX><a:Key><Key>TagGroups\State</Key></a:Key><a:Value i:type="MeasureGridViewStateIDiagramTagGroup"/></a:KeyValueOfDiagramObjectKeyanyTypezbwNTnLX><a:KeyValueOfDiagramObjectKeyanyTypezbwNTnLX><a:Key><Key>Static Tags\Column</Key></a:Key><a:Value i:type="MeasureGridViewStateIDiagramTag"/></a:KeyValueOfDiagramObjectKeyanyTypezbwNTnLX><a:KeyValueOfDiagramObjectKeyanyTypezbwNTnLX><a:Key><Key>Static Tags\Measure</Key></a:Key><a:Value i:type="MeasureGridViewStateIDiagramTag"/></a:KeyValueOfDiagramObjectKeyanyTypezbwNTnLX><a:KeyValueOfDiagramObjectKeyanyTypezbwNTnLX><a:Key><Key>Static Tags\Implicit Measure and Source Column Link</Key></a:Key><a:Value i:type="MeasureGridViewStateIDiagramTag"/></a:KeyValueOfDiagramObjectKeyanyTypezbwNTnLX><a:KeyValueOfDiagramObjectKeyanyTypezbwNTnLX><a:Key><Key>Static Tags\KPI</Key></a:Key><a:Value i:type="MeasureGridViewStateIDiagramTag"/></a:KeyValueOfDiagramObjectKeyanyTypezbwNTnLX><a:KeyValueOfDiagramObjectKeyanyTypezbwNTnLX><a:Key><Key>Static Tags\Semantic Error</Key></a:Key><a:Value i:type="MeasureGridViewStateIDiagramTag"/></a:KeyValueOfDiagramObjectKeyanyTypezbwNTnLX><a:KeyValueOfDiagramObjectKeyanyTypezbwNTnLX><a:Key><Key>Static Tags\Calculation Error</Key></a:Key><a:Value i:type="MeasureGridViewStateIDiagramTag"/></a:KeyValueOfDiagramObjectKeyanyTypezbwNTnLX><a:KeyValueOfDiagramObjectKeyanyTypezbwNTnLX><a:Key><Key>Static Tags\Value</Key></a:Key><a:Value i:type="MeasureGridViewStateIDiagramTag"/></a:KeyValueOfDiagramObjectKeyanyTypezbwNTnLX><a:KeyValueOfDiagramObjectKeyanyTypezbwNTnLX><a:Key><Key>Static Tags\Formula</Key></a:Key><a:Value i:type="MeasureGridViewStateIDiagramTag"/></a:KeyValueOfDiagramObjectKeyanyTypezbwNTnLX><a:KeyValueOfDiagramObjectKeyanyTypezbwNTnLX><a:Key><Key>Static Tags\Evaluation in progress</Key></a:Key><a:Value i:type="MeasureGridViewStateIDiagramTag"/></a:KeyValueOfDiagramObjectKeyanyTypezbwNTnLX><a:KeyValueOfDiagramObjectKeyanyTypezbwNTnLX><a:Key><Key>Static Tags\Is implicit measure</Key></a:Key><a:Value i:type="MeasureGridViewStateIDiagramTag"/></a:KeyValueOfDiagramObjectKeyanyTypezbwNTnLX><a:KeyValueOfDiagramObjectKeyanyTypezbwNTnLX><a:Key><Key>Static Tags\Hidden</Key></a:Key><a:Value i:type="MeasureGridViewStateIDiagramTag"/></a:KeyValueOfDiagramObjectKeyanyTypezbwNTnLX><a:KeyValueOfDiagramObjectKeyanyTypezbwNTnLX><a:Key><Key>Static Tags\Not in perspective</Key></a:Key><a:Value i:type="MeasureGridViewStateIDiagramTag"/></a:KeyValueOfDiagramObjectKeyanyTypezbwNTnLX><a:KeyValueOfDiagramObjectKeyanyTypezbwNTnLX><a:Key><Key>Static Tags\Is readonly</Key></a:Key><a:Value i:type="MeasureGridViewStateIDiagramTag"/></a:KeyValueOfDiagramObjectKeyanyTypezbwNTnLX><a:KeyValueOfDiagramObjectKeyanyTypezbwNTnLX><a:Key><Key>Measures\Count of Gender</Key></a:Key><a:Value i:type="MeasureGridNodeViewState"><Column>2</Column><LayedOut>true</LayedOut><WasUIInvisible>true</WasUIInvisible></a:Value></a:KeyValueOfDiagramObjectKeyanyTypezbwNTnLX><a:KeyValueOfDiagramObjectKeyanyTypezbwNTnLX><a:Key><Key>Measures\Count of Gender\TagInfo\Formula</Key></a:Key><a:Value i:type="MeasureGridViewStateIDiagramTagAdditionalInfo"/></a:KeyValueOfDiagramObjectKeyanyTypezbwNTnLX><a:KeyValueOfDiagramObjectKeyanyTypezbwNTnLX><a:Key><Key>Measures\Count of Gender\TagInfo\Value</Key></a:Key><a:Value i:type="MeasureGridViewStateIDiagramTagAdditionalInfo"/></a:KeyValueOfDiagramObjectKeyanyTypezbwNTnLX><a:KeyValueOfDiagramObjectKeyanyTypezbwNTnLX><a:Key><Key>Measures\Sum of Monthly Base Salary (INR) 2</Key></a:Key><a:Value i:type="MeasureGridNodeViewState"><Column>5</Column><LayedOut>true</LayedOut><WasUIInvisible>true</WasUIInvisible></a:Value></a:KeyValueOfDiagramObjectKeyanyTypezbwNTnLX><a:KeyValueOfDiagramObjectKeyanyTypezbwNTnLX><a:Key><Key>Measures\Sum of Monthly Base Salary (INR) 2\TagInfo\Formula</Key></a:Key><a:Value i:type="MeasureGridViewStateIDiagramTagAdditionalInfo"/></a:KeyValueOfDiagramObjectKeyanyTypezbwNTnLX><a:KeyValueOfDiagramObjectKeyanyTypezbwNTnLX><a:Key><Key>Measures\Sum of Monthly Base Salary (INR) 2\TagInfo\Value</Key></a:Key><a:Value i:type="MeasureGridViewStateIDiagramTagAdditionalInfo"/></a:KeyValueOfDiagramObjectKeyanyTypezbwNTnLX><a:KeyValueOfDiagramObjectKeyanyTypezbwNTnLX><a:Key><Key>Measures\Average of Monthly Base Salary (INR) 2</Key></a:Key><a:Value i:type="MeasureGridNodeViewState"><Column>5</Column><LayedOut>true</LayedOut><Row>1</Row><WasUIInvisible>true</WasUIInvisible></a:Value></a:KeyValueOfDiagramObjectKeyanyTypezbwNTnLX><a:KeyValueOfDiagramObjectKeyanyTypezbwNTnLX><a:Key><Key>Measures\Average of Monthly Base Salary (INR) 2\TagInfo\Formula</Key></a:Key><a:Value i:type="MeasureGridViewStateIDiagramTagAdditionalInfo"/></a:KeyValueOfDiagramObjectKeyanyTypezbwNTnLX><a:KeyValueOfDiagramObjectKeyanyTypezbwNTnLX><a:Key><Key>Measures\Average of Monthly Base Salary (INR) 2\TagInfo\Value</Key></a:Key><a:Value i:type="MeasureGridViewStateIDiagramTagAdditionalInfo"/></a:KeyValueOfDiagramObjectKeyanyTypezbwNTnLX><a:KeyValueOfDiagramObjectKeyanyTypezbwNTnLX><a:Key><Key>Measures\Sum of Monthly Premiums</Key></a:Key><a:Value i:type="MeasureGridNodeViewState"><Column>8</Column><LayedOut>true</LayedOut><WasUIInvisible>true</WasUIInvisible></a:Value></a:KeyValueOfDiagramObjectKeyanyTypezbwNTnLX><a:KeyValueOfDiagramObjectKeyanyTypezbwNTnLX><a:Key><Key>Measures\Sum of Monthly Premiums\TagInfo\Formula</Key></a:Key><a:Value i:type="MeasureGridViewStateIDiagramTagAdditionalInfo"/></a:KeyValueOfDiagramObjectKeyanyTypezbwNTnLX><a:KeyValueOfDiagramObjectKeyanyTypezbwNTnLX><a:Key><Key>Measures\Sum of Monthly Premiums\TagInfo\Value</Key></a:Key><a:Value i:type="MeasureGridViewStateIDiagramTagAdditionalInfo"/></a:KeyValueOfDiagramObjectKeyanyTypezbwNTnLX><a:KeyValueOfDiagramObjectKeyanyTypezbwNTnLX><a:Key><Key>Measures\Min of Monthly Base Salary (INR)</Key></a:Key><a:Value i:type="MeasureGridNodeViewState"><Column>5</Column><LayedOut>true</LayedOut><Row>2</Row><WasUIInvisible>true</WasUIInvisible></a:Value></a:KeyValueOfDiagramObjectKeyanyTypezbwNTnLX><a:KeyValueOfDiagramObjectKeyanyTypezbwNTnLX><a:Key><Key>Measures\Min of Monthly Base Salary (INR)\TagInfo\Formula</Key></a:Key><a:Value i:type="MeasureGridViewStateIDiagramTagAdditionalInfo"/></a:KeyValueOfDiagramObjectKeyanyTypezbwNTnLX><a:KeyValueOfDiagramObjectKeyanyTypezbwNTnLX><a:Key><Key>Measures\Min of Monthly Base Salary (INR)\TagInfo\Value</Key></a:Key><a:Value i:type="MeasureGridViewStateIDiagramTagAdditionalInfo"/></a:KeyValueOfDiagramObjectKeyanyTypezbwNTnLX><a:KeyValueOfDiagramObjectKeyanyTypezbwNTnLX><a:Key><Key>Measures\StdDev of Monthly Base Salary (INR)</Key></a:Key><a:Value i:type="MeasureGridNodeViewState"><Column>5</Column><LayedOut>true</LayedOut><Row>3</Row><WasUIInvisible>true</WasUIInvisible></a:Value></a:KeyValueOfDiagramObjectKeyanyTypezbwNTnLX><a:KeyValueOfDiagramObjectKeyanyTypezbwNTnLX><a:Key><Key>Measures\StdDev of Monthly Base Salary (INR)\TagInfo\Formula</Key></a:Key><a:Value i:type="MeasureGridViewStateIDiagramTagAdditionalInfo"/></a:KeyValueOfDiagramObjectKeyanyTypezbwNTnLX><a:KeyValueOfDiagramObjectKeyanyTypezbwNTnLX><a:Key><Key>Measures\StdDev of Monthly Base Salary (INR)\TagInfo\Value</Key></a:Key><a:Value i:type="MeasureGridViewStateIDiagramTagAdditionalInfo"/></a:KeyValueOfDiagramObjectKeyanyTypezbwNTnLX><a:KeyValueOfDiagramObjectKeyanyTypezbwNTnLX><a:Key><Key>Measures\Average of Monthly Premiums</Key></a:Key><a:Value i:type="MeasureGridNodeViewState"><Column>8</Column><LayedOut>true</LayedOut><Row>1</Row><WasUIInvisible>true</WasUIInvisible></a:Value></a:KeyValueOfDiagramObjectKeyanyTypezbwNTnLX><a:KeyValueOfDiagramObjectKeyanyTypezbwNTnLX><a:Key><Key>Measures\Average of Monthly Premiums\TagInfo\Formula</Key></a:Key><a:Value i:type="MeasureGridViewStateIDiagramTagAdditionalInfo"/></a:KeyValueOfDiagramObjectKeyanyTypezbwNTnLX><a:KeyValueOfDiagramObjectKeyanyTypezbwNTnLX><a:Key><Key>Measures\Average of Monthly Premiums\TagInfo\Value</Key></a:Key><a:Value i:type="MeasureGridViewStateIDiagramTagAdditionalInfo"/></a:KeyValueOfDiagramObjectKeyanyTypezbwNTnLX><a:KeyValueOfDiagramObjectKeyanyTypezbwNTnLX><a:Key><Key>Measures\Count of Monthly Premiums 2</Key></a:Key><a:Value i:type="MeasureGridNodeViewState"><Column>8</Column><LayedOut>true</LayedOut><Row>2</Row><WasUIInvisible>true</WasUIInvisible></a:Value></a:KeyValueOfDiagramObjectKeyanyTypezbwNTnLX><a:KeyValueOfDiagramObjectKeyanyTypezbwNTnLX><a:Key><Key>Measures\Count of Monthly Premiums 2\TagInfo\Formula</Key></a:Key><a:Value i:type="MeasureGridViewStateIDiagramTagAdditionalInfo"/></a:KeyValueOfDiagramObjectKeyanyTypezbwNTnLX><a:KeyValueOfDiagramObjectKeyanyTypezbwNTnLX><a:Key><Key>Measures\Count of Monthly Premiums 2\TagInfo\Value</Key></a:Key><a:Value i:type="MeasureGridViewStateIDiagramTagAdditionalInfo"/></a:KeyValueOfDiagramObjectKeyanyTypezbwNTnLX><a:KeyValueOfDiagramObjectKeyanyTypezbwNTnLX><a:Key><Key>Measures\Count of Insurance tier</Key></a:Key><a:Value i:type="MeasureGridNodeViewState"><Column>7</Column><LayedOut>true</LayedOut><WasUIInvisible>true</WasUIInvisible></a:Value></a:KeyValueOfDiagramObjectKeyanyTypezbwNTnLX><a:KeyValueOfDiagramObjectKeyanyTypezbwNTnLX><a:Key><Key>Measures\Count of Insurance tier\TagInfo\Formula</Key></a:Key><a:Value i:type="MeasureGridViewStateIDiagramTagAdditionalInfo"/></a:KeyValueOfDiagramObjectKeyanyTypezbwNTnLX><a:KeyValueOfDiagramObjectKeyanyTypezbwNTnLX><a:Key><Key>Measures\Count of Insurance tier\TagInfo\Value</Key></a:Key><a:Value i:type="MeasureGridViewStateIDiagramTagAdditionalInfo"/></a:KeyValueOfDiagramObjectKeyanyTypezbwNTnLX><a:KeyValueOfDiagramObjectKeyanyTypezbwNTnLX><a:Key><Key>Measures\Count of Corporate Benefit Plan</Key></a:Key><a:Value i:type="MeasureGridNodeViewState"><Column>6</Column><LayedOut>true</LayedOut><WasUIInvisible>true</WasUIInvisible></a:Value></a:KeyValueOfDiagramObjectKeyanyTypezbwNTnLX><a:KeyValueOfDiagramObjectKeyanyTypezbwNTnLX><a:Key><Key>Measures\Count of Corporate Benefit Plan\TagInfo\Formula</Key></a:Key><a:Value i:type="MeasureGridViewStateIDiagramTagAdditionalInfo"/></a:KeyValueOfDiagramObjectKeyanyTypezbwNTnLX><a:KeyValueOfDiagramObjectKeyanyTypezbwNTnLX><a:Key><Key>Measures\Count of Corporate Benefit Plan\TagInfo\Value</Key></a:Key><a:Value i:type="MeasureGridViewStateIDiagramTagAdditionalInfo"/></a:KeyValueOfDiagramObjectKeyanyTypezbwNTnLX><a:KeyValueOfDiagramObjectKeyanyTypezbwNTnLX><a:Key><Key>Columns\Employee ID</Key></a:Key><a:Value i:type="MeasureGridNodeViewState"><LayedOut>true</LayedOut></a:Value></a:KeyValueOfDiagramObjectKeyanyTypezbwNTnLX><a:KeyValueOfDiagramObjectKeyanyTypezbwNTnLX><a:Key><Key>Columns\Full Name</Key></a:Key><a:Value i:type="MeasureGridNodeViewState"><Column>1</Column><LayedOut>true</LayedOut></a:Value></a:KeyValueOfDiagramObjectKeyanyTypezbwNTnLX><a:KeyValueOfDiagramObjectKeyanyTypezbwNTnLX><a:Key><Key>Columns\Gender</Key></a:Key><a:Value i:type="MeasureGridNodeViewState"><Column>2</Column><LayedOut>true</LayedOut></a:Value></a:KeyValueOfDiagramObjectKeyanyTypezbwNTnLX><a:KeyValueOfDiagramObjectKeyanyTypezbwNTnLX><a:Key><Key>Columns\Department</Key></a:Key><a:Value i:type="MeasureGridNodeViewState"><Column>3</Column><LayedOut>true</LayedOut></a:Value></a:KeyValueOfDiagramObjectKeyanyTypezbwNTnLX><a:KeyValueOfDiagramObjectKeyanyTypezbwNTnLX><a:Key><Key>Columns\Location</Key></a:Key><a:Value i:type="MeasureGridNodeViewState"><Column>4</Column><LayedOut>true</LayedOut></a:Value></a:KeyValueOfDiagramObjectKeyanyTypezbwNTnLX><a:KeyValueOfDiagramObjectKeyanyTypezbwNTnLX><a:Key><Key>Columns\Monthly Base Salary (INR)</Key></a:Key><a:Value i:type="MeasureGridNodeViewState"><Column>5</Column><LayedOut>true</LayedOut></a:Value></a:KeyValueOfDiagramObjectKeyanyTypezbwNTnLX><a:KeyValueOfDiagramObjectKeyanyTypezbwNTnLX><a:Key><Key>Columns\Corporate Benefit Plan</Key></a:Key><a:Value i:type="MeasureGridNodeViewState"><Column>6</Column><LayedOut>true</LayedOut></a:Value></a:KeyValueOfDiagramObjectKeyanyTypezbwNTnLX><a:KeyValueOfDiagramObjectKeyanyTypezbwNTnLX><a:Key><Key>Columns\Insurance tier</Key></a:Key><a:Value i:type="MeasureGridNodeViewState"><Column>7</Column><LayedOut>true</LayedOut></a:Value></a:KeyValueOfDiagramObjectKeyanyTypezbwNTnLX><a:KeyValueOfDiagramObjectKeyanyTypezbwNTnLX><a:Key><Key>Columns\Monthly Premiums</Key></a:Key><a:Value i:type="MeasureGridNodeViewState"><Column>8</Column><LayedOut>true</LayedOut></a:Value></a:KeyValueOfDiagramObjectKeyanyTypezbwNTnLX><a:KeyValueOfDiagramObjectKeyanyTypezbwNTnLX><a:Key><Key>Columns\Salary Bracket</Key></a:Key><a:Value i:type="MeasureGridNodeViewState"><Column>9</Column><LayedOut>true</LayedOut></a:Value></a:KeyValueOfDiagramObjectKeyanyTypezbwNTnLX><a:KeyValueOfDiagramObjectKeyanyTypezbwNTnLX><a:Key><Key>Links\&lt;Columns\Count of Gender&gt;-&lt;Measures\Gender&gt;</Key></a:Key><a:Value i:type="MeasureGridViewStateIDiagramLink"/></a:KeyValueOfDiagramObjectKeyanyTypezbwNTnLX><a:KeyValueOfDiagramObjectKeyanyTypezbwNTnLX><a:Key><Key>Links\&lt;Columns\Count of Gender&gt;-&lt;Measures\Gender&gt;\COLUMN</Key></a:Key><a:Value i:type="MeasureGridViewStateIDiagramLinkEndpoint"/></a:KeyValueOfDiagramObjectKeyanyTypezbwNTnLX><a:KeyValueOfDiagramObjectKeyanyTypezbwNTnLX><a:Key><Key>Links\&lt;Columns\Count of Gender&gt;-&lt;Measures\Gender&gt;\MEASURE</Key></a:Key><a:Value i:type="MeasureGridViewStateIDiagramLinkEndpoint"/></a:KeyValueOfDiagramObjectKeyanyTypezbwNTnLX><a:KeyValueOfDiagramObjectKeyanyTypezbwNTnLX><a:Key><Key>Links\&lt;Columns\Sum of Monthly Base Salary (INR) 2&gt;-&lt;Measures\Monthly Base Salary (INR)&gt;</Key></a:Key><a:Value i:type="MeasureGridViewStateIDiagramLink"/></a:KeyValueOfDiagramObjectKeyanyTypezbwNTnLX><a:KeyValueOfDiagramObjectKeyanyTypezbwNTnLX><a:Key><Key>Links\&lt;Columns\Sum of Monthly Base Salary (INR) 2&gt;-&lt;Measures\Monthly Base Salary (INR)&gt;\COLUMN</Key></a:Key><a:Value i:type="MeasureGridViewStateIDiagramLinkEndpoint"/></a:KeyValueOfDiagramObjectKeyanyTypezbwNTnLX><a:KeyValueOfDiagramObjectKeyanyTypezbwNTnLX><a:Key><Key>Links\&lt;Columns\Sum of Monthly Base Salary (INR) 2&gt;-&lt;Measures\Monthly Base Salary (INR)&gt;\MEASURE</Key></a:Key><a:Value i:type="MeasureGridViewStateIDiagramLinkEndpoint"/></a:KeyValueOfDiagramObjectKeyanyTypezbwNTnLX><a:KeyValueOfDiagramObjectKeyanyTypezbwNTnLX><a:Key><Key>Links\&lt;Columns\Average of Monthly Base Salary (INR) 2&gt;-&lt;Measures\Monthly Base Salary (INR)&gt;</Key></a:Key><a:Value i:type="MeasureGridViewStateIDiagramLink"/></a:KeyValueOfDiagramObjectKeyanyTypezbwNTnLX><a:KeyValueOfDiagramObjectKeyanyTypezbwNTnLX><a:Key><Key>Links\&lt;Columns\Average of Monthly Base Salary (INR) 2&gt;-&lt;Measures\Monthly Base Salary (INR)&gt;\COLUMN</Key></a:Key><a:Value i:type="MeasureGridViewStateIDiagramLinkEndpoint"/></a:KeyValueOfDiagramObjectKeyanyTypezbwNTnLX><a:KeyValueOfDiagramObjectKeyanyTypezbwNTnLX><a:Key><Key>Links\&lt;Columns\Average of Monthly Base Salary (INR) 2&gt;-&lt;Measures\Monthly Base Salary (INR)&gt;\MEASURE</Key></a:Key><a:Value i:type="MeasureGridViewStateIDiagramLinkEndpoint"/></a:KeyValueOfDiagramObjectKeyanyTypezbwNTnLX><a:KeyValueOfDiagramObjectKeyanyTypezbwNTnLX><a:Key><Key>Links\&lt;Columns\Sum of Monthly Premiums&gt;-&lt;Measures\Monthly Premiums&gt;</Key></a:Key><a:Value i:type="MeasureGridViewStateIDiagramLink"/></a:KeyValueOfDiagramObjectKeyanyTypezbwNTnLX><a:KeyValueOfDiagramObjectKeyanyTypezbwNTnLX><a:Key><Key>Links\&lt;Columns\Sum of Monthly Premiums&gt;-&lt;Measures\Monthly Premiums&gt;\COLUMN</Key></a:Key><a:Value i:type="MeasureGridViewStateIDiagramLinkEndpoint"/></a:KeyValueOfDiagramObjectKeyanyTypezbwNTnLX><a:KeyValueOfDiagramObjectKeyanyTypezbwNTnLX><a:Key><Key>Links\&lt;Columns\Sum of Monthly Premiums&gt;-&lt;Measures\Monthly Premiums&gt;\MEASURE</Key></a:Key><a:Value i:type="MeasureGridViewStateIDiagramLinkEndpoint"/></a:KeyValueOfDiagramObjectKeyanyTypezbwNTnLX><a:KeyValueOfDiagramObjectKeyanyTypezbwNTnLX><a:Key><Key>Links\&lt;Columns\Min of Monthly Base Salary (INR)&gt;-&lt;Measures\Monthly Base Salary (INR)&gt;</Key></a:Key><a:Value i:type="MeasureGridViewStateIDiagramLink"/></a:KeyValueOfDiagramObjectKeyanyTypezbwNTnLX><a:KeyValueOfDiagramObjectKeyanyTypezbwNTnLX><a:Key><Key>Links\&lt;Columns\Min of Monthly Base Salary (INR)&gt;-&lt;Measures\Monthly Base Salary (INR)&gt;\COLUMN</Key></a:Key><a:Value i:type="MeasureGridViewStateIDiagramLinkEndpoint"/></a:KeyValueOfDiagramObjectKeyanyTypezbwNTnLX><a:KeyValueOfDiagramObjectKeyanyTypezbwNTnLX><a:Key><Key>Links\&lt;Columns\Min of Monthly Base Salary (INR)&gt;-&lt;Measures\Monthly Base Salary (INR)&gt;\MEASURE</Key></a:Key><a:Value i:type="MeasureGridViewStateIDiagramLinkEndpoint"/></a:KeyValueOfDiagramObjectKeyanyTypezbwNTnLX><a:KeyValueOfDiagramObjectKeyanyTypezbwNTnLX><a:Key><Key>Links\&lt;Columns\StdDev of Monthly Base Salary (INR)&gt;-&lt;Measures\Monthly Base Salary (INR)&gt;</Key></a:Key><a:Value i:type="MeasureGridViewStateIDiagramLink"/></a:KeyValueOfDiagramObjectKeyanyTypezbwNTnLX><a:KeyValueOfDiagramObjectKeyanyTypezbwNTnLX><a:Key><Key>Links\&lt;Columns\StdDev of Monthly Base Salary (INR)&gt;-&lt;Measures\Monthly Base Salary (INR)&gt;\COLUMN</Key></a:Key><a:Value i:type="MeasureGridViewStateIDiagramLinkEndpoint"/></a:KeyValueOfDiagramObjectKeyanyTypezbwNTnLX><a:KeyValueOfDiagramObjectKeyanyTypezbwNTnLX><a:Key><Key>Links\&lt;Columns\StdDev of Monthly Base Salary (INR)&gt;-&lt;Measures\Monthly Base Salary (INR)&gt;\MEASURE</Key></a:Key><a:Value i:type="MeasureGridViewStateIDiagramLinkEndpoint"/></a:KeyValueOfDiagramObjectKeyanyTypezbwNTnLX><a:KeyValueOfDiagramObjectKeyanyTypezbwNTnLX><a:Key><Key>Links\&lt;Columns\Average of Monthly Premiums&gt;-&lt;Measures\Monthly Premiums&gt;</Key></a:Key><a:Value i:type="MeasureGridViewStateIDiagramLink"/></a:KeyValueOfDiagramObjectKeyanyTypezbwNTnLX><a:KeyValueOfDiagramObjectKeyanyTypezbwNTnLX><a:Key><Key>Links\&lt;Columns\Average of Monthly Premiums&gt;-&lt;Measures\Monthly Premiums&gt;\COLUMN</Key></a:Key><a:Value i:type="MeasureGridViewStateIDiagramLinkEndpoint"/></a:KeyValueOfDiagramObjectKeyanyTypezbwNTnLX><a:KeyValueOfDiagramObjectKeyanyTypezbwNTnLX><a:Key><Key>Links\&lt;Columns\Average of Monthly Premiums&gt;-&lt;Measures\Monthly Premiums&gt;\MEASURE</Key></a:Key><a:Value i:type="MeasureGridViewStateIDiagramLinkEndpoint"/></a:KeyValueOfDiagramObjectKeyanyTypezbwNTnLX><a:KeyValueOfDiagramObjectKeyanyTypezbwNTnLX><a:Key><Key>Links\&lt;Columns\Count of Monthly Premiums 2&gt;-&lt;Measures\Monthly Premiums&gt;</Key></a:Key><a:Value i:type="MeasureGridViewStateIDiagramLink"/></a:KeyValueOfDiagramObjectKeyanyTypezbwNTnLX><a:KeyValueOfDiagramObjectKeyanyTypezbwNTnLX><a:Key><Key>Links\&lt;Columns\Count of Monthly Premiums 2&gt;-&lt;Measures\Monthly Premiums&gt;\COLUMN</Key></a:Key><a:Value i:type="MeasureGridViewStateIDiagramLinkEndpoint"/></a:KeyValueOfDiagramObjectKeyanyTypezbwNTnLX><a:KeyValueOfDiagramObjectKeyanyTypezbwNTnLX><a:Key><Key>Links\&lt;Columns\Count of Monthly Premiums 2&gt;-&lt;Measures\Monthly Premiums&gt;\MEASURE</Key></a:Key><a:Value i:type="MeasureGridViewStateIDiagramLinkEndpoint"/></a:KeyValueOfDiagramObjectKeyanyTypezbwNTnLX><a:KeyValueOfDiagramObjectKeyanyTypezbwNTnLX><a:Key><Key>Links\&lt;Columns\Count of Insurance tier&gt;-&lt;Measures\Insurance tier&gt;</Key></a:Key><a:Value i:type="MeasureGridViewStateIDiagramLink"/></a:KeyValueOfDiagramObjectKeyanyTypezbwNTnLX><a:KeyValueOfDiagramObjectKeyanyTypezbwNTnLX><a:Key><Key>Links\&lt;Columns\Count of Insurance tier&gt;-&lt;Measures\Insurance tier&gt;\COLUMN</Key></a:Key><a:Value i:type="MeasureGridViewStateIDiagramLinkEndpoint"/></a:KeyValueOfDiagramObjectKeyanyTypezbwNTnLX><a:KeyValueOfDiagramObjectKeyanyTypezbwNTnLX><a:Key><Key>Links\&lt;Columns\Count of Insurance tier&gt;-&lt;Measures\Insurance tier&gt;\MEASURE</Key></a:Key><a:Value i:type="MeasureGridViewStateIDiagramLinkEndpoint"/></a:KeyValueOfDiagramObjectKeyanyTypezbwNTnLX><a:KeyValueOfDiagramObjectKeyanyTypezbwNTnLX><a:Key><Key>Links\&lt;Columns\Count of Corporate Benefit Plan&gt;-&lt;Measures\Corporate Benefit Plan&gt;</Key></a:Key><a:Value i:type="MeasureGridViewStateIDiagramLink"/></a:KeyValueOfDiagramObjectKeyanyTypezbwNTnLX><a:KeyValueOfDiagramObjectKeyanyTypezbwNTnLX><a:Key><Key>Links\&lt;Columns\Count of Corporate Benefit Plan&gt;-&lt;Measures\Corporate Benefit Plan&gt;\COLUMN</Key></a:Key><a:Value i:type="MeasureGridViewStateIDiagramLinkEndpoint"/></a:KeyValueOfDiagramObjectKeyanyTypezbwNTnLX><a:KeyValueOfDiagramObjectKeyanyTypezbwNTnLX><a:Key><Key>Links\&lt;Columns\Count of Corporate Benefit Plan&gt;-&lt;Measures\Corporate Benefit Plan&gt;\MEASURE</Key></a:Key><a:Value i:type="MeasureGridViewStateIDiagramLinkEndpoint"/></a:KeyValueOfDiagramObjectKeyanyTypezbwNTnLX></ViewStates></DiagramManager.SerializableDiagram><DiagramManager.SerializableDiagram><Adapter i:type="MeasureDiagramSandboxAdapter"><TableName>Indian_Corporate_Workforce_Dataset__2</TableName></Adapter><DiagramType>MeasureDiagram</DiagramType><DisplayContext i:type="MeasureGridDisplayContext"><ColumnTagKey><Key>Static Tags\Column</Key></ColumnTagKey><ErrorsTagGroupKey><Key>TagGroups\Errors</Key></ErrorsTagGroupKey><FormulaTagKey><Key>Static Tags\Formula</Key></FormulaTagKey><HiddenTagKey><Key>Static Tags\Hidden</Key></HiddenTagKey><HostType>ModelerWindow</HostType><ImplicitMeasureSourceColumnLinkTagKey><Key>Static Tags\Implicit Measure and Source Column Link</Key></ImplicitMeasureSourceColumnLinkTagKey><ImplicitMeasureTagKey><Key>Static Tags\Is implicit measure</Key></ImplicitMeasureTagKey><KpiTagKey><Key>Static Tags\KPI</Key></KpiTagKey><MeasureTagKey><Key>Static Tags\Measure</Key></MeasureTagKey><ValueTagKey><Key>Static Tags\Value</Key></ValueTagKey></DisplayContext><DisplayType>MeasureGrid</DisplayType><Key i:type="SandboxEditorMeasureGridKey"><TableName>Indian_Corporate_Workforce_Dataset__2</TableName></Key><Maintainer i:type="MeasureDiagram.MeasureDiagramMaintainer"><AllKeys><DiagramObjectKey><Key>Measure Diagram</Key></DiagramObjectKey><DiagramObjectKey><Key>Actions\Delete</Key></DiagramObjectKey><DiagramObjectKey><Key>Actions\Convert to KPI</Key></DiagramObjectKey><DiagramObjectKey><Key>Actions\Edit KPI</Key></DiagramObjectKey><DiagramObjectKey><Key>Actions\Remove KPI</Key></DiagramObjectKey><DiagramObjectKey><Key>Actions\Copy Measure</Key></DiagramObjectKey><DiagramObjectKey><Key>Actions\AutoMeasure_Sum</Key></DiagramObjectKey><DiagramObjectKey><Key>Actions\AutoMeasure_Count</Key></DiagramObjectKey><DiagramObjectKey><Key>Actions\AutoMeasure_Average</Key></DiagramObjectKey><DiagramObjectKey><Key>Actions\AutoMeasure_Max</Key></DiagramObjectKey><DiagramObjectKey><Key>Actions\AutoMeasure_Min</Key></DiagramObjectKey><DiagramObjectKey><Key>Actions\AutoMeasure_StdDev</Key></DiagramObjectKey><DiagramObjectKey><Key>Actions\AutoMeasure_StdDevp</Key></DiagramObjectKey><DiagramObjectKey><Key>Actions\AutoMeasure_Var</Key></DiagramObjectKey><DiagramObjectKey><Key>Actions\AutoMeasure_Varp</Key></DiagramObjectKey><DiagramObjectKey><Key>Actions\AutoMeasure_DistinctCount</Key></DiagramObjectKey><DiagramObjectKey><Key>Actions\Edit</Key></DiagramObjectKey><DiagramObjectKey><Key>Actions\Create</Key></DiagramObjectKey><DiagramObjectKey><Key>Actions\Format</Key></DiagramObjectKey><DiagramObjectKey><Key>Actions\Edit Description</Key></DiagramObjectKey><DiagramObjectKey><Key>Actions\Hide Measures</Key></DiagramObjectKey><DiagramObjectKey><Key>Actions\Unhide Measures</Key></DiagramObjectKey><DiagramObjectKey><Key>TagGroups\Types</Key></DiagramObjectKey><DiagramObjectKey><Key>TagGroups\Link Types</Key></DiagramObjectKey><DiagramObjectKey><Key>TagGroups\KPI</Key></DiagramObjectKey><DiagramObjectKey><Key>TagGroups\Errors</Key></DiagramObjectKey><DiagramObjectKey><Key>TagGroups\Values and Formulas</Key></DiagramObjectKey><DiagramObjectKey><Key>TagGroups\State</Key></DiagramObjectKey><DiagramObjectKey><Key>Static Tags\Column</Key></DiagramObjectKey><DiagramObjectKey><Key>Static Tags\Measure</Key></DiagramObjectKey><DiagramObjectKey><Key>Static Tags\Implicit Measure and Source Column Link</Key></DiagramObjectKey><DiagramObjectKey><Key>Static Tags\KPI</Key></DiagramObjectKey><DiagramObjectKey><Key>Static Tags\Semantic Error</Key></DiagramObjectKey><DiagramObjectKey><Key>Static Tags\Calculation Error</Key></DiagramObjectKey><DiagramObjectKey><Key>Static Tags\Value</Key></DiagramObjectKey><DiagramObjectKey><Key>Static Tags\Formula</Key></DiagramObjectKey><DiagramObjectKey><Key>Static Tags\Evaluation in progress</Key></DiagramObjectKey><DiagramObjectKey><Key>Static Tags\Is implicit measure</Key></DiagramObjectKey><DiagramObjectKey><Key>Static Tags\Hidden</Key></DiagramObjectKey><DiagramObjectKey><Key>Static Tags\Not in perspective</Key></DiagramObjectKey><DiagramObjectKey><Key>Static Tags\Is readonly</Key></DiagramObjectKey><DiagramObjectKey><Key>Columns\Employee ID</Key></DiagramObjectKey><DiagramObjectKey><Key>Columns\Full Name</Key></DiagramObjectKey><DiagramObjectKey><Key>Columns\Gender</Key></DiagramObjectKey><DiagramObjectKey><Key>Columns\Department</Key></DiagramObjectKey><DiagramObjectKey><Key>Columns\Location</Key></DiagramObjectKey><DiagramObjectKey><Key>Columns\Monthly Base Salary (INR)</Key></DiagramObjectKey><DiagramObjectKey><Key>Columns\Corporate Benefit Plan</Key></DiagramObjectKey><DiagramObjectKey><Key>Columns\Insurance tier</Key></DiagramObjectKey><DiagramObjectKey><Key>Columns\Monthly Premiums</Key></DiagramObjectKey><DiagramObjectKey><Key>Columns\Salary Bracket</Key></DiagramObjectKey></AllKeys><SelectedKeys/></Maintainer><ViewStateFactoryType>Microsoft.AnalysisServices.Common.MeasureGridViewStateFactory</ViewStateFactoryType><ViewStates xmlns:a="http://schemas.microsoft.com/2003/10/Serialization/Arrays"><a:KeyValueOfDiagramObjectKeyanyTypezbwNTnLX><a:Key><Key>Measure Diagram</Key></a:Key><a:Value i:type="MeasureGridDiagramViewState"><Texts/></a:Value></a:KeyValueOfDiagramObjectKeyanyTypezbwNTnLX><a:KeyValueOfDiagramObjectKeyanyTypezbwNTnLX><a:Key><Key>Actions\Delete</Key></a:Key><a:Value i:type="MeasureGridViewStateIDiagramAction"/></a:KeyValueOfDiagramObjectKeyanyTypezbwNTnLX><a:KeyValueOfDiagramObjectKeyanyTypezbwNTnLX><a:Key><Key>Actions\Convert to KPI</Key></a:Key><a:Value i:type="MeasureGridViewStateIDiagramAction"/></a:KeyValueOfDiagramObjectKeyanyTypezbwNTnLX><a:KeyValueOfDiagramObjectKeyanyTypezbwNTnLX><a:Key><Key>Actions\Edit KPI</Key></a:Key><a:Value i:type="MeasureGridViewStateIDiagramAction"/></a:KeyValueOfDiagramObjectKeyanyTypezbwNTnLX><a:KeyValueOfDiagramObjectKeyanyTypezbwNTnLX><a:Key><Key>Actions\Remove KPI</Key></a:Key><a:Value i:type="MeasureGridViewStateIDiagramAction"/></a:KeyValueOfDiagramObjectKeyanyTypezbwNTnLX><a:KeyValueOfDiagramObjectKeyanyTypezbwNTnLX><a:Key><Key>Actions\Copy Measure</Key></a:Key><a:Value i:type="MeasureGridViewStateIDiagramAction"/></a:KeyValueOfDiagramObjectKeyanyTypezbwNTnLX><a:KeyValueOfDiagramObjectKeyanyTypezbwNTnLX><a:Key><Key>Actions\AutoMeasure_Sum</Key></a:Key><a:Value i:type="MeasureGridViewStateIDiagramAction"/></a:KeyValueOfDiagramObjectKeyanyTypezbwNTnLX><a:KeyValueOfDiagramObjectKeyanyTypezbwNTnLX><a:Key><Key>Actions\AutoMeasure_Count</Key></a:Key><a:Value i:type="MeasureGridViewStateIDiagramAction"/></a:KeyValueOfDiagramObjectKeyanyTypezbwNTnLX><a:KeyValueOfDiagramObjectKeyanyTypezbwNTnLX><a:Key><Key>Actions\AutoMeasure_Average</Key></a:Key><a:Value i:type="MeasureGridViewStateIDiagramAction"/></a:KeyValueOfDiagramObjectKeyanyTypezbwNTnLX><a:KeyValueOfDiagramObjectKeyanyTypezbwNTnLX><a:Key><Key>Actions\AutoMeasure_Max</Key></a:Key><a:Value i:type="MeasureGridViewStateIDiagramAction"/></a:KeyValueOfDiagramObjectKeyanyTypezbwNTnLX><a:KeyValueOfDiagramObjectKeyanyTypezbwNTnLX><a:Key><Key>Actions\AutoMeasure_Min</Key></a:Key><a:Value i:type="MeasureGridViewStateIDiagramAction"/></a:KeyValueOfDiagramObjectKeyanyTypezbwNTnLX><a:KeyValueOfDiagramObjectKeyanyTypezbwNTnLX><a:Key><Key>Actions\AutoMeasure_StdDev</Key></a:Key><a:Value i:type="MeasureGridViewStateIDiagramAction"/></a:KeyValueOfDiagramObjectKeyanyTypezbwNTnLX><a:KeyValueOfDiagramObjectKeyanyTypezbwNTnLX><a:Key><Key>Actions\AutoMeasure_StdDevp</Key></a:Key><a:Value i:type="MeasureGridViewStateIDiagramAction"/></a:KeyValueOfDiagramObjectKeyanyTypezbwNTnLX><a:KeyValueOfDiagramObjectKeyanyTypezbwNTnLX><a:Key><Key>Actions\AutoMeasure_Var</Key></a:Key><a:Value i:type="MeasureGridViewStateIDiagramAction"/></a:KeyValueOfDiagramObjectKeyanyTypezbwNTnLX><a:KeyValueOfDiagramObjectKeyanyTypezbwNTnLX><a:Key><Key>Actions\AutoMeasure_Varp</Key></a:Key><a:Value i:type="MeasureGridViewStateIDiagramAction"/></a:KeyValueOfDiagramObjectKeyanyTypezbwNTnLX><a:KeyValueOfDiagramObjectKeyanyTypezbwNTnLX><a:Key><Key>Actions\AutoMeasure_DistinctCount</Key></a:Key><a:Value i:type="MeasureGridViewStateIDiagramAction"/></a:KeyValueOfDiagramObjectKeyanyTypezbwNTnLX><a:KeyValueOfDiagramObjectKeyanyTypezbwNTnLX><a:Key><Key>Actions\Edit</Key></a:Key><a:Value i:type="MeasureGridViewStateIDiagramAction"/></a:KeyValueOfDiagramObjectKeyanyTypezbwNTnLX><a:KeyValueOfDiagramObjectKeyanyTypezbwNTnLX><a:Key><Key>Actions\Create</Key></a:Key><a:Value i:type="MeasureGridViewStateIDiagramAction"/></a:KeyValueOfDiagramObjectKeyanyTypezbwNTnLX><a:KeyValueOfDiagramObjectKeyanyTypezbwNTnLX><a:Key><Key>Actions\Format</Key></a:Key><a:Value i:type="MeasureGridViewStateIDiagramAction"/></a:KeyValueOfDiagramObjectKeyanyTypezbwNTnLX><a:KeyValueOfDiagramObjectKeyanyTypezbwNTnLX><a:Key><Key>Actions\Edit Description</Key></a:Key><a:Value i:type="MeasureGridViewStateIDiagramAction"/></a:KeyValueOfDiagramObjectKeyanyTypezbwNTnLX><a:KeyValueOfDiagramObjectKeyanyTypezbwNTnLX><a:Key><Key>Actions\Hide Measures</Key></a:Key><a:Value i:type="MeasureGridViewStateIDiagramAction"/></a:KeyValueOfDiagramObjectKeyanyTypezbwNTnLX><a:KeyValueOfDiagramObjectKeyanyTypezbwNTnLX><a:Key><Key>Actions\Unhide Measures</Key></a:Key><a:Value i:type="MeasureGridViewStateIDiagramAction"/></a:KeyValueOfDiagramObjectKeyanyTypezbwNTnLX><a:KeyValueOfDiagramObjectKeyanyTypezbwNTnLX><a:Key><Key>TagGroups\Types</Key></a:Key><a:Value i:type="MeasureGridViewStateIDiagramTagGroup"/></a:KeyValueOfDiagramObjectKeyanyTypezbwNTnLX><a:KeyValueOfDiagramObjectKeyanyTypezbwNTnLX><a:Key><Key>TagGroups\Link Types</Key></a:Key><a:Value i:type="MeasureGridViewStateIDiagramTagGroup"/></a:KeyValueOfDiagramObjectKeyanyTypezbwNTnLX><a:KeyValueOfDiagramObjectKeyanyTypezbwNTnLX><a:Key><Key>TagGroups\KPI</Key></a:Key><a:Value i:type="MeasureGridViewStateIDiagramTagGroup"/></a:KeyValueOfDiagramObjectKeyanyTypezbwNTnLX><a:KeyValueOfDiagramObjectKeyanyTypezbwNTnLX><a:Key><Key>TagGroups\Errors</Key></a:Key><a:Value i:type="MeasureGridViewStateIDiagramTagGroup"/></a:KeyValueOfDiagramObjectKeyanyTypezbwNTnLX><a:KeyValueOfDiagramObjectKeyanyTypezbwNTnLX><a:Key><Key>TagGroups\Values and Formulas</Key></a:Key><a:Value i:type="MeasureGridViewStateIDiagramTagGroup"/></a:KeyValueOfDiagramObjectKeyanyTypezbwNTnLX><a:KeyValueOfDiagramObjectKeyanyTypezbwNTnLX><a:Key><Key>TagGroups\State</Key></a:Key><a:Value i:type="MeasureGridViewStateIDiagramTagGroup"/></a:KeyValueOfDiagramObjectKeyanyTypezbwNTnLX><a:KeyValueOfDiagramObjectKeyanyTypezbwNTnLX><a:Key><Key>Static Tags\Column</Key></a:Key><a:Value i:type="MeasureGridViewStateIDiagramTag"/></a:KeyValueOfDiagramObjectKeyanyTypezbwNTnLX><a:KeyValueOfDiagramObjectKeyanyTypezbwNTnLX><a:Key><Key>Static Tags\Measure</Key></a:Key><a:Value i:type="MeasureGridViewStateIDiagramTag"/></a:KeyValueOfDiagramObjectKeyanyTypezbwNTnLX><a:KeyValueOfDiagramObjectKeyanyTypezbwNTnLX><a:Key><Key>Static Tags\Implicit Measure and Source Column Link</Key></a:Key><a:Value i:type="MeasureGridViewStateIDiagramTag"/></a:KeyValueOfDiagramObjectKeyanyTypezbwNTnLX><a:KeyValueOfDiagramObjectKeyanyTypezbwNTnLX><a:Key><Key>Static Tags\KPI</Key></a:Key><a:Value i:type="MeasureGridViewStateIDiagramTag"/></a:KeyValueOfDiagramObjectKeyanyTypezbwNTnLX><a:KeyValueOfDiagramObjectKeyanyTypezbwNTnLX><a:Key><Key>Static Tags\Semantic Error</Key></a:Key><a:Value i:type="MeasureGridViewStateIDiagramTag"/></a:KeyValueOfDiagramObjectKeyanyTypezbwNTnLX><a:KeyValueOfDiagramObjectKeyanyTypezbwNTnLX><a:Key><Key>Static Tags\Calculation Error</Key></a:Key><a:Value i:type="MeasureGridViewStateIDiagramTag"/></a:KeyValueOfDiagramObjectKeyanyTypezbwNTnLX><a:KeyValueOfDiagramObjectKeyanyTypezbwNTnLX><a:Key><Key>Static Tags\Value</Key></a:Key><a:Value i:type="MeasureGridViewStateIDiagramTag"/></a:KeyValueOfDiagramObjectKeyanyTypezbwNTnLX><a:KeyValueOfDiagramObjectKeyanyTypezbwNTnLX><a:Key><Key>Static Tags\Formula</Key></a:Key><a:Value i:type="MeasureGridViewStateIDiagramTag"/></a:KeyValueOfDiagramObjectKeyanyTypezbwNTnLX><a:KeyValueOfDiagramObjectKeyanyTypezbwNTnLX><a:Key><Key>Static Tags\Evaluation in progress</Key></a:Key><a:Value i:type="MeasureGridViewStateIDiagramTag"/></a:KeyValueOfDiagramObjectKeyanyTypezbwNTnLX><a:KeyValueOfDiagramObjectKeyanyTypezbwNTnLX><a:Key><Key>Static Tags\Is implicit measure</Key></a:Key><a:Value i:type="MeasureGridViewStateIDiagramTag"/></a:KeyValueOfDiagramObjectKeyanyTypezbwNTnLX><a:KeyValueOfDiagramObjectKeyanyTypezbwNTnLX><a:Key><Key>Static Tags\Hidden</Key></a:Key><a:Value i:type="MeasureGridViewStateIDiagramTag"/></a:KeyValueOfDiagramObjectKeyanyTypezbwNTnLX><a:KeyValueOfDiagramObjectKeyanyTypezbwNTnLX><a:Key><Key>Static Tags\Not in perspective</Key></a:Key><a:Value i:type="MeasureGridViewStateIDiagramTag"/></a:KeyValueOfDiagramObjectKeyanyTypezbwNTnLX><a:KeyValueOfDiagramObjectKeyanyTypezbwNTnLX><a:Key><Key>Static Tags\Is readonly</Key></a:Key><a:Value i:type="MeasureGridViewStateIDiagramTag"/></a:KeyValueOfDiagramObjectKeyanyTypezbwNTnLX><a:KeyValueOfDiagramObjectKeyanyTypezbwNTnLX><a:Key><Key>Columns\Employee ID</Key></a:Key><a:Value i:type="MeasureGridNodeViewState"><LayedOut>true</LayedOut></a:Value></a:KeyValueOfDiagramObjectKeyanyTypezbwNTnLX><a:KeyValueOfDiagramObjectKeyanyTypezbwNTnLX><a:Key><Key>Columns\Full Name</Key></a:Key><a:Value i:type="MeasureGridNodeViewState"><Column>1</Column><LayedOut>true</LayedOut></a:Value></a:KeyValueOfDiagramObjectKeyanyTypezbwNTnLX><a:KeyValueOfDiagramObjectKeyanyTypezbwNTnLX><a:Key><Key>Columns\Gender</Key></a:Key><a:Value i:type="MeasureGridNodeViewState"><Column>2</Column><LayedOut>true</LayedOut></a:Value></a:KeyValueOfDiagramObjectKeyanyTypezbwNTnLX><a:KeyValueOfDiagramObjectKeyanyTypezbwNTnLX><a:Key><Key>Columns\Department</Key></a:Key><a:Value i:type="MeasureGridNodeViewState"><Column>3</Column><LayedOut>true</LayedOut></a:Value></a:KeyValueOfDiagramObjectKeyanyTypezbwNTnLX><a:KeyValueOfDiagramObjectKeyanyTypezbwNTnLX><a:Key><Key>Columns\Location</Key></a:Key><a:Value i:type="MeasureGridNodeViewState"><Column>4</Column><LayedOut>true</LayedOut></a:Value></a:KeyValueOfDiagramObjectKeyanyTypezbwNTnLX><a:KeyValueOfDiagramObjectKeyanyTypezbwNTnLX><a:Key><Key>Columns\Monthly Base Salary (INR)</Key></a:Key><a:Value i:type="MeasureGridNodeViewState"><Column>5</Column><LayedOut>true</LayedOut></a:Value></a:KeyValueOfDiagramObjectKeyanyTypezbwNTnLX><a:KeyValueOfDiagramObjectKeyanyTypezbwNTnLX><a:Key><Key>Columns\Corporate Benefit Plan</Key></a:Key><a:Value i:type="MeasureGridNodeViewState"><Column>6</Column><LayedOut>true</LayedOut></a:Value></a:KeyValueOfDiagramObjectKeyanyTypezbwNTnLX><a:KeyValueOfDiagramObjectKeyanyTypezbwNTnLX><a:Key><Key>Columns\Insurance tier</Key></a:Key><a:Value i:type="MeasureGridNodeViewState"><Column>7</Column><LayedOut>true</LayedOut></a:Value></a:KeyValueOfDiagramObjectKeyanyTypezbwNTnLX><a:KeyValueOfDiagramObjectKeyanyTypezbwNTnLX><a:Key><Key>Columns\Monthly Premiums</Key></a:Key><a:Value i:type="MeasureGridNodeViewState"><Column>8</Column><LayedOut>true</LayedOut></a:Value></a:KeyValueOfDiagramObjectKeyanyTypezbwNTnLX><a:KeyValueOfDiagramObjectKeyanyTypezbwNTnLX><a:Key><Key>Columns\Salary Bracket</Key></a:Key><a:Value i:type="MeasureGridNodeViewState"><Column>9</Column><LayedOut>true</LayedOut></a:Value></a:KeyValueOfDiagramObjectKeyanyTypezbwNTnLX></ViewStates></DiagramManager.SerializableDiagram><DiagramManager.SerializableDiagram><Adapter i:type="ERDiagramSandboxAdapter"><PerspectiveName/></Adapter><DiagramType>ERDiagram</DiagramType><DisplayContext i:type="DiagramDisplayContext"><PrimaryTagGroupKey><Key>TagGroups\Node Types</Key></PrimaryTagGroupKey><ShowHidden>true</ShowHidden><ShownTagGroupKeys><DiagramObjectKey><Key>TagGroups\Warnings</Key></DiagramObjectKey></ShownTagGroupKeys><TagGroupHighlightsKey><Key>TagGroups\Highlight Reasons</Key></TagGroupHighlightsKey><TagHiddenKey><Key>Static Tags\Hidden</Key></TagHiddenKey><TagHighlightDisappearingKey><Key>Static Tags\Deleting</Key></TagHighlightDisappearingKey><TagHighlightPreviewLinkCreationKey><Key>Static Tags\Creating Valid Relationship</Key></TagHighlightPreviewLinkCreationKey><TagHighlightRelatedKey><Key>Static Tags\Related</Key></TagHighlightRelatedKey><TagHintTextKey><Key>Static Tags\Hint Text</Key></TagHintTextKey><TagImplicitMeasureKey><Key>Static Tags\Is Implicit Measure</Key></TagImplicitMeasureKey><TagInactiveKey><Key>Static Tags\Inactive</Key></TagInactiveKey><TagPreviewActiveKey><Key>Static Tags\Preview Active</Key></TagPreviewActiveKey><TagPreviewInactiveKey><Key>Static Tags\Preview Inactive</Key></TagPreviewInactiveKey></DisplayContext><DisplayType>DiagramDisplay</DisplayType><Key i:type="SandboxEditorDiagramKey"><Perspective/></Key><Maintainer i:type="ERDiagram.ERDiagramMaintainer"><AllKeys><DiagramObjectKey><Key>ER Diagram</Key></DiagramObjectKey><DiagramObjectKey><Key>Actions\Delete</Key></DiagramObjectKey><DiagramObjectKey><Key>Actions\Delete from model</Key></DiagramObjectKey><DiagramObjectKey><Key>Actions\Select</Key></DiagramObjectKey><DiagramObjectKey><Key>Actions\Create Relationship</Key></DiagramObjectKey><DiagramObjectKey><Key>Actions\Launch Create Relationship Dialog</Key></DiagramObjectKey><DiagramObjectKey><Key>Actions\Launch Edit Relationship Dialog</Key></DiagramObjectKey><DiagramObjectKey><Key>Actions\Create Hierarchy with Levels</Key></DiagramObjectKey><DiagramObjectKey><Key>Actions\Create Empty Hierarchy</Key></DiagramObjectKey><DiagramObjectKey><Key>Actions\Remove from Hierarchy</Key></DiagramObjectKey><DiagramObjectKey><Key>Actions\Rename Node</Key></DiagramObjectKey><DiagramObjectKey><Key>Actions\Move Node</Key></DiagramObjectKey><DiagramObjectKey><Key>Actions\Hide the entity</Key></DiagramObjectKey><DiagramObjectKey><Key>Actions\Unhide the entity</Key></DiagramObjectKey><DiagramObjectKey><Key>Actions\GoTo</Key></DiagramObjectKey><DiagramObjectKey><Key>Actions\Move Up</Key></DiagramObjectKey><DiagramObjectKey><Key>Actions\Move Down</Key></DiagramObjectKey><DiagramObjectKey><Key>Actions\Mark Relationship as Active</Key></DiagramObjectKey><DiagramObjectKey><Key>Actions\Mark Relationship as Inactive</Key></DiagramObjectKey><DiagramObjectKey><Key>Actions\Relationship Cross Filter Direction Single</Key></DiagramObjectKey><DiagramObjectKey><Key>Actions\Relationship Cross Filter Direction Both</Key></DiagramObjectKey><DiagramObjectKey><Key>Actions\Relationship End Point Multiplicity One</Key></DiagramObjectKey><DiagramObjectKey><Key>Actions\Relationship End Point Multiplicity Many</Key></DiagramObjectKey><DiagramObjectKey><Key>TagGroups\Node Types</Key></DiagramObjectKey><DiagramObjectKey><Key>TagGroups\Additional Info Types</Key></DiagramObjectKey><DiagramObjectKey><Key>TagGroups\Calculated Columns</Key></DiagramObjectKey><DiagramObjectKey><Key>TagGroups\Warnings</Key></DiagramObjectKey><DiagramObjectKey><Key>TagGroups\Highlight Reasons</Key></DiagramObjectKey><DiagramObjectKey><Key>TagGroups\State</Key></DiagramObjectKey><DiagramObjectKey><Key>TagGroups\Link Roles</Key></DiagramObjectKey><DiagramObjectKey><Key>TagGroups\Link Types</Key></DiagramObjectKey><DiagramObjectKey><Key>TagGroups\Link States</Key></DiagramObjectKey><DiagramObjectKey><Key>Diagram\TagGroups\Deletion Impacts</Key></DiagramObjectKey><DiagramObjectKey><Key>TagGroups\Hierarchy Identifiers</Key></DiagramObjectKey><DiagramObjectKey><Key>TagGroups\Table Identifiers</Key></DiagramObjectKey><DiagramObjectKey><Key>TagGroups\Action Descriptors</Key></DiagramObjectKey><DiagramObjectKey><Key>TagGroups\Hint Texts</Key></DiagramObjectKey><DiagramObjectKey><Key>Static Tags\Table</Key></DiagramObjectKey><DiagramObjectKey><Key>Static Tags\Column</Key></DiagramObjectKey><DiagramObjectKey><Key>Static Tags\Measure</Key></DiagramObjectKey><DiagramObjectKey><Key>Static Tags\Hierarchy</Key></DiagramObjectKey><DiagramObjectKey><Key>Static Tags\HierarchyLevel</Key></DiagramObjectKey><DiagramObjectKey><Key>Static Tags\KPI</Key></DiagramObjectKey><DiagramObjectKey><Key>Static Tags\Additional Info for Source Column</Key></DiagramObjectKey><DiagramObjectKey><Key>Static Tags\Calculated Column</Key></DiagramObjectKey><DiagramObjectKey><Key>Static Tags\Error</Key></DiagramObjectKey><DiagramObjectKey><Key>Static Tags\NotCalculated</Key></DiagramObjectKey><DiagramObjectKey><Key>Static Tags\Is Implicit Measure</Key></DiagramObjectKey><DiagramObjectKey><Key>Static Tags\Related</Key></DiagramObjectKey><DiagramObjectKey><Key>Static Tags\Deleting</Key></DiagramObjectKey><DiagramObjectKey><Key>Static Tags\Creating Valid Relationship</Key></DiagramObjectKey><DiagramObjectKey><Key>Static Tags\Hidden</Key></DiagramObjectKey><DiagramObjectKey><Key>Static Tags\Linked Table Column</Key></DiagramObjectKey><DiagramObjectKey><Key>Static Tags\Is readonly</Key></DiagramObjectKey><DiagramObjectKey><Key>Static Tags\FK</Key></DiagramObjectKey><DiagramObjectKey><Key>Static Tags\PK</Key></DiagramObjectKey><DiagramObjectKey><Key>Static Tags\Relationship</Key></DiagramObjectKey><DiagramObjectKey><Key>Static Tags\Active</Key></DiagramObjectKey><DiagramObjectKey><Key>Static Tags\Inactive</Key></DiagramObjectKey><DiagramObjectKey><Key>Static Tags\Preview Active</Key></DiagramObjectKey><DiagramObjectKey><Key>Static Tags\Preview Inactive</Key></DiagramObjectKey><DiagramObjectKey><Key>Static Tags\CrossFilterDirection</Key></DiagramObjectKey><DiagramObjectKey><Key>Static Tags\CrossFilterDirectionSingle</Key></DiagramObjectKey><DiagramObjectKey><Key>Static Tags\CrossFilterDirectionBoth</Key></DiagramObjectKey><DiagramObjectKey><Key>Static Tags\EndPointMultiplicityOne</Key></DiagramObjectKey><DiagramObjectKey><Key>Static Tags\EndPointMultiplicityMany</Key></DiagramObjectKey><DiagramObjectKey><Key>Diagram\TagGroups\Highlight Reasons\Tags\Hard Deletion Impact</Key></DiagramObjectKey><DiagramObjectKey><Key>Diagram\TagGroups\Highlight Reasons\Tags\Minimum Deletion Impact</Key></DiagramObjectKey><DiagramObjectKey><Key>Static Tags\Can be part of relationship</Key></DiagramObjectKey><DiagramObjectKey><Key>Static Tags\Hint Text</Key></DiagramObjectKey><DiagramObjectKey><Key>Dynamic Tags\Tables\&lt;Tables\Indian_Employee_Data&gt;</Key></DiagramObjectKey><DiagramObjectKey><Key>Dynamic Tags\Tables\&lt;Tables\Query_Audit_Exceptions&gt;</Key></DiagramObjectKey><DiagramObjectKey><Key>Dynamic Tags\Tables\&lt;Tables\Query_Audit_Exceptions 1&gt;</Key></DiagramObjectKey><DiagramObjectKey><Key>Tables\Indian_Employee_Data</Key></DiagramObjectKey><DiagramObjectKey><Key>Tables\Indian_Employee_Data\Columns\Employee ID</Key></DiagramObjectKey><DiagramObjectKey><Key>Tables\Indian_Employee_Data\Columns\Full Name</Key></DiagramObjectKey><DiagramObjectKey><Key>Tables\Indian_Employee_Data\Columns\Gender</Key></DiagramObjectKey><DiagramObjectKey><Key>Tables\Indian_Employee_Data\Columns\Department</Key></DiagramObjectKey><DiagramObjectKey><Key>Tables\Indian_Employee_Data\Columns\Location</Key></DiagramObjectKey><DiagramObjectKey><Key>Tables\Indian_Employee_Data\Columns\Monthly Base Salary (INR)</Key></DiagramObjectKey><DiagramObjectKey><Key>Tables\Indian_Employee_Data\Columns\Corporate Benefit Plan</Key></DiagramObjectKey><DiagramObjectKey><Key>Tables\Indian_Employee_Data\Columns\Insurance tier</Key></DiagramObjectKey><DiagramObjectKey><Key>Tables\Indian_Employee_Data\Columns\Monthly Premiums</Key></DiagramObjectKey><DiagramObjectKey><Key>Tables\Indian_Employee_Data\Columns\Salary Bracket</Key></DiagramObjectKey><DiagramObjectKey><Key>Tables\Indian_Employee_Data\Columns\Salary Tier</Key></DiagramObjectKey><DiagramObjectKey><Key>Tables\Indian_Employee_Data\Columns\Vendor Survey Job Code</Key></DiagramObjectKey><DiagramObjectKey><Key>Tables\Indian_Employee_Data\Columns\Vendor Global Group Name</Key></DiagramObjectKey><DiagramObjectKey><Key>Tables\Indian_Employee_Data\Measures\Gender Pay Gap</Key></DiagramObjectKey><DiagramObjectKey><Key>Tables\Indian_Employee_Data\Measures\Salary Spread within Tier</Key></DiagramObjectKey><DiagramObjectKey><Key>Tables\Indian_Employee_Data\Measures\Sum of Monthly Base Salary (INR)</Key></DiagramObjectKey><DiagramObjectKey><Key>Tables\Indian_Employee_Data\Sum of Monthly Base Salary (INR)\Additional Info\Implicit Measure</Key></DiagramObjectKey><DiagramObjectKey><Key>Tables\Indian_Employee_Data\Measures\Average of Monthly Base Salary (INR)</Key></DiagramObjectKey><DiagramObjectKey><Key>Tables\Indian_Employee_Data\Average of Monthly Base Salary (INR)\Additional Info\Implicit Measure</Key></DiagramObjectKey><DiagramObjectKey><Key>Tables\Indian_Employee_Data\Measures\Count of Department</Key></DiagramObjectKey><DiagramObjectKey><Key>Tables\Indian_Employee_Data\Count of Department\Additional Info\Implicit Measure</Key></DiagramObjectKey><DiagramObjectKey><Key>Tables\Indian_Employee_Data\Measures\Count of Salary Tier</Key></DiagramObjectKey><DiagramObjectKey><Key>Tables\Indian_Employee_Data\Count of Salary Tier\Additional Info\Implicit Measure</Key></DiagramObjectKey><DiagramObjectKey><Key>Tables\Query_Audit_Exceptions</Key></DiagramObjectKey><DiagramObjectKey><Key>Tables\Query_Audit_Exceptions\Columns\Employee ID</Key></DiagramObjectKey><DiagramObjectKey><Key>Tables\Query_Audit_Exceptions\Columns\Full Name</Key></DiagramObjectKey><DiagramObjectKey><Key>Tables\Query_Audit_Exceptions\Columns\Gender</Key></DiagramObjectKey><DiagramObjectKey><Key>Tables\Query_Audit_Exceptions\Columns\Department</Key></DiagramObjectKey><DiagramObjectKey><Key>Tables\Query_Audit_Exceptions\Columns\Location</Key></DiagramObjectKey><DiagramObjectKey><Key>Tables\Query_Audit_Exceptions\Columns\Monthly Base Salary (INR)</Key></DiagramObjectKey><DiagramObjectKey><Key>Tables\Query_Audit_Exceptions\Columns\Corporate Benefit Plan</Key></DiagramObjectKey><DiagramObjectKey><Key>Tables\Query_Audit_Exceptions\Columns\Insurance tier</Key></DiagramObjectKey><DiagramObjectKey><Key>Tables\Query_Audit_Exceptions\Columns\Monthly Premiums</Key></DiagramObjectKey><DiagramObjectKey><Key>Tables\Query_Audit_Exceptions\Columns\Salary Bracket</Key></DiagramObjectKey><DiagramObjectKey><Key>Tables\Query_Audit_Exceptions\Columns\Salary Tier</Key></DiagramObjectKey><DiagramObjectKey><Key>Tables\Query_Audit_Exceptions\Columns\Vendor Survey Job Code</Key></DiagramObjectKey><DiagramObjectKey><Key>Tables\Query_Audit_Exceptions\Columns\Vendor Global Group Name</Key></DiagramObjectKey><DiagramObjectKey><Key>Tables\Query_Audit_Exceptions 1</Key></DiagramObjectKey><DiagramObjectKey><Key>Tables\Query_Audit_Exceptions 1\Columns\Employee ID</Key></DiagramObjectKey><DiagramObjectKey><Key>Tables\Query_Audit_Exceptions 1\Columns\Full Name</Key></DiagramObjectKey><DiagramObjectKey><Key>Tables\Query_Audit_Exceptions 1\Columns\Gender</Key></DiagramObjectKey><DiagramObjectKey><Key>Tables\Query_Audit_Exceptions 1\Columns\Department</Key></DiagramObjectKey><DiagramObjectKey><Key>Tables\Query_Audit_Exceptions 1\Columns\Location</Key></DiagramObjectKey><DiagramObjectKey><Key>Tables\Query_Audit_Exceptions 1\Columns\Monthly Base Salary (INR)</Key></DiagramObjectKey><DiagramObjectKey><Key>Tables\Query_Audit_Exceptions 1\Columns\Corporate Benefit Plan</Key></DiagramObjectKey><DiagramObjectKey><Key>Tables\Query_Audit_Exceptions 1\Columns\Insurance tier</Key></DiagramObjectKey><DiagramObjectKey><Key>Tables\Query_Audit_Exceptions 1\Columns\Monthly Premiums</Key></DiagramObjectKey><DiagramObjectKey><Key>Tables\Query_Audit_Exceptions 1\Columns\Salary Bracket</Key></DiagramObjectKey><DiagramObjectKey><Key>Tables\Query_Audit_Exceptions 1\Columns\Salary Tier</Key></DiagramObjectKey><DiagramObjectKey><Key>Tables\Query_Audit_Exceptions 1\Columns\Vendor Survey Job Code</Key></DiagramObjectKey><DiagramObjectKey><Key>Tables\Query_Audit_Exceptions 1\Columns\Vendor Global Group Name</Key></DiagramObjectKey></AllKeys><SelectedKeys/></Maintainer><ViewStateFactoryType>Microsoft.AnalysisServices.Common.DiagramDisplayViewStateFactory</ViewStateFactoryType><ViewStates xmlns:a="http://schemas.microsoft.com/2003/10/Serialization/Arrays"><a:KeyValueOfDiagramObjectKeyanyTypezbwNTnLX><a:Key><Key>ER Diagram</Key></a:Key><a:Value i:type="DiagramDisplayDiagramViewState"><LayedOut>true</LayedOut><ZoomPercent>100</ZoomPercent></a:Value></a:KeyValueOfDiagramObjectKeyanyTypezbwNTnLX><a:KeyValueOfDiagramObjectKeyanyTypezbwNTnLX><a:Key><Key>Actions\Delete</Key></a:Key><a:Value i:type="DiagramDisplayViewStateIDiagramAction"/></a:KeyValueOfDiagramObjectKeyanyTypezbwNTnLX><a:KeyValueOfDiagramObjectKeyanyTypezbwNTnLX><a:Key><Key>Actions\Delete from model</Key></a:Key><a:Value i:type="DiagramDisplayViewStateIDiagramAction"/></a:KeyValueOfDiagramObjectKeyanyTypezbwNTnLX><a:KeyValueOfDiagramObjectKeyanyTypezbwNTnLX><a:Key><Key>Actions\Select</Key></a:Key><a:Value i:type="DiagramDisplayViewStateIDiagramAction"/></a:KeyValueOfDiagramObjectKeyanyTypezbwNTnLX><a:KeyValueOfDiagramObjectKeyanyTypezbwNTnLX><a:Key><Key>Actions\Create Relationship</Key></a:Key><a:Value i:type="DiagramDisplayViewStateIDiagramAction"/></a:KeyValueOfDiagramObjectKeyanyTypezbwNTnLX><a:KeyValueOfDiagramObjectKeyanyTypezbwNTnLX><a:Key><Key>Actions\Launch Create Relationship Dialog</Key></a:Key><a:Value i:type="DiagramDisplayViewStateIDiagramAction"/></a:KeyValueOfDiagramObjectKeyanyTypezbwNTnLX><a:KeyValueOfDiagramObjectKeyanyTypezbwNTnLX><a:Key><Key>Actions\Launch Edit Relationship Dialog</Key></a:Key><a:Value i:type="DiagramDisplayViewStateIDiagramAction"/></a:KeyValueOfDiagramObjectKeyanyTypezbwNTnLX><a:KeyValueOfDiagramObjectKeyanyTypezbwNTnLX><a:Key><Key>Actions\Create Hierarchy with Levels</Key></a:Key><a:Value i:type="DiagramDisplayViewStateIDiagramAction"/></a:KeyValueOfDiagramObjectKeyanyTypezbwNTnLX><a:KeyValueOfDiagramObjectKeyanyTypezbwNTnLX><a:Key><Key>Actions\Create Empty Hierarchy</Key></a:Key><a:Value i:type="DiagramDisplayViewStateIDiagramAction"/></a:KeyValueOfDiagramObjectKeyanyTypezbwNTnLX><a:KeyValueOfDiagramObjectKeyanyTypezbwNTnLX><a:Key><Key>Actions\Remove from Hierarchy</Key></a:Key><a:Value i:type="DiagramDisplayViewStateIDiagramAction"/></a:KeyValueOfDiagramObjectKeyanyTypezbwNTnLX><a:KeyValueOfDiagramObjectKeyanyTypezbwNTnLX><a:Key><Key>Actions\Rename Node</Key></a:Key><a:Value i:type="DiagramDisplayViewStateIDiagramAction"/></a:KeyValueOfDiagramObjectKeyanyTypezbwNTnLX><a:KeyValueOfDiagramObjectKeyanyTypezbwNTnLX><a:Key><Key>Actions\Move Node</Key></a:Key><a:Value i:type="DiagramDisplayViewStateIDiagramAction"/></a:KeyValueOfDiagramObjectKeyanyTypezbwNTnLX><a:KeyValueOfDiagramObjectKeyanyTypezbwNTnLX><a:Key><Key>Actions\Hide the entity</Key></a:Key><a:Value i:type="DiagramDisplayViewStateIDiagramAction"/></a:KeyValueOfDiagramObjectKeyanyTypezbwNTnLX><a:KeyValueOfDiagramObjectKeyanyTypezbwNTnLX><a:Key><Key>Actions\Unhide the entity</Key></a:Key><a:Value i:type="DiagramDisplayViewStateIDiagramAction"/></a:KeyValueOfDiagramObjectKeyanyTypezbwNTnLX><a:KeyValueOfDiagramObjectKeyanyTypezbwNTnLX><a:Key><Key>Actions\GoTo</Key></a:Key><a:Value i:type="DiagramDisplayViewStateIDiagramAction"/></a:KeyValueOfDiagramObjectKeyanyTypezbwNTnLX><a:KeyValueOfDiagramObjectKeyanyTypezbwNTnLX><a:Key><Key>Actions\Move Up</Key></a:Key><a:Value i:type="DiagramDisplayViewStateIDiagramAction"/></a:KeyValueOfDiagramObjectKeyanyTypezbwNTnLX><a:KeyValueOfDiagramObjectKeyanyTypezbwNTnLX><a:Key><Key>Actions\Move Down</Key></a:Key><a:Value i:type="DiagramDisplayViewStateIDiagramAction"/></a:KeyValueOfDiagramObjectKeyanyTypezbwNTnLX><a:KeyValueOfDiagramObjectKeyanyTypezbwNTnLX><a:Key><Key>Actions\Mark Relationship as Active</Key></a:Key><a:Value i:type="DiagramDisplayViewStateIDiagramAction"/></a:KeyValueOfDiagramObjectKeyanyTypezbwNTnLX><a:KeyValueOfDiagramObjectKeyanyTypezbwNTnLX><a:Key><Key>Actions\Mark Relationship as Inactive</Key></a:Key><a:Value i:type="DiagramDisplayViewStateIDiagramAction"/></a:KeyValueOfDiagramObjectKeyanyTypezbwNTnLX><a:KeyValueOfDiagramObjectKeyanyTypezbwNTnLX><a:Key><Key>Actions\Relationship Cross Filter Direction Single</Key></a:Key><a:Value i:type="DiagramDisplayViewStateIDiagramAction"/></a:KeyValueOfDiagramObjectKeyanyTypezbwNTnLX><a:KeyValueOfDiagramObjectKeyanyTypezbwNTnLX><a:Key><Key>Actions\Relationship Cross Filter Direction Both</Key></a:Key><a:Value i:type="DiagramDisplayViewStateIDiagramAction"/></a:KeyValueOfDiagramObjectKeyanyTypezbwNTnLX><a:KeyValueOfDiagramObjectKeyanyTypezbwNTnLX><a:Key><Key>Actions\Relationship End Point Multiplicity One</Key></a:Key><a:Value i:type="DiagramDisplayViewStateIDiagramAction"/></a:KeyValueOfDiagramObjectKeyanyTypezbwNTnLX><a:KeyValueOfDiagramObjectKeyanyTypezbwNTnLX><a:Key><Key>Actions\Relationship End Point Multiplicity Many</Key></a:Key><a:Value i:type="DiagramDisplayViewStateIDiagramAction"/></a:KeyValueOfDiagramObjectKeyanyTypezbwNTnLX><a:KeyValueOfDiagramObjectKeyanyTypezbwNTnLX><a:Key><Key>TagGroups\Node Types</Key></a:Key><a:Value i:type="DiagramDisplayViewStateIDiagramTagGroup"/></a:KeyValueOfDiagramObjectKeyanyTypezbwNTnLX><a:KeyValueOfDiagramObjectKeyanyTypezbwNTnLX><a:Key><Key>TagGroups\Additional Info Types</Key></a:Key><a:Value i:type="DiagramDisplayViewStateIDiagramTagGroup"/></a:KeyValueOfDiagramObjectKeyanyTypezbwNTnLX><a:KeyValueOfDiagramObjectKeyanyTypezbwNTnLX><a:Key><Key>TagGroups\Calculated Columns</Key></a:Key><a:Value i:type="DiagramDisplayViewStateIDiagramTagGroup"/></a:KeyValueOfDiagramObjectKeyanyTypezbwNTnLX><a:KeyValueOfDiagramObjectKeyanyTypezbwNTnLX><a:Key><Key>TagGroups\Warnings</Key></a:Key><a:Value i:type="DiagramDisplayViewStateIDiagramTagGroup"/></a:KeyValueOfDiagramObjectKeyanyTypezbwNTnLX><a:KeyValueOfDiagramObjectKeyanyTypezbwNTnLX><a:Key><Key>TagGroups\Highlight Reasons</Key></a:Key><a:Value i:type="DiagramDisplayViewStateIDiagramTagGroup"/></a:KeyValueOfDiagramObjectKeyanyTypezbwNTnLX><a:KeyValueOfDiagramObjectKeyanyTypezbwNTnLX><a:Key><Key>TagGroups\State</Key></a:Key><a:Value i:type="DiagramDisplayViewStateIDiagramTagGroup"/></a:KeyValueOfDiagramObjectKeyanyTypezbwNTnLX><a:KeyValueOfDiagramObjectKeyanyTypezbwNTnLX><a:Key><Key>TagGroups\Link Roles</Key></a:Key><a:Value i:type="DiagramDisplayViewStateIDiagramTagGroup"/></a:KeyValueOfDiagramObjectKeyanyTypezbwNTnLX><a:KeyValueOfDiagramObjectKeyanyTypezbwNTnLX><a:Key><Key>TagGroups\Link Types</Key></a:Key><a:Value i:type="DiagramDisplayViewStateIDiagramTagGroup"/></a:KeyValueOfDiagramObjectKeyanyTypezbwNTnLX><a:KeyValueOfDiagramObjectKeyanyTypezbwNTnLX><a:Key><Key>TagGroups\Link States</Key></a:Key><a:Value i:type="DiagramDisplayViewStateIDiagramTagGroup"/></a:KeyValueOfDiagramObjectKeyanyTypezbwNTnLX><a:KeyValueOfDiagramObjectKeyanyTypezbwNTnLX><a:Key><Key>Diagram\TagGroups\Deletion Impacts</Key></a:Key><a:Value i:type="DiagramDisplayViewStateIDiagramTagGroup"/></a:KeyValueOfDiagramObjectKeyanyTypezbwNTnLX><a:KeyValueOfDiagramObjectKeyanyTypezbwNTnLX><a:Key><Key>TagGroups\Hierarchy Identifiers</Key></a:Key><a:Value i:type="DiagramDisplayViewStateIDiagramTagGroup"/></a:KeyValueOfDiagramObjectKeyanyTypezbwNTnLX><a:KeyValueOfDiagramObjectKeyanyTypezbwNTnLX><a:Key><Key>TagGroups\Table Identifiers</Key></a:Key><a:Value i:type="DiagramDisplayViewStateIDiagramTagGroup"/></a:KeyValueOfDiagramObjectKeyanyTypezbwNTnLX><a:KeyValueOfDiagramObjectKeyanyTypezbwNTnLX><a:Key><Key>TagGroups\Action Descriptors</Key></a:Key><a:Value i:type="DiagramDisplayViewStateIDiagramTagGroup"/></a:KeyValueOfDiagramObjectKeyanyTypezbwNTnLX><a:KeyValueOfDiagramObjectKeyanyTypezbwNTnLX><a:Key><Key>TagGroups\Hint Texts</Key></a:Key><a:Value i:type="DiagramDisplayViewStateIDiagramTagGroup"/></a:KeyValueOfDiagramObjectKeyanyTypezbwNTnLX><a:KeyValueOfDiagramObjectKeyanyTypezbwNTnLX><a:Key><Key>Static Tags\Table</Key></a:Key><a:Value i:type="DiagramDisplayTagViewState"><IsNotFilteredOut>true</IsNotFilteredOut></a:Value></a:KeyValueOfDiagramObjectKeyanyTypezbwNTnLX><a:KeyValueOfDiagramObjectKeyanyTypezbwNTnLX><a:Key><Key>Static Tags\Column</Key></a:Key><a:Value i:type="DiagramDisplayTagViewState"><IsNotFilteredOut>true</IsNotFilteredOut></a:Value></a:KeyValueOfDiagramObjectKeyanyTypezbwNTnLX><a:KeyValueOfDiagramObjectKeyanyTypezbwNTnLX><a:Key><Key>Static Tags\Measure</Key></a:Key><a:Value i:type="DiagramDisplayTagViewState"><IsNotFilteredOut>true</IsNotFilteredOut></a:Value></a:KeyValueOfDiagramObjectKeyanyTypezbwNTnLX><a:KeyValueOfDiagramObjectKeyanyTypezbwNTnLX><a:Key><Key>Static Tags\Hierarchy</Key></a:Key><a:Value i:type="DiagramDisplayTagViewState"><IsNotFilteredOut>true</IsNotFilteredOut></a:Value></a:KeyValueOfDiagramObjectKeyanyTypezbwNTnLX><a:KeyValueOfDiagramObjectKeyanyTypezbwNTnLX><a:Key><Key>Static Tags\HierarchyLevel</Key></a:Key><a:Value i:type="DiagramDisplayTagViewState"><IsNotFilteredOut>true</IsNotFilteredOut></a:Value></a:KeyValueOfDiagramObjectKeyanyTypezbwNTnLX><a:KeyValueOfDiagramObjectKeyanyTypezbwNTnLX><a:Key><Key>Static Tags\KPI</Key></a:Key><a:Value i:type="DiagramDisplayTagViewState"><IsNotFilteredOut>true</IsNotFilteredOut></a:Value></a:KeyValueOfDiagramObjectKeyanyTypezbwNTnLX><a:KeyValueOfDiagramObjectKeyanyTypezbwNTnLX><a:Key><Key>Static Tags\Additional Info for Source Column</Key></a:Key><a:Value i:type="DiagramDisplayTagViewState"><IsNotFilteredOut>true</IsNotFilteredOut></a:Value></a:KeyValueOfDiagramObjectKeyanyTypezbwNTnLX><a:KeyValueOfDiagramObjectKeyanyTypezbwNTnLX><a:Key><Key>Static Tags\Calculated Column</Key></a:Key><a:Value i:type="DiagramDisplayTagViewState"><IsNotFilteredOut>true</IsNotFilteredOut></a:Value></a:KeyValueOfDiagramObjectKeyanyTypezbwNTnLX><a:KeyValueOfDiagramObjectKeyanyTypezbwNTnLX><a:Key><Key>Static Tags\Error</Key></a:Key><a:Value i:type="DiagramDisplayTagViewState"><IsNotFilteredOut>true</IsNotFilteredOut></a:Value></a:KeyValueOfDiagramObjectKeyanyTypezbwNTnLX><a:KeyValueOfDiagramObjectKeyanyTypezbwNTnLX><a:Key><Key>Static Tags\NotCalculated</Key></a:Key><a:Value i:type="DiagramDisplayTagViewState"><IsNotFilteredOut>true</IsNotFilteredOut></a:Value></a:KeyValueOfDiagramObjectKeyanyTypezbwNTnLX><a:KeyValueOfDiagramObjectKeyanyTypezbwNTnLX><a:Key><Key>Static Tags\Is Implicit Measure</Key></a:Key><a:Value i:type="DiagramDisplayTagViewState"><IsNotFilteredOut>true</IsNotFilteredOut></a:Value></a:KeyValueOfDiagramObjectKeyanyTypezbwNTnLX><a:KeyValueOfDiagramObjectKeyanyTypezbwNTnLX><a:Key><Key>Static Tags\Related</Key></a:Key><a:Value i:type="DiagramDisplayTagViewState"><IsNotFilteredOut>true</IsNotFilteredOut></a:Value></a:KeyValueOfDiagramObjectKeyanyTypezbwNTnLX><a:KeyValueOfDiagramObjectKeyanyTypezbwNTnLX><a:Key><Key>Static Tags\Deleting</Key></a:Key><a:Value i:type="DiagramDisplayTagViewState"><IsNotFilteredOut>true</IsNotFilteredOut></a:Value></a:KeyValueOfDiagramObjectKeyanyTypezbwNTnLX><a:KeyValueOfDiagramObjectKeyanyTypezbwNTnLX><a:Key><Key>Static Tags\Creating Valid Relationship</Key></a:Key><a:Value i:type="DiagramDisplayTagViewState"><IsNotFilteredOut>true</IsNotFilteredOut></a:Value></a:KeyValueOfDiagramObjectKeyanyTypezbwNTnLX><a:KeyValueOfDiagramObjectKeyanyTypezbwNTnLX><a:Key><Key>Static Tags\Hidden</Key></a:Key><a:Value i:type="DiagramDisplayTagViewState"><IsNotFilteredOut>true</IsNotFilteredOut></a:Value></a:KeyValueOfDiagramObjectKeyanyTypezbwNTnLX><a:KeyValueOfDiagramObjectKeyanyTypezbwNTnLX><a:Key><Key>Static Tags\Linked Table Column</Key></a:Key><a:Value i:type="DiagramDisplayTagViewState"><IsNotFilteredOut>true</IsNotFilteredOut></a:Value></a:KeyValueOfDiagramObjectKeyanyTypezbwNTnLX><a:KeyValueOfDiagramObjectKeyanyTypezbwNTnLX><a:Key><Key>Static Tags\Is readonly</Key></a:Key><a:Value i:type="DiagramDisplayTagViewState"><IsNotFilteredOut>true</IsNotFilteredOut></a:Value></a:KeyValueOfDiagramObjectKeyanyTypezbwNTnLX><a:KeyValueOfDiagramObjectKeyanyTypezbwNTnLX><a:Key><Key>Static Tags\FK</Key></a:Key><a:Value i:type="DiagramDisplayTagViewState"><IsNotFilteredOut>true</IsNotFilteredOut></a:Value></a:KeyValueOfDiagramObjectKeyanyTypezbwNTnLX><a:KeyValueOfDiagramObjectKeyanyTypezbwNTnLX><a:Key><Key>Static Tags\PK</Key></a:Key><a:Value i:type="DiagramDisplayTagViewState"><IsNotFilteredOut>true</IsNotFilteredOut></a:Value></a:KeyValueOfDiagramObjectKeyanyTypezbwNTnLX><a:KeyValueOfDiagramObjectKeyanyTypezbwNTnLX><a:Key><Key>Static Tags\Relationship</Key></a:Key><a:Value i:type="DiagramDisplayTagViewState"><IsNotFilteredOut>true</IsNotFilteredOut></a:Value></a:KeyValueOfDiagramObjectKeyanyTypezbwNTnLX><a:KeyValueOfDiagramObjectKeyanyTypezbwNTnLX><a:Key><Key>Static Tags\Active</Key></a:Key><a:Value i:type="DiagramDisplayTagViewState"><IsNotFilteredOut>true</IsNotFilteredOut></a:Value></a:KeyValueOfDiagramObjectKeyanyTypezbwNTnLX><a:KeyValueOfDiagramObjectKeyanyTypezbwNTnLX><a:Key><Key>Static Tags\Inactive</Key></a:Key><a:Value i:type="DiagramDisplayTagViewState"><IsNotFilteredOut>true</IsNotFilteredOut></a:Value></a:KeyValueOfDiagramObjectKeyanyTypezbwNTnLX><a:KeyValueOfDiagramObjectKeyanyTypezbwNTnLX><a:Key><Key>Static Tags\Preview Active</Key></a:Key><a:Value i:type="DiagramDisplayTagViewState"><IsNotFilteredOut>true</IsNotFilteredOut></a:Value></a:KeyValueOfDiagramObjectKeyanyTypezbwNTnLX><a:KeyValueOfDiagramObjectKeyanyTypezbwNTnLX><a:Key><Key>Static Tags\Preview Inactive</Key></a:Key><a:Value i:type="DiagramDisplayTagViewState"><IsNotFilteredOut>true</IsNotFilteredOut></a:Value></a:KeyValueOfDiagramObjectKeyanyTypezbwNTnLX><a:KeyValueOfDiagramObjectKeyanyTypezbwNTnLX><a:Key><Key>Static Tags\CrossFilterDirection</Key></a:Key><a:Value i:type="DiagramDisplayTagViewState"><IsNotFilteredOut>true</IsNotFilteredOut></a:Value></a:KeyValueOfDiagramObjectKeyanyTypezbwNTnLX><a:KeyValueOfDiagramObjectKeyanyTypezbwNTnLX><a:Key><Key>Static Tags\CrossFilterDirectionSingle</Key></a:Key><a:Value i:type="DiagramDisplayTagViewState"><IsNotFilteredOut>true</IsNotFilteredOut></a:Value></a:KeyValueOfDiagramObjectKeyanyTypezbwNTnLX><a:KeyValueOfDiagramObjectKeyanyTypezbwNTnLX><a:Key><Key>Static Tags\CrossFilterDirectionBoth</Key></a:Key><a:Value i:type="DiagramDisplayTagViewState"><IsNotFilteredOut>true</IsNotFilteredOut></a:Value></a:KeyValueOfDiagramObjectKeyanyTypezbwNTnLX><a:KeyValueOfDiagramObjectKeyanyTypezbwNTnLX><a:Key><Key>Static Tags\EndPointMultiplicityOne</Key></a:Key><a:Value i:type="DiagramDisplayTagViewState"><IsNotFilteredOut>true</IsNotFilteredOut></a:Value></a:KeyValueOfDiagramObjectKeyanyTypezbwNTnLX><a:KeyValueOfDiagramObjectKeyanyTypezbwNTnLX><a:Key><Key>Static Tags\EndPointMultiplicityMany</Key></a:Key><a:Value i:type="DiagramDisplayTagViewState"><IsNotFilteredOut>true</IsNotFilteredOut></a:Value></a:KeyValueOfDiagramObjectKeyanyTypezbwNTnLX><a:KeyValueOfDiagramObjectKeyanyTypezbwNTnLX><a:Key><Key>Diagram\TagGroups\Highlight Reasons\Tags\Hard Deletion Impact</Key></a:Key><a:Value i:type="DiagramDisplayTagViewState"><IsNotFilteredOut>true</IsNotFilteredOut></a:Value></a:KeyValueOfDiagramObjectKeyanyTypezbwNTnLX><a:KeyValueOfDiagramObjectKeyanyTypezbwNTnLX><a:Key><Key>Diagram\TagGroups\Highlight Reasons\Tags\Minimum Deletion Impact</Key></a:Key><a:Value i:type="DiagramDisplayTagViewState"><IsNotFilteredOut>true</IsNotFilteredOut></a:Value></a:KeyValueOfDiagramObjectKeyanyTypezbwNTnLX><a:KeyValueOfDiagramObjectKeyanyTypezbwNTnLX><a:Key><Key>Static Tags\Can be part of relationship</Key></a:Key><a:Value i:type="DiagramDisplayTagViewState"><IsNotFilteredOut>true</IsNotFilteredOut></a:Value></a:KeyValueOfDiagramObjectKeyanyTypezbwNTnLX><a:KeyValueOfDiagramObjectKeyanyTypezbwNTnLX><a:Key><Key>Static Tags\Hint Text</Key></a:Key><a:Value i:type="DiagramDisplayTagViewState"><IsNotFilteredOut>true</IsNotFilteredOut></a:Value></a:KeyValueOfDiagramObjectKeyanyTypezbwNTnLX><a:KeyValueOfDiagramObjectKeyanyTypezbwNTnLX><a:Key><Key>Dynamic Tags\Tables\&lt;Tables\Indian_Employee_Data&gt;</Key></a:Key><a:Value i:type="DiagramDisplayTagViewState"><IsNotFilteredOut>true</IsNotFilteredOut></a:Value></a:KeyValueOfDiagramObjectKeyanyTypezbwNTnLX><a:KeyValueOfDiagramObjectKeyanyTypezbwNTnLX><a:Key><Key>Dynamic Tags\Tables\&lt;Tables\Query_Audit_Exceptions&gt;</Key></a:Key><a:Value i:type="DiagramDisplayTagViewState"><IsNotFilteredOut>true</IsNotFilteredOut></a:Value></a:KeyValueOfDiagramObjectKeyanyTypezbwNTnLX><a:KeyValueOfDiagramObjectKeyanyTypezbwNTnLX><a:Key><Key>Dynamic Tags\Tables\&lt;Tables\Query_Audit_Exceptions 1&gt;</Key></a:Key><a:Value i:type="DiagramDisplayTagViewState"><IsNotFilteredOut>true</IsNotFilteredOut></a:Value></a:KeyValueOfDiagramObjectKeyanyTypezbwNTnLX><a:KeyValueOfDiagramObjectKeyanyTypezbwNTnLX><a:Key><Key>Tables\Indian_Employee_Data</Key></a:Key><a:Value i:type="DiagramDisplayNodeViewState"><Height>150</Height><IsExpanded>true</IsExpanded><LayedOut>true</LayedOut><Width>200</Width></a:Value></a:KeyValueOfDiagramObjectKeyanyTypezbwNTnLX><a:KeyValueOfDiagramObjectKeyanyTypezbwNTnLX><a:Key><Key>Tables\Indian_Employee_Data\Columns\Employee ID</Key></a:Key><a:Value i:type="DiagramDisplayNodeViewState"><Height>150</Height><IsExpanded>true</IsExpanded><Width>200</Width></a:Value></a:KeyValueOfDiagramObjectKeyanyTypezbwNTnLX><a:KeyValueOfDiagramObjectKeyanyTypezbwNTnLX><a:Key><Key>Tables\Indian_Employee_Data\Columns\Full Name</Key></a:Key><a:Value i:type="DiagramDisplayNodeViewState"><Height>150</Height><IsExpanded>true</IsExpanded><Width>200</Width></a:Value></a:KeyValueOfDiagramObjectKeyanyTypezbwNTnLX><a:KeyValueOfDiagramObjectKeyanyTypezbwNTnLX><a:Key><Key>Tables\Indian_Employee_Data\Columns\Gender</Key></a:Key><a:Value i:type="DiagramDisplayNodeViewState"><Height>150</Height><IsExpanded>true</IsExpanded><Width>200</Width></a:Value></a:KeyValueOfDiagramObjectKeyanyTypezbwNTnLX><a:KeyValueOfDiagramObjectKeyanyTypezbwNTnLX><a:Key><Key>Tables\Indian_Employee_Data\Columns\Department</Key></a:Key><a:Value i:type="DiagramDisplayNodeViewState"><Height>150</Height><IsExpanded>true</IsExpanded><Width>200</Width></a:Value></a:KeyValueOfDiagramObjectKeyanyTypezbwNTnLX><a:KeyValueOfDiagramObjectKeyanyTypezbwNTnLX><a:Key><Key>Tables\Indian_Employee_Data\Columns\Location</Key></a:Key><a:Value i:type="DiagramDisplayNodeViewState"><Height>150</Height><IsExpanded>true</IsExpanded><Width>200</Width></a:Value></a:KeyValueOfDiagramObjectKeyanyTypezbwNTnLX><a:KeyValueOfDiagramObjectKeyanyTypezbwNTnLX><a:Key><Key>Tables\Indian_Employee_Data\Columns\Monthly Base Salary (INR)</Key></a:Key><a:Value i:type="DiagramDisplayNodeViewState"><Height>150</Height><IsExpanded>true</IsExpanded><Width>200</Width></a:Value></a:KeyValueOfDiagramObjectKeyanyTypezbwNTnLX><a:KeyValueOfDiagramObjectKeyanyTypezbwNTnLX><a:Key><Key>Tables\Indian_Employee_Data\Columns\Corporate Benefit Plan</Key></a:Key><a:Value i:type="DiagramDisplayNodeViewState"><Height>150</Height><IsExpanded>true</IsExpanded><Width>200</Width></a:Value></a:KeyValueOfDiagramObjectKeyanyTypezbwNTnLX><a:KeyValueOfDiagramObjectKeyanyTypezbwNTnLX><a:Key><Key>Tables\Indian_Employee_Data\Columns\Insurance tier</Key></a:Key><a:Value i:type="DiagramDisplayNodeViewState"><Height>150</Height><IsExpanded>true</IsExpanded><Width>200</Width></a:Value></a:KeyValueOfDiagramObjectKeyanyTypezbwNTnLX><a:KeyValueOfDiagramObjectKeyanyTypezbwNTnLX><a:Key><Key>Tables\Indian_Employee_Data\Columns\Monthly Premiums</Key></a:Key><a:Value i:type="DiagramDisplayNodeViewState"><Height>150</Height><IsExpanded>true</IsExpanded><Width>200</Width></a:Value></a:KeyValueOfDiagramObjectKeyanyTypezbwNTnLX><a:KeyValueOfDiagramObjectKeyanyTypezbwNTnLX><a:Key><Key>Tables\Indian_Employee_Data\Columns\Salary Bracket</Key></a:Key><a:Value i:type="DiagramDisplayNodeViewState"><Height>150</Height><IsExpanded>true</IsExpanded><Width>200</Width></a:Value></a:KeyValueOfDiagramObjectKeyanyTypezbwNTnLX><a:KeyValueOfDiagramObjectKeyanyTypezbwNTnLX><a:Key><Key>Tables\Indian_Employee_Data\Columns\Salary Tier</Key></a:Key><a:Value i:type="DiagramDisplayNodeViewState"><Height>150</Height><IsExpanded>true</IsExpanded><Width>200</Width></a:Value></a:KeyValueOfDiagramObjectKeyanyTypezbwNTnLX><a:KeyValueOfDiagramObjectKeyanyTypezbwNTnLX><a:Key><Key>Tables\Indian_Employee_Data\Columns\Vendor Survey Job Code</Key></a:Key><a:Value i:type="DiagramDisplayNodeViewState"><Height>150</Height><IsExpanded>true</IsExpanded><Width>200</Width></a:Value></a:KeyValueOfDiagramObjectKeyanyTypezbwNTnLX><a:KeyValueOfDiagramObjectKeyanyTypezbwNTnLX><a:Key><Key>Tables\Indian_Employee_Data\Columns\Vendor Global Group Name</Key></a:Key><a:Value i:type="DiagramDisplayNodeViewState"><Height>150</Height><IsExpanded>true</IsExpanded><Width>200</Width></a:Value></a:KeyValueOfDiagramObjectKeyanyTypezbwNTnLX><a:KeyValueOfDiagramObjectKeyanyTypezbwNTnLX><a:Key><Key>Tables\Indian_Employee_Data\Measures\Gender Pay Gap</Key></a:Key><a:Value i:type="DiagramDisplayNodeViewState"><Height>150</Height><IsExpanded>true</IsExpanded><Width>200</Width></a:Value></a:KeyValueOfDiagramObjectKeyanyTypezbwNTnLX><a:KeyValueOfDiagramObjectKeyanyTypezbwNTnLX><a:Key><Key>Tables\Indian_Employee_Data\Measures\Salary Spread within Tier</Key></a:Key><a:Value i:type="DiagramDisplayNodeViewState"><Height>150</Height><IsExpanded>true</IsExpanded><Width>200</Width></a:Value></a:KeyValueOfDiagramObjectKeyanyTypezbwNTnLX><a:KeyValueOfDiagramObjectKeyanyTypezbwNTnLX><a:Key><Key>Tables\Indian_Employee_Data\Measures\Sum of Monthly Base Salary (INR)</Key></a:Key><a:Value i:type="DiagramDisplayNodeViewState"><Height>150</Height><IsExpanded>true</IsExpanded><Width>200</Width></a:Value></a:KeyValueOfDiagramObjectKeyanyTypezbwNTnLX><a:KeyValueOfDiagramObjectKeyanyTypezbwNTnLX><a:Key><Key>Tables\Indian_Employee_Data\Sum of Monthly Base Salary (INR)\Additional Info\Implicit Measure</Key></a:Key><a:Value i:type="DiagramDisplayViewStateIDiagramTagAdditionalInfo"/></a:KeyValueOfDiagramObjectKeyanyTypezbwNTnLX><a:KeyValueOfDiagramObjectKeyanyTypezbwNTnLX><a:Key><Key>Tables\Indian_Employee_Data\Measures\Average of Monthly Base Salary (INR)</Key></a:Key><a:Value i:type="DiagramDisplayNodeViewState"><Height>150</Height><IsExpanded>true</IsExpanded><Width>200</Width></a:Value></a:KeyValueOfDiagramObjectKeyanyTypezbwNTnLX><a:KeyValueOfDiagramObjectKeyanyTypezbwNTnLX><a:Key><Key>Tables\Indian_Employee_Data\Average of Monthly Base Salary (INR)\Additional Info\Implicit Measure</Key></a:Key><a:Value i:type="DiagramDisplayViewStateIDiagramTagAdditionalInfo"/></a:KeyValueOfDiagramObjectKeyanyTypezbwNTnLX><a:KeyValueOfDiagramObjectKeyanyTypezbwNTnLX><a:Key><Key>Tables\Indian_Employee_Data\Measures\Count of Department</Key></a:Key><a:Value i:type="DiagramDisplayNodeViewState"><Height>150</Height><IsExpanded>true</IsExpanded><Width>200</Width></a:Value></a:KeyValueOfDiagramObjectKeyanyTypezbwNTnLX><a:KeyValueOfDiagramObjectKeyanyTypezbwNTnLX><a:Key><Key>Tables\Indian_Employee_Data\Count of Department\Additional Info\Implicit Measure</Key></a:Key><a:Value i:type="DiagramDisplayViewStateIDiagramTagAdditionalInfo"/></a:KeyValueOfDiagramObjectKeyanyTypezbwNTnLX><a:KeyValueOfDiagramObjectKeyanyTypezbwNTnLX><a:Key><Key>Tables\Indian_Employee_Data\Measures\Count of Salary Tier</Key></a:Key><a:Value i:type="DiagramDisplayNodeViewState"><Height>150</Height><IsExpanded>true</IsExpanded><Width>200</Width></a:Value></a:KeyValueOfDiagramObjectKeyanyTypezbwNTnLX><a:KeyValueOfDiagramObjectKeyanyTypezbwNTnLX><a:Key><Key>Tables\Indian_Employee_Data\Count of Salary Tier\Additional Info\Implicit Measure</Key></a:Key><a:Value i:type="DiagramDisplayViewStateIDiagramTagAdditionalInfo"/></a:KeyValueOfDiagramObjectKeyanyTypezbwNTnLX><a:KeyValueOfDiagramObjectKeyanyTypezbwNTnLX><a:Key><Key>Tables\Query_Audit_Exceptions</Key></a:Key><a:Value i:type="DiagramDisplayNodeViewState"><Height>150</Height><IsExpanded>true</IsExpanded><LayedOut>true</LayedOut><Left>329.9038105676658</Left><ScrollVerticalOffset>191.4</ScrollVerticalOffset><TabIndex>1</TabIndex><Width>200</Width></a:Value></a:KeyValueOfDiagramObjectKeyanyTypezbwNTnLX><a:KeyValueOfDiagramObjectKeyanyTypezbwNTnLX><a:Key><Key>Tables\Query_Audit_Exceptions\Columns\Employee ID</Key></a:Key><a:Value i:type="DiagramDisplayNodeViewState"><Height>150</Height><IsExpanded>true</IsExpanded><Width>200</Width></a:Value></a:KeyValueOfDiagramObjectKeyanyTypezbwNTnLX><a:KeyValueOfDiagramObjectKeyanyTypezbwNTnLX><a:Key><Key>Tables\Query_Audit_Exceptions\Columns\Full Name</Key></a:Key><a:Value i:type="DiagramDisplayNodeViewState"><Height>150</Height><IsExpanded>true</IsExpanded><Width>200</Width></a:Value></a:KeyValueOfDiagramObjectKeyanyTypezbwNTnLX><a:KeyValueOfDiagramObjectKeyanyTypezbwNTnLX><a:Key><Key>Tables\Query_Audit_Exceptions\Columns\Gender</Key></a:Key><a:Value i:type="DiagramDisplayNodeViewState"><Height>150</Height><IsExpanded>true</IsExpanded><Width>200</Width></a:Value></a:KeyValueOfDiagramObjectKeyanyTypezbwNTnLX><a:KeyValueOfDiagramObjectKeyanyTypezbwNTnLX><a:Key><Key>Tables\Query_Audit_Exceptions\Columns\Department</Key></a:Key><a:Value i:type="DiagramDisplayNodeViewState"><Height>150</Height><IsExpanded>true</IsExpanded><Width>200</Width></a:Value></a:KeyValueOfDiagramObjectKeyanyTypezbwNTnLX><a:KeyValueOfDiagramObjectKeyanyTypezbwNTnLX><a:Key><Key>Tables\Query_Audit_Exceptions\Columns\Location</Key></a:Key><a:Value i:type="DiagramDisplayNodeViewState"><Height>150</Height><IsExpanded>true</IsExpanded><Width>200</Width></a:Value></a:KeyValueOfDiagramObjectKeyanyTypezbwNTnLX><a:KeyValueOfDiagramObjectKeyanyTypezbwNTnLX><a:Key><Key>Tables\Query_Audit_Exceptions\Columns\Monthly Base Salary (INR)</Key></a:Key><a:Value i:type="DiagramDisplayNodeViewState"><Height>150</Height><IsExpanded>true</IsExpanded><Width>200</Width></a:Value></a:KeyValueOfDiagramObjectKeyanyTypezbwNTnLX><a:KeyValueOfDiagramObjectKeyanyTypezbwNTnLX><a:Key><Key>Tables\Query_Audit_Exceptions\Columns\Corporate Benefit Plan</Key></a:Key><a:Value i:type="DiagramDisplayNodeViewState"><Height>150</Height><IsExpanded>true</IsExpanded><Width>200</Width></a:Value></a:KeyValueOfDiagramObjectKeyanyTypezbwNTnLX><a:KeyValueOfDiagramObjectKeyanyTypezbwNTnLX><a:Key><Key>Tables\Query_Audit_Exceptions\Columns\Insurance tier</Key></a:Key><a:Value i:type="DiagramDisplayNodeViewState"><Height>150</Height><IsExpanded>true</IsExpanded><Width>200</Width></a:Value></a:KeyValueOfDiagramObjectKeyanyTypezbwNTnLX><a:KeyValueOfDiagramObjectKeyanyTypezbwNTnLX><a:Key><Key>Tables\Query_Audit_Exceptions\Columns\Monthly Premiums</Key></a:Key><a:Value i:type="DiagramDisplayNodeViewState"><Height>150</Height><IsExpanded>true</IsExpanded><Width>200</Width></a:Value></a:KeyValueOfDiagramObjectKeyanyTypezbwNTnLX><a:KeyValueOfDiagramObjectKeyanyTypezbwNTnLX><a:Key><Key>Tables\Query_Audit_Exceptions\Columns\Salary Bracket</Key></a:Key><a:Value i:type="DiagramDisplayNodeViewState"><Height>150</Height><IsExpanded>true</IsExpanded><Width>200</Width></a:Value></a:KeyValueOfDiagramObjectKeyanyTypezbwNTnLX><a:KeyValueOfDiagramObjectKeyanyTypezbwNTnLX><a:Key><Key>Tables\Query_Audit_Exceptions\Columns\Salary Tier</Key></a:Key><a:Value i:type="DiagramDisplayNodeViewState"><Height>150</Height><IsExpanded>true</IsExpanded><Width>200</Width></a:Value></a:KeyValueOfDiagramObjectKeyanyTypezbwNTnLX><a:KeyValueOfDiagramObjectKeyanyTypezbwNTnLX><a:Key><Key>Tables\Query_Audit_Exceptions\Columns\Vendor Survey Job Code</Key></a:Key><a:Value i:type="DiagramDisplayNodeViewState"><Height>150</Height><IsExpanded>true</IsExpanded><Width>200</Width></a:Value></a:KeyValueOfDiagramObjectKeyanyTypezbwNTnLX><a:KeyValueOfDiagramObjectKeyanyTypezbwNTnLX><a:Key><Key>Tables\Query_Audit_Exceptions\Columns\Vendor Global Group Name</Key></a:Key><a:Value i:type="DiagramDisplayNodeViewState"><Height>150</Height><IsExpanded>true</IsExpanded><Width>200</Width></a:Value></a:KeyValueOfDiagramObjectKeyanyTypezbwNTnLX><a:KeyValueOfDiagramObjectKeyanyTypezbwNTnLX><a:Key><Key>Tables\Query_Audit_Exceptions 1</Key></a:Key><a:Value i:type="DiagramDisplayNodeViewState"><Height>150</Height><IsExpanded>true</IsExpanded><LayedOut>true</LayedOut><Left>659.8076211353316</Left><TabIndex>2</TabIndex><Width>200</Width></a:Value></a:KeyValueOfDiagramObjectKeyanyTypezbwNTnLX><a:KeyValueOfDiagramObjectKeyanyTypezbwNTnLX><a:Key><Key>Tables\Query_Audit_Exceptions 1\Columns\Employee ID</Key></a:Key><a:Value i:type="DiagramDisplayNodeViewState"><Height>150</Height><IsExpanded>true</IsExpanded><Width>200</Width></a:Value></a:KeyValueOfDiagramObjectKeyanyTypezbwNTnLX><a:KeyValueOfDiagramObjectKeyanyTypezbwNTnLX><a:Key><Key>Tables\Query_Audit_Exceptions 1\Columns\Full Name</Key></a:Key><a:Value i:type="DiagramDisplayNodeViewState"><Height>150</Height><IsExpanded>true</IsExpanded><Width>200</Width></a:Value></a:KeyValueOfDiagramObjectKeyanyTypezbwNTnLX><a:KeyValueOfDiagramObjectKeyanyTypezbwNTnLX><a:Key><Key>Tables\Query_Audit_Exceptions 1\Columns\Gender</Key></a:Key><a:Value i:type="DiagramDisplayNodeViewState"><Height>150</Height><IsExpanded>true</IsExpanded><Width>200</Width></a:Value></a:KeyValueOfDiagramObjectKeyanyTypezbwNTnLX><a:KeyValueOfDiagramObjectKeyanyTypezbwNTnLX><a:Key><Key>Tables\Query_Audit_Exceptions 1\Columns\Department</Key></a:Key><a:Value i:type="DiagramDisplayNodeViewState"><Height>150</Height><IsExpanded>true</IsExpanded><Width>200</Width></a:Value></a:KeyValueOfDiagramObjectKeyanyTypezbwNTnLX><a:KeyValueOfDiagramObjectKeyanyTypezbwNTnLX><a:Key><Key>Tables\Query_Audit_Exceptions 1\Columns\Location</Key></a:Key><a:Value i:type="DiagramDisplayNodeViewState"><Height>150</Height><IsExpanded>true</IsExpanded><Width>200</Width></a:Value></a:KeyValueOfDiagramObjectKeyanyTypezbwNTnLX><a:KeyValueOfDiagramObjectKeyanyTypezbwNTnLX><a:Key><Key>Tables\Query_Audit_Exceptions 1\Columns\Monthly Base Salary (INR)</Key></a:Key><a:Value i:type="DiagramDisplayNodeViewState"><Height>150</Height><IsExpanded>true</IsExpanded><Width>200</Width></a:Value></a:KeyValueOfDiagramObjectKeyanyTypezbwNTnLX><a:KeyValueOfDiagramObjectKeyanyTypezbwNTnLX><a:Key><Key>Tables\Query_Audit_Exceptions 1\Columns\Corporate Benefit Plan</Key></a:Key><a:Value i:type="DiagramDisplayNodeViewState"><Height>150</Height><IsExpanded>true</IsExpanded><Width>200</Width></a:Value></a:KeyValueOfDiagramObjectKeyanyTypezbwNTnLX><a:KeyValueOfDiagramObjectKeyanyTypezbwNTnLX><a:Key><Key>Tables\Query_Audit_Exceptions 1\Columns\Insurance tier</Key></a:Key><a:Value i:type="DiagramDisplayNodeViewState"><Height>150</Height><IsExpanded>true</IsExpanded><Width>200</Width></a:Value></a:KeyValueOfDiagramObjectKeyanyTypezbwNTnLX><a:KeyValueOfDiagramObjectKeyanyTypezbwNTnLX><a:Key><Key>Tables\Query_Audit_Exceptions 1\Columns\Monthly Premiums</Key></a:Key><a:Value i:type="DiagramDisplayNodeViewState"><Height>150</Height><IsExpanded>true</IsExpanded><Width>200</Width></a:Value></a:KeyValueOfDiagramObjectKeyanyTypezbwNTnLX><a:KeyValueOfDiagramObjectKeyanyTypezbwNTnLX><a:Key><Key>Tables\Query_Audit_Exceptions 1\Columns\Salary Bracket</Key></a:Key><a:Value i:type="DiagramDisplayNodeViewState"><Height>150</Height><IsExpanded>true</IsExpanded><Width>200</Width></a:Value></a:KeyValueOfDiagramObjectKeyanyTypezbwNTnLX><a:KeyValueOfDiagramObjectKeyanyTypezbwNTnLX><a:Key><Key>Tables\Query_Audit_Exceptions 1\Columns\Salary Tier</Key></a:Key><a:Value i:type="DiagramDisplayNodeViewState"><Height>150</Height><IsExpanded>true</IsExpanded><Width>200</Width></a:Value></a:KeyValueOfDiagramObjectKeyanyTypezbwNTnLX><a:KeyValueOfDiagramObjectKeyanyTypezbwNTnLX><a:Key><Key>Tables\Query_Audit_Exceptions 1\Columns\Vendor Survey Job Code</Key></a:Key><a:Value i:type="DiagramDisplayNodeViewState"><Height>150</Height><IsExpanded>true</IsExpanded><Width>200</Width></a:Value></a:KeyValueOfDiagramObjectKeyanyTypezbwNTnLX><a:KeyValueOfDiagramObjectKeyanyTypezbwNTnLX><a:Key><Key>Tables\Query_Audit_Exceptions 1\Columns\Vendor Global Group Name</Key></a:Key><a:Value i:type="DiagramDisplayNodeViewState"><Height>150</Height><IsExpanded>true</IsExpanded><Width>200</Width></a:Value></a:KeyValueOfDiagramObjectKeyanyTypezbwNTnLX></ViewStates></DiagramManager.SerializableDiagram><DiagramManager.SerializableDiagram><Adapter i:type="MeasureDiagramSandboxAdapter"><TableName>Query_Audit_Exceptions 1</TableName></Adapter><DiagramType>MeasureDiagram</DiagramType><DisplayContext i:type="MeasureGridDisplayContext"><ColumnTagKey><Key>Static Tags\Column</Key></ColumnTagKey><ErrorsTagGroupKey><Key>TagGroups\Errors</Key></ErrorsTagGroupKey><FormulaTagKey><Key>Static Tags\Formula</Key></FormulaTagKey><HiddenTagKey><Key>Static Tags\Hidden</Key></HiddenTagKey><HostType>ModelerWindow</HostType><ImplicitMeasureSourceColumnLinkTagKey><Key>Static Tags\Implicit Measure and Source Column Link</Key></ImplicitMeasureSourceColumnLinkTagKey><ImplicitMeasureTagKey><Key>Static Tags\Is implicit measure</Key></ImplicitMeasureTagKey><KpiTagKey><Key>Static Tags\KPI</Key></KpiTagKey><MeasureTagKey><Key>Static Tags\Measure</Key></MeasureTagKey><ValueTagKey><Key>Static Tags\Value</Key></ValueTagKey></DisplayContext><DisplayType>MeasureGrid</DisplayType><Key i:type="SandboxEditorMeasureGridKey"><TableName>Query_Audit_Exceptions 1</TableName></Key><Maintainer i:type="MeasureDiagram.MeasureDiagramMaintainer"><AllKeys><DiagramObjectKey><Key>Measure Diagram</Key></DiagramObjectKey><DiagramObjectKey><Key>Actions\Delete</Key></DiagramObjectKey><DiagramObjectKey><Key>Actions\Convert to KPI</Key></DiagramObjectKey><DiagramObjectKey><Key>Actions\Edit KPI</Key></DiagramObjectKey><DiagramObjectKey><Key>Actions\Remove KPI</Key></DiagramObjectKey><DiagramObjectKey><Key>Actions\Copy Measure</Key></DiagramObjectKey><DiagramObjectKey><Key>Actions\AutoMeasure_Sum</Key></DiagramObjectKey><DiagramObjectKey><Key>Actions\AutoMeasure_Count</Key></DiagramObjectKey><DiagramObjectKey><Key>Actions\AutoMeasure_Average</Key></DiagramObjectKey><DiagramObjectKey><Key>Actions\AutoMeasure_Max</Key></DiagramObjectKey><DiagramObjectKey><Key>Actions\AutoMeasure_Min</Key></DiagramObjectKey><DiagramObjectKey><Key>Actions\AutoMeasure_StdDev</Key></DiagramObjectKey><DiagramObjectKey><Key>Actions\AutoMeasure_StdDevp</Key></DiagramObjectKey><DiagramObjectKey><Key>Actions\AutoMeasure_Var</Key></DiagramObjectKey><DiagramObjectKey><Key>Actions\AutoMeasure_Varp</Key></DiagramObjectKey><DiagramObjectKey><Key>Actions\AutoMeasure_DistinctCount</Key></DiagramObjectKey><DiagramObjectKey><Key>Actions\Edit</Key></DiagramObjectKey><DiagramObjectKey><Key>Actions\Create</Key></DiagramObjectKey><DiagramObjectKey><Key>Actions\Format</Key></DiagramObjectKey><DiagramObjectKey><Key>Actions\Edit Description</Key></DiagramObjectKey><DiagramObjectKey><Key>Actions\Hide Measures</Key></DiagramObjectKey><DiagramObjectKey><Key>Actions\Unhide Measures</Key></DiagramObjectKey><DiagramObjectKey><Key>TagGroups\Types</Key></DiagramObjectKey><DiagramObjectKey><Key>TagGroups\Link Types</Key></DiagramObjectKey><DiagramObjectKey><Key>TagGroups\KPI</Key></DiagramObjectKey><DiagramObjectKey><Key>TagGroups\Errors</Key></DiagramObjectKey><DiagramObjectKey><Key>TagGroups\Values and Formulas</Key></DiagramObjectKey><DiagramObjectKey><Key>TagGroups\State</Key></DiagramObjectKey><DiagramObjectKey><Key>Static Tags\Column</Key></DiagramObjectKey><DiagramObjectKey><Key>Static Tags\Measure</Key></DiagramObjectKey><DiagramObjectKey><Key>Static Tags\Implicit Measure and Source Column Link</Key></DiagramObjectKey><DiagramObjectKey><Key>Static Tags\KPI</Key></DiagramObjectKey><DiagramObjectKey><Key>Static Tags\Semantic Error</Key></DiagramObjectKey><DiagramObjectKey><Key>Static Tags\Calculation Error</Key></DiagramObjectKey><DiagramObjectKey><Key>Static Tags\Value</Key></DiagramObjectKey><DiagramObjectKey><Key>Static Tags\Formula</Key></DiagramObjectKey><DiagramObjectKey><Key>Static Tags\Evaluation in progress</Key></DiagramObjectKey><DiagramObjectKey><Key>Static Tags\Is implicit measure</Key></DiagramObjectKey><DiagramObjectKey><Key>Static Tags\Hidden</Key></DiagramObjectKey><DiagramObjectKey><Key>Static Tags\Not in perspective</Key></DiagramObjectKey><DiagramObjectKey><Key>Static Tags\Is readonly</Key></DiagramObjectKey><DiagramObjectKey><Key>Columns\Employee ID</Key></DiagramObjectKey><DiagramObjectKey><Key>Columns\Full Name</Key></DiagramObjectKey><DiagramObjectKey><Key>Columns\Gender</Key></DiagramObjectKey><DiagramObjectKey><Key>Columns\Department</Key></DiagramObjectKey><DiagramObjectKey><Key>Columns\Location</Key></DiagramObjectKey><DiagramObjectKey><Key>Columns\Monthly Base Salary (INR)</Key></DiagramObjectKey><DiagramObjectKey><Key>Columns\Corporate Benefit Plan</Key></DiagramObjectKey><DiagramObjectKey><Key>Columns\Insurance tier</Key></DiagramObjectKey><DiagramObjectKey><Key>Columns\Monthly Premiums</Key></DiagramObjectKey><DiagramObjectKey><Key>Columns\Salary Bracket</Key></DiagramObjectKey><DiagramObjectKey><Key>Columns\Salary Tier</Key></DiagramObjectKey><DiagramObjectKey><Key>Columns\Vendor Survey Job Code</Key></DiagramObjectKey><DiagramObjectKey><Key>Columns\Vendor Global Group Name</Key></DiagramObjectKey></AllKeys><SelectedKeys/></Maintainer><ViewStateFactoryType>Microsoft.AnalysisServices.Common.MeasureGridViewStateFactory</ViewStateFactoryType><ViewStates xmlns:a="http://schemas.microsoft.com/2003/10/Serialization/Arrays"><a:KeyValueOfDiagramObjectKeyanyTypezbwNTnLX><a:Key><Key>Measure Diagram</Key></a:Key><a:Value i:type="MeasureGridDiagramViewState"><FocusColumn>-1</FocusColumn><FocusRow>-1</FocusRow><SelectionEndColumn>-1</SelectionEndColumn><SelectionEndRow>-1</SelectionEndRow><SelectionStartColumn>-1</SelectionStartColumn><SelectionStartRow>-1</SelectionStartRow><Texts/></a:Value></a:KeyValueOfDiagramObjectKeyanyTypezbwNTnLX><a:KeyValueOfDiagramObjectKeyanyTypezbwNTnLX><a:Key><Key>Actions\Delete</Key></a:Key><a:Value i:type="MeasureGridViewStateIDiagramAction"/></a:KeyValueOfDiagramObjectKeyanyTypezbwNTnLX><a:KeyValueOfDiagramObjectKeyanyTypezbwNTnLX><a:Key><Key>Actions\Convert to KPI</Key></a:Key><a:Value i:type="MeasureGridViewStateIDiagramAction"/></a:KeyValueOfDiagramObjectKeyanyTypezbwNTnLX><a:KeyValueOfDiagramObjectKeyanyTypezbwNTnLX><a:Key><Key>Actions\Edit KPI</Key></a:Key><a:Value i:type="MeasureGridViewStateIDiagramAction"/></a:KeyValueOfDiagramObjectKeyanyTypezbwNTnLX><a:KeyValueOfDiagramObjectKeyanyTypezbwNTnLX><a:Key><Key>Actions\Remove KPI</Key></a:Key><a:Value i:type="MeasureGridViewStateIDiagramAction"/></a:KeyValueOfDiagramObjectKeyanyTypezbwNTnLX><a:KeyValueOfDiagramObjectKeyanyTypezbwNTnLX><a:Key><Key>Actions\Copy Measure</Key></a:Key><a:Value i:type="MeasureGridViewStateIDiagramAction"/></a:KeyValueOfDiagramObjectKeyanyTypezbwNTnLX><a:KeyValueOfDiagramObjectKeyanyTypezbwNTnLX><a:Key><Key>Actions\AutoMeasure_Sum</Key></a:Key><a:Value i:type="MeasureGridViewStateIDiagramAction"/></a:KeyValueOfDiagramObjectKeyanyTypezbwNTnLX><a:KeyValueOfDiagramObjectKeyanyTypezbwNTnLX><a:Key><Key>Actions\AutoMeasure_Count</Key></a:Key><a:Value i:type="MeasureGridViewStateIDiagramAction"/></a:KeyValueOfDiagramObjectKeyanyTypezbwNTnLX><a:KeyValueOfDiagramObjectKeyanyTypezbwNTnLX><a:Key><Key>Actions\AutoMeasure_Average</Key></a:Key><a:Value i:type="MeasureGridViewStateIDiagramAction"/></a:KeyValueOfDiagramObjectKeyanyTypezbwNTnLX><a:KeyValueOfDiagramObjectKeyanyTypezbwNTnLX><a:Key><Key>Actions\AutoMeasure_Max</Key></a:Key><a:Value i:type="MeasureGridViewStateIDiagramAction"/></a:KeyValueOfDiagramObjectKeyanyTypezbwNTnLX><a:KeyValueOfDiagramObjectKeyanyTypezbwNTnLX><a:Key><Key>Actions\AutoMeasure_Min</Key></a:Key><a:Value i:type="MeasureGridViewStateIDiagramAction"/></a:KeyValueOfDiagramObjectKeyanyTypezbwNTnLX><a:KeyValueOfDiagramObjectKeyanyTypezbwNTnLX><a:Key><Key>Actions\AutoMeasure_StdDev</Key></a:Key><a:Value i:type="MeasureGridViewStateIDiagramAction"/></a:KeyValueOfDiagramObjectKeyanyTypezbwNTnLX><a:KeyValueOfDiagramObjectKeyanyTypezbwNTnLX><a:Key><Key>Actions\AutoMeasure_StdDevp</Key></a:Key><a:Value i:type="MeasureGridViewStateIDiagramAction"/></a:KeyValueOfDiagramObjectKeyanyTypezbwNTnLX><a:KeyValueOfDiagramObjectKeyanyTypezbwNTnLX><a:Key><Key>Actions\AutoMeasure_Var</Key></a:Key><a:Value i:type="MeasureGridViewStateIDiagramAction"/></a:KeyValueOfDiagramObjectKeyanyTypezbwNTnLX><a:KeyValueOfDiagramObjectKeyanyTypezbwNTnLX><a:Key><Key>Actions\AutoMeasure_Varp</Key></a:Key><a:Value i:type="MeasureGridViewStateIDiagramAction"/></a:KeyValueOfDiagramObjectKeyanyTypezbwNTnLX><a:KeyValueOfDiagramObjectKeyanyTypezbwNTnLX><a:Key><Key>Actions\AutoMeasure_DistinctCount</Key></a:Key><a:Value i:type="MeasureGridViewStateIDiagramAction"/></a:KeyValueOfDiagramObjectKeyanyTypezbwNTnLX><a:KeyValueOfDiagramObjectKeyanyTypezbwNTnLX><a:Key><Key>Actions\Edit</Key></a:Key><a:Value i:type="MeasureGridViewStateIDiagramAction"/></a:KeyValueOfDiagramObjectKeyanyTypezbwNTnLX><a:KeyValueOfDiagramObjectKeyanyTypezbwNTnLX><a:Key><Key>Actions\Create</Key></a:Key><a:Value i:type="MeasureGridViewStateIDiagramAction"/></a:KeyValueOfDiagramObjectKeyanyTypezbwNTnLX><a:KeyValueOfDiagramObjectKeyanyTypezbwNTnLX><a:Key><Key>Actions\Format</Key></a:Key><a:Value i:type="MeasureGridViewStateIDiagramAction"/></a:KeyValueOfDiagramObjectKeyanyTypezbwNTnLX><a:KeyValueOfDiagramObjectKeyanyTypezbwNTnLX><a:Key><Key>Actions\Edit Description</Key></a:Key><a:Value i:type="MeasureGridViewStateIDiagramAction"/></a:KeyValueOfDiagramObjectKeyanyTypezbwNTnLX><a:KeyValueOfDiagramObjectKeyanyTypezbwNTnLX><a:Key><Key>Actions\Hide Measures</Key></a:Key><a:Value i:type="MeasureGridViewStateIDiagramAction"/></a:KeyValueOfDiagramObjectKeyanyTypezbwNTnLX><a:KeyValueOfDiagramObjectKeyanyTypezbwNTnLX><a:Key><Key>Actions\Unhide Measures</Key></a:Key><a:Value i:type="MeasureGridViewStateIDiagramAction"/></a:KeyValueOfDiagramObjectKeyanyTypezbwNTnLX><a:KeyValueOfDiagramObjectKeyanyTypezbwNTnLX><a:Key><Key>TagGroups\Types</Key></a:Key><a:Value i:type="MeasureGridViewStateIDiagramTagGroup"/></a:KeyValueOfDiagramObjectKeyanyTypezbwNTnLX><a:KeyValueOfDiagramObjectKeyanyTypezbwNTnLX><a:Key><Key>TagGroups\Link Types</Key></a:Key><a:Value i:type="MeasureGridViewStateIDiagramTagGroup"/></a:KeyValueOfDiagramObjectKeyanyTypezbwNTnLX><a:KeyValueOfDiagramObjectKeyanyTypezbwNTnLX><a:Key><Key>TagGroups\KPI</Key></a:Key><a:Value i:type="MeasureGridViewStateIDiagramTagGroup"/></a:KeyValueOfDiagramObjectKeyanyTypezbwNTnLX><a:KeyValueOfDiagramObjectKeyanyTypezbwNTnLX><a:Key><Key>TagGroups\Errors</Key></a:Key><a:Value i:type="MeasureGridViewStateIDiagramTagGroup"/></a:KeyValueOfDiagramObjectKeyanyTypezbwNTnLX><a:KeyValueOfDiagramObjectKeyanyTypezbwNTnLX><a:Key><Key>TagGroups\Values and Formulas</Key></a:Key><a:Value i:type="MeasureGridViewStateIDiagramTagGroup"/></a:KeyValueOfDiagramObjectKeyanyTypezbwNTnLX><a:KeyValueOfDiagramObjectKeyanyTypezbwNTnLX><a:Key><Key>TagGroups\State</Key></a:Key><a:Value i:type="MeasureGridViewStateIDiagramTagGroup"/></a:KeyValueOfDiagramObjectKeyanyTypezbwNTnLX><a:KeyValueOfDiagramObjectKeyanyTypezbwNTnLX><a:Key><Key>Static Tags\Column</Key></a:Key><a:Value i:type="MeasureGridViewStateIDiagramTag"/></a:KeyValueOfDiagramObjectKeyanyTypezbwNTnLX><a:KeyValueOfDiagramObjectKeyanyTypezbwNTnLX><a:Key><Key>Static Tags\Measure</Key></a:Key><a:Value i:type="MeasureGridViewStateIDiagramTag"/></a:KeyValueOfDiagramObjectKeyanyTypezbwNTnLX><a:KeyValueOfDiagramObjectKeyanyTypezbwNTnLX><a:Key><Key>Static Tags\Implicit Measure and Source Column Link</Key></a:Key><a:Value i:type="MeasureGridViewStateIDiagramTag"/></a:KeyValueOfDiagramObjectKeyanyTypezbwNTnLX><a:KeyValueOfDiagramObjectKeyanyTypezbwNTnLX><a:Key><Key>Static Tags\KPI</Key></a:Key><a:Value i:type="MeasureGridViewStateIDiagramTag"/></a:KeyValueOfDiagramObjectKeyanyTypezbwNTnLX><a:KeyValueOfDiagramObjectKeyanyTypezbwNTnLX><a:Key><Key>Static Tags\Semantic Error</Key></a:Key><a:Value i:type="MeasureGridViewStateIDiagramTag"/></a:KeyValueOfDiagramObjectKeyanyTypezbwNTnLX><a:KeyValueOfDiagramObjectKeyanyTypezbwNTnLX><a:Key><Key>Static Tags\Calculation Error</Key></a:Key><a:Value i:type="MeasureGridViewStateIDiagramTag"/></a:KeyValueOfDiagramObjectKeyanyTypezbwNTnLX><a:KeyValueOfDiagramObjectKeyanyTypezbwNTnLX><a:Key><Key>Static Tags\Value</Key></a:Key><a:Value i:type="MeasureGridViewStateIDiagramTag"/></a:KeyValueOfDiagramObjectKeyanyTypezbwNTnLX><a:KeyValueOfDiagramObjectKeyanyTypezbwNTnLX><a:Key><Key>Static Tags\Formula</Key></a:Key><a:Value i:type="MeasureGridViewStateIDiagramTag"/></a:KeyValueOfDiagramObjectKeyanyTypezbwNTnLX><a:KeyValueOfDiagramObjectKeyanyTypezbwNTnLX><a:Key><Key>Static Tags\Evaluation in progress</Key></a:Key><a:Value i:type="MeasureGridViewStateIDiagramTag"/></a:KeyValueOfDiagramObjectKeyanyTypezbwNTnLX><a:KeyValueOfDiagramObjectKeyanyTypezbwNTnLX><a:Key><Key>Static Tags\Is implicit measure</Key></a:Key><a:Value i:type="MeasureGridViewStateIDiagramTag"/></a:KeyValueOfDiagramObjectKeyanyTypezbwNTnLX><a:KeyValueOfDiagramObjectKeyanyTypezbwNTnLX><a:Key><Key>Static Tags\Hidden</Key></a:Key><a:Value i:type="MeasureGridViewStateIDiagramTag"/></a:KeyValueOfDiagramObjectKeyanyTypezbwNTnLX><a:KeyValueOfDiagramObjectKeyanyTypezbwNTnLX><a:Key><Key>Static Tags\Not in perspective</Key></a:Key><a:Value i:type="MeasureGridViewStateIDiagramTag"/></a:KeyValueOfDiagramObjectKeyanyTypezbwNTnLX><a:KeyValueOfDiagramObjectKeyanyTypezbwNTnLX><a:Key><Key>Static Tags\Is readonly</Key></a:Key><a:Value i:type="MeasureGridViewStateIDiagramTag"/></a:KeyValueOfDiagramObjectKeyanyTypezbwNTnLX><a:KeyValueOfDiagramObjectKeyanyTypezbwNTnLX><a:Key><Key>Columns\Employee ID</Key></a:Key><a:Value i:type="MeasureGridNodeViewState"><LayedOut>true</LayedOut></a:Value></a:KeyValueOfDiagramObjectKeyanyTypezbwNTnLX><a:KeyValueOfDiagramObjectKeyanyTypezbwNTnLX><a:Key><Key>Columns\Full Name</Key></a:Key><a:Value i:type="MeasureGridNodeViewState"><Column>1</Column><LayedOut>true</LayedOut></a:Value></a:KeyValueOfDiagramObjectKeyanyTypezbwNTnLX><a:KeyValueOfDiagramObjectKeyanyTypezbwNTnLX><a:Key><Key>Columns\Gender</Key></a:Key><a:Value i:type="MeasureGridNodeViewState"><Column>2</Column><LayedOut>true</LayedOut></a:Value></a:KeyValueOfDiagramObjectKeyanyTypezbwNTnLX><a:KeyValueOfDiagramObjectKeyanyTypezbwNTnLX><a:Key><Key>Columns\Department</Key></a:Key><a:Value i:type="MeasureGridNodeViewState"><Column>3</Column><LayedOut>true</LayedOut></a:Value></a:KeyValueOfDiagramObjectKeyanyTypezbwNTnLX><a:KeyValueOfDiagramObjectKeyanyTypezbwNTnLX><a:Key><Key>Columns\Location</Key></a:Key><a:Value i:type="MeasureGridNodeViewState"><Column>4</Column><LayedOut>true</LayedOut></a:Value></a:KeyValueOfDiagramObjectKeyanyTypezbwNTnLX><a:KeyValueOfDiagramObjectKeyanyTypezbwNTnLX><a:Key><Key>Columns\Monthly Base Salary (INR)</Key></a:Key><a:Value i:type="MeasureGridNodeViewState"><Column>5</Column><LayedOut>true</LayedOut></a:Value></a:KeyValueOfDiagramObjectKeyanyTypezbwNTnLX><a:KeyValueOfDiagramObjectKeyanyTypezbwNTnLX><a:Key><Key>Columns\Corporate Benefit Plan</Key></a:Key><a:Value i:type="MeasureGridNodeViewState"><Column>6</Column><LayedOut>true</LayedOut></a:Value></a:KeyValueOfDiagramObjectKeyanyTypezbwNTnLX><a:KeyValueOfDiagramObjectKeyanyTypezbwNTnLX><a:Key><Key>Columns\Insurance tier</Key></a:Key><a:Value i:type="MeasureGridNodeViewState"><Column>7</Column><LayedOut>true</LayedOut></a:Value></a:KeyValueOfDiagramObjectKeyanyTypezbwNTnLX><a:KeyValueOfDiagramObjectKeyanyTypezbwNTnLX><a:Key><Key>Columns\Monthly Premiums</Key></a:Key><a:Value i:type="MeasureGridNodeViewState"><Column>8</Column><LayedOut>true</LayedOut></a:Value></a:KeyValueOfDiagramObjectKeyanyTypezbwNTnLX><a:KeyValueOfDiagramObjectKeyanyTypezbwNTnLX><a:Key><Key>Columns\Salary Bracket</Key></a:Key><a:Value i:type="MeasureGridNodeViewState"><Column>9</Column><LayedOut>true</LayedOut></a:Value></a:KeyValueOfDiagramObjectKeyanyTypezbwNTnLX><a:KeyValueOfDiagramObjectKeyanyTypezbwNTnLX><a:Key><Key>Columns\Salary Tier</Key></a:Key><a:Value i:type="MeasureGridNodeViewState"><Column>10</Column><LayedOut>true</LayedOut></a:Value></a:KeyValueOfDiagramObjectKeyanyTypezbwNTnLX><a:KeyValueOfDiagramObjectKeyanyTypezbwNTnLX><a:Key><Key>Columns\Vendor Survey Job Code</Key></a:Key><a:Value i:type="MeasureGridNodeViewState"><Column>11</Column><LayedOut>true</LayedOut></a:Value></a:KeyValueOfDiagramObjectKeyanyTypezbwNTnLX><a:KeyValueOfDiagramObjectKeyanyTypezbwNTnLX><a:Key><Key>Columns\Vendor Global Group Name</Key></a:Key><a:Value i:type="MeasureGridNodeViewState"><Column>12</Column><LayedOut>true</LayedOut></a:Value></a:KeyValueOfDiagramObjectKeyanyTypezbwNTnLX></ViewStates></DiagramManager.SerializableDiagram><DiagramManager.SerializableDiagram><Adapter i:type="MeasureDiagramSandboxAdapter"><TableName>Query_Audit_Exceptions</TableName></Adapter><DiagramType>MeasureDiagram</DiagramType><DisplayContext i:type="MeasureGridDisplayContext"><ColumnTagKey><Key>Static Tags\Column</Key></ColumnTagKey><ErrorsTagGroupKey><Key>TagGroups\Errors</Key></ErrorsTagGroupKey><FormulaTagKey><Key>Static Tags\Formula</Key></FormulaTagKey><HiddenTagKey><Key>Static Tags\Hidden</Key></HiddenTagKey><HostType>ModelerWindow</HostType><ImplicitMeasureSourceColumnLinkTagKey><Key>Static Tags\Implicit Measure and Source Column Link</Key></ImplicitMeasureSourceColumnLinkTagKey><ImplicitMeasureTagKey><Key>Static Tags\Is implicit measure</Key></ImplicitMeasureTagKey><KpiTagKey><Key>Static Tags\KPI</Key></KpiTagKey><MeasureTagKey><Key>Static Tags\Measure</Key></MeasureTagKey><ValueTagKey><Key>Static Tags\Value</Key></ValueTagKey></DisplayContext><DisplayType>MeasureGrid</DisplayType><Key i:type="SandboxEditorMeasureGridKey"><TableName>Query_Audit_Exceptions</TableName></Key><Maintainer i:type="MeasureDiagram.MeasureDiagramMaintainer"><AllKeys><DiagramObjectKey><Key>Measure Diagram</Key></DiagramObjectKey><DiagramObjectKey><Key>Actions\Delete</Key></DiagramObjectKey><DiagramObjectKey><Key>Actions\Convert to KPI</Key></DiagramObjectKey><DiagramObjectKey><Key>Actions\Edit KPI</Key></DiagramObjectKey><DiagramObjectKey><Key>Actions\Remove KPI</Key></DiagramObjectKey><DiagramObjectKey><Key>Actions\Copy Measure</Key></DiagramObjectKey><DiagramObjectKey><Key>Actions\AutoMeasure_Sum</Key></DiagramObjectKey><DiagramObjectKey><Key>Actions\AutoMeasure_Count</Key></DiagramObjectKey><DiagramObjectKey><Key>Actions\AutoMeasure_Average</Key></DiagramObjectKey><DiagramObjectKey><Key>Actions\AutoMeasure_Max</Key></DiagramObjectKey><DiagramObjectKey><Key>Actions\AutoMeasure_Min</Key></DiagramObjectKey><DiagramObjectKey><Key>Actions\AutoMeasure_StdDev</Key></DiagramObjectKey><DiagramObjectKey><Key>Actions\AutoMeasure_StdDevp</Key></DiagramObjectKey><DiagramObjectKey><Key>Actions\AutoMeasure_Var</Key></DiagramObjectKey><DiagramObjectKey><Key>Actions\AutoMeasure_Varp</Key></DiagramObjectKey><DiagramObjectKey><Key>Actions\AutoMeasure_DistinctCount</Key></DiagramObjectKey><DiagramObjectKey><Key>Actions\Edit</Key></DiagramObjectKey><DiagramObjectKey><Key>Actions\Create</Key></DiagramObjectKey><DiagramObjectKey><Key>Actions\Format</Key></DiagramObjectKey><DiagramObjectKey><Key>Actions\Edit Description</Key></DiagramObjectKey><DiagramObjectKey><Key>Actions\Hide Measures</Key></DiagramObjectKey><DiagramObjectKey><Key>Actions\Unhide Measures</Key></DiagramObjectKey><DiagramObjectKey><Key>TagGroups\Types</Key></DiagramObjectKey><DiagramObjectKey><Key>TagGroups\Link Types</Key></DiagramObjectKey><DiagramObjectKey><Key>TagGroups\KPI</Key></DiagramObjectKey><DiagramObjectKey><Key>TagGroups\Errors</Key></DiagramObjectKey><DiagramObjectKey><Key>TagGroups\Values and Formulas</Key></DiagramObjectKey><DiagramObjectKey><Key>TagGroups\State</Key></DiagramObjectKey><DiagramObjectKey><Key>Static Tags\Column</Key></DiagramObjectKey><DiagramObjectKey><Key>Static Tags\Measure</Key></DiagramObjectKey><DiagramObjectKey><Key>Static Tags\Implicit Measure and Source Column Link</Key></DiagramObjectKey><DiagramObjectKey><Key>Static Tags\KPI</Key></DiagramObjectKey><DiagramObjectKey><Key>Static Tags\Semantic Error</Key></DiagramObjectKey><DiagramObjectKey><Key>Static Tags\Calculation Error</Key></DiagramObjectKey><DiagramObjectKey><Key>Static Tags\Value</Key></DiagramObjectKey><DiagramObjectKey><Key>Static Tags\Formula</Key></DiagramObjectKey><DiagramObjectKey><Key>Static Tags\Evaluation in progress</Key></DiagramObjectKey><DiagramObjectKey><Key>Static Tags\Is implicit measure</Key></DiagramObjectKey><DiagramObjectKey><Key>Static Tags\Hidden</Key></DiagramObjectKey><DiagramObjectKey><Key>Static Tags\Not in perspective</Key></DiagramObjectKey><DiagramObjectKey><Key>Static Tags\Is readonly</Key></DiagramObjectKey><DiagramObjectKey><Key>Columns\Employee ID</Key></DiagramObjectKey><DiagramObjectKey><Key>Columns\Full Name</Key></DiagramObjectKey><DiagramObjectKey><Key>Columns\Gender</Key></DiagramObjectKey><DiagramObjectKey><Key>Columns\Department</Key></DiagramObjectKey><DiagramObjectKey><Key>Columns\Location</Key></DiagramObjectKey><DiagramObjectKey><Key>Columns\Monthly Base Salary (INR)</Key></DiagramObjectKey><DiagramObjectKey><Key>Columns\Corporate Benefit Plan</Key></DiagramObjectKey><DiagramObjectKey><Key>Columns\Insurance tier</Key></DiagramObjectKey><DiagramObjectKey><Key>Columns\Monthly Premiums</Key></DiagramObjectKey><DiagramObjectKey><Key>Columns\Salary Bracket</Key></DiagramObjectKey><DiagramObjectKey><Key>Columns\Salary Tier</Key></DiagramObjectKey><DiagramObjectKey><Key>Columns\Vendor Survey Job Code</Key></DiagramObjectKey><DiagramObjectKey><Key>Columns\Vendor Global Group Name</Key></DiagramObjectKey></AllKeys><SelectedKeys/></Maintainer><ViewStateFactoryType>Microsoft.AnalysisServices.Common.MeasureGridViewStateFactory</ViewStateFactoryType><ViewStates xmlns:a="http://schemas.microsoft.com/2003/10/Serialization/Arrays"><a:KeyValueOfDiagramObjectKeyanyTypezbwNTnLX><a:Key><Key>Measure Diagram</Key></a:Key><a:Value i:type="MeasureGridDiagramViewState"><FocusColumn>-1</FocusColumn><FocusRow>-1</FocusRow><SelectionEndColumn>-1</SelectionEndColumn><SelectionEndRow>-1</SelectionEndRow><SelectionStartColumn>-1</SelectionStartColumn><SelectionStartRow>-1</SelectionStartRow><Texts/></a:Value></a:KeyValueOfDiagramObjectKeyanyTypezbwNTnLX><a:KeyValueOfDiagramObjectKeyanyTypezbwNTnLX><a:Key><Key>Actions\Delete</Key></a:Key><a:Value i:type="MeasureGridViewStateIDiagramAction"/></a:KeyValueOfDiagramObjectKeyanyTypezbwNTnLX><a:KeyValueOfDiagramObjectKeyanyTypezbwNTnLX><a:Key><Key>Actions\Convert to KPI</Key></a:Key><a:Value i:type="MeasureGridViewStateIDiagramAction"/></a:KeyValueOfDiagramObjectKeyanyTypezbwNTnLX><a:KeyValueOfDiagramObjectKeyanyTypezbwNTnLX><a:Key><Key>Actions\Edit KPI</Key></a:Key><a:Value i:type="MeasureGridViewStateIDiagramAction"/></a:KeyValueOfDiagramObjectKeyanyTypezbwNTnLX><a:KeyValueOfDiagramObjectKeyanyTypezbwNTnLX><a:Key><Key>Actions\Remove KPI</Key></a:Key><a:Value i:type="MeasureGridViewStateIDiagramAction"/></a:KeyValueOfDiagramObjectKeyanyTypezbwNTnLX><a:KeyValueOfDiagramObjectKeyanyTypezbwNTnLX><a:Key><Key>Actions\Copy Measure</Key></a:Key><a:Value i:type="MeasureGridViewStateIDiagramAction"/></a:KeyValueOfDiagramObjectKeyanyTypezbwNTnLX><a:KeyValueOfDiagramObjectKeyanyTypezbwNTnLX><a:Key><Key>Actions\AutoMeasure_Sum</Key></a:Key><a:Value i:type="MeasureGridViewStateIDiagramAction"/></a:KeyValueOfDiagramObjectKeyanyTypezbwNTnLX><a:KeyValueOfDiagramObjectKeyanyTypezbwNTnLX><a:Key><Key>Actions\AutoMeasure_Count</Key></a:Key><a:Value i:type="MeasureGridViewStateIDiagramAction"/></a:KeyValueOfDiagramObjectKeyanyTypezbwNTnLX><a:KeyValueOfDiagramObjectKeyanyTypezbwNTnLX><a:Key><Key>Actions\AutoMeasure_Average</Key></a:Key><a:Value i:type="MeasureGridViewStateIDiagramAction"/></a:KeyValueOfDiagramObjectKeyanyTypezbwNTnLX><a:KeyValueOfDiagramObjectKeyanyTypezbwNTnLX><a:Key><Key>Actions\AutoMeasure_Max</Key></a:Key><a:Value i:type="MeasureGridViewStateIDiagramAction"/></a:KeyValueOfDiagramObjectKeyanyTypezbwNTnLX><a:KeyValueOfDiagramObjectKeyanyTypezbwNTnLX><a:Key><Key>Actions\AutoMeasure_Min</Key></a:Key><a:Value i:type="MeasureGridViewStateIDiagramAction"/></a:KeyValueOfDiagramObjectKeyanyTypezbwNTnLX><a:KeyValueOfDiagramObjectKeyanyTypezbwNTnLX><a:Key><Key>Actions\AutoMeasure_StdDev</Key></a:Key><a:Value i:type="MeasureGridViewStateIDiagramAction"/></a:KeyValueOfDiagramObjectKeyanyTypezbwNTnLX><a:KeyValueOfDiagramObjectKeyanyTypezbwNTnLX><a:Key><Key>Actions\AutoMeasure_StdDevp</Key></a:Key><a:Value i:type="MeasureGridViewStateIDiagramAction"/></a:KeyValueOfDiagramObjectKeyanyTypezbwNTnLX><a:KeyValueOfDiagramObjectKeyanyTypezbwNTnLX><a:Key><Key>Actions\AutoMeasure_Var</Key></a:Key><a:Value i:type="MeasureGridViewStateIDiagramAction"/></a:KeyValueOfDiagramObjectKeyanyTypezbwNTnLX><a:KeyValueOfDiagramObjectKeyanyTypezbwNTnLX><a:Key><Key>Actions\AutoMeasure_Varp</Key></a:Key><a:Value i:type="MeasureGridViewStateIDiagramAction"/></a:KeyValueOfDiagramObjectKeyanyTypezbwNTnLX><a:KeyValueOfDiagramObjectKeyanyTypezbwNTnLX><a:Key><Key>Actions\AutoMeasure_DistinctCount</Key></a:Key><a:Value i:type="MeasureGridViewStateIDiagramAction"/></a:KeyValueOfDiagramObjectKeyanyTypezbwNTnLX><a:KeyValueOfDiagramObjectKeyanyTypezbwNTnLX><a:Key><Key>Actions\Edit</Key></a:Key><a:Value i:type="MeasureGridViewStateIDiagramAction"/></a:KeyValueOfDiagramObjectKeyanyTypezbwNTnLX><a:KeyValueOfDiagramObjectKeyanyTypezbwNTnLX><a:Key><Key>Actions\Create</Key></a:Key><a:Value i:type="MeasureGridViewStateIDiagramAction"/></a:KeyValueOfDiagramObjectKeyanyTypezbwNTnLX><a:KeyValueOfDiagramObjectKeyanyTypezbwNTnLX><a:Key><Key>Actions\Format</Key></a:Key><a:Value i:type="MeasureGridViewStateIDiagramAction"/></a:KeyValueOfDiagramObjectKeyanyTypezbwNTnLX><a:KeyValueOfDiagramObjectKeyanyTypezbwNTnLX><a:Key><Key>Actions\Edit Description</Key></a:Key><a:Value i:type="MeasureGridViewStateIDiagramAction"/></a:KeyValueOfDiagramObjectKeyanyTypezbwNTnLX><a:KeyValueOfDiagramObjectKeyanyTypezbwNTnLX><a:Key><Key>Actions\Hide Measures</Key></a:Key><a:Value i:type="MeasureGridViewStateIDiagramAction"/></a:KeyValueOfDiagramObjectKeyanyTypezbwNTnLX><a:KeyValueOfDiagramObjectKeyanyTypezbwNTnLX><a:Key><Key>Actions\Unhide Measures</Key></a:Key><a:Value i:type="MeasureGridViewStateIDiagramAction"/></a:KeyValueOfDiagramObjectKeyanyTypezbwNTnLX><a:KeyValueOfDiagramObjectKeyanyTypezbwNTnLX><a:Key><Key>TagGroups\Types</Key></a:Key><a:Value i:type="MeasureGridViewStateIDiagramTagGroup"/></a:KeyValueOfDiagramObjectKeyanyTypezbwNTnLX><a:KeyValueOfDiagramObjectKeyanyTypezbwNTnLX><a:Key><Key>TagGroups\Link Types</Key></a:Key><a:Value i:type="MeasureGridViewStateIDiagramTagGroup"/></a:KeyValueOfDiagramObjectKeyanyTypezbwNTnLX><a:KeyValueOfDiagramObjectKeyanyTypezbwNTnLX><a:Key><Key>TagGroups\KPI</Key></a:Key><a:Value i:type="MeasureGridViewStateIDiagramTagGroup"/></a:KeyValueOfDiagramObjectKeyanyTypezbwNTnLX><a:KeyValueOfDiagramObjectKeyanyTypezbwNTnLX><a:Key><Key>TagGroups\Errors</Key></a:Key><a:Value i:type="MeasureGridViewStateIDiagramTagGroup"/></a:KeyValueOfDiagramObjectKeyanyTypezbwNTnLX><a:KeyValueOfDiagramObjectKeyanyTypezbwNTnLX><a:Key><Key>TagGroups\Values and Formulas</Key></a:Key><a:Value i:type="MeasureGridViewStateIDiagramTagGroup"/></a:KeyValueOfDiagramObjectKeyanyTypezbwNTnLX><a:KeyValueOfDiagramObjectKeyanyTypezbwNTnLX><a:Key><Key>TagGroups\State</Key></a:Key><a:Value i:type="MeasureGridViewStateIDiagramTagGroup"/></a:KeyValueOfDiagramObjectKeyanyTypezbwNTnLX><a:KeyValueOfDiagramObjectKeyanyTypezbwNTnLX><a:Key><Key>Static Tags\Column</Key></a:Key><a:Value i:type="MeasureGridViewStateIDiagramTag"/></a:KeyValueOfDiagramObjectKeyanyTypezbwNTnLX><a:KeyValueOfDiagramObjectKeyanyTypezbwNTnLX><a:Key><Key>Static Tags\Measure</Key></a:Key><a:Value i:type="MeasureGridViewStateIDiagramTag"/></a:KeyValueOfDiagramObjectKeyanyTypezbwNTnLX><a:KeyValueOfDiagramObjectKeyanyTypezbwNTnLX><a:Key><Key>Static Tags\Implicit Measure and Source Column Link</Key></a:Key><a:Value i:type="MeasureGridViewStateIDiagramTag"/></a:KeyValueOfDiagramObjectKeyanyTypezbwNTnLX><a:KeyValueOfDiagramObjectKeyanyTypezbwNTnLX><a:Key><Key>Static Tags\KPI</Key></a:Key><a:Value i:type="MeasureGridViewStateIDiagramTag"/></a:KeyValueOfDiagramObjectKeyanyTypezbwNTnLX><a:KeyValueOfDiagramObjectKeyanyTypezbwNTnLX><a:Key><Key>Static Tags\Semantic Error</Key></a:Key><a:Value i:type="MeasureGridViewStateIDiagramTag"/></a:KeyValueOfDiagramObjectKeyanyTypezbwNTnLX><a:KeyValueOfDiagramObjectKeyanyTypezbwNTnLX><a:Key><Key>Static Tags\Calculation Error</Key></a:Key><a:Value i:type="MeasureGridViewStateIDiagramTag"/></a:KeyValueOfDiagramObjectKeyanyTypezbwNTnLX><a:KeyValueOfDiagramObjectKeyanyTypezbwNTnLX><a:Key><Key>Static Tags\Value</Key></a:Key><a:Value i:type="MeasureGridViewStateIDiagramTag"/></a:KeyValueOfDiagramObjectKeyanyTypezbwNTnLX><a:KeyValueOfDiagramObjectKeyanyTypezbwNTnLX><a:Key><Key>Static Tags\Formula</Key></a:Key><a:Value i:type="MeasureGridViewStateIDiagramTag"/></a:KeyValueOfDiagramObjectKeyanyTypezbwNTnLX><a:KeyValueOfDiagramObjectKeyanyTypezbwNTnLX><a:Key><Key>Static Tags\Evaluation in progress</Key></a:Key><a:Value i:type="MeasureGridViewStateIDiagramTag"/></a:KeyValueOfDiagramObjectKeyanyTypezbwNTnLX><a:KeyValueOfDiagramObjectKeyanyTypezbwNTnLX><a:Key><Key>Static Tags\Is implicit measure</Key></a:Key><a:Value i:type="MeasureGridViewStateIDiagramTag"/></a:KeyValueOfDiagramObjectKeyanyTypezbwNTnLX><a:KeyValueOfDiagramObjectKeyanyTypezbwNTnLX><a:Key><Key>Static Tags\Hidden</Key></a:Key><a:Value i:type="MeasureGridViewStateIDiagramTag"/></a:KeyValueOfDiagramObjectKeyanyTypezbwNTnLX><a:KeyValueOfDiagramObjectKeyanyTypezbwNTnLX><a:Key><Key>Static Tags\Not in perspective</Key></a:Key><a:Value i:type="MeasureGridViewStateIDiagramTag"/></a:KeyValueOfDiagramObjectKeyanyTypezbwNTnLX><a:KeyValueOfDiagramObjectKeyanyTypezbwNTnLX><a:Key><Key>Static Tags\Is readonly</Key></a:Key><a:Value i:type="MeasureGridViewStateIDiagramTag"/></a:KeyValueOfDiagramObjectKeyanyTypezbwNTnLX><a:KeyValueOfDiagramObjectKeyanyTypezbwNTnLX><a:Key><Key>Columns\Employee ID</Key></a:Key><a:Value i:type="MeasureGridNodeViewState"><LayedOut>true</LayedOut></a:Value></a:KeyValueOfDiagramObjectKeyanyTypezbwNTnLX><a:KeyValueOfDiagramObjectKeyanyTypezbwNTnLX><a:Key><Key>Columns\Full Name</Key></a:Key><a:Value i:type="MeasureGridNodeViewState"><Column>1</Column><LayedOut>true</LayedOut></a:Value></a:KeyValueOfDiagramObjectKeyanyTypezbwNTnLX><a:KeyValueOfDiagramObjectKeyanyTypezbwNTnLX><a:Key><Key>Columns\Gender</Key></a:Key><a:Value i:type="MeasureGridNodeViewState"><Column>2</Column><LayedOut>true</LayedOut></a:Value></a:KeyValueOfDiagramObjectKeyanyTypezbwNTnLX><a:KeyValueOfDiagramObjectKeyanyTypezbwNTnLX><a:Key><Key>Columns\Department</Key></a:Key><a:Value i:type="MeasureGridNodeViewState"><Column>3</Column><LayedOut>true</LayedOut></a:Value></a:KeyValueOfDiagramObjectKeyanyTypezbwNTnLX><a:KeyValueOfDiagramObjectKeyanyTypezbwNTnLX><a:Key><Key>Columns\Location</Key></a:Key><a:Value i:type="MeasureGridNodeViewState"><Column>4</Column><LayedOut>true</LayedOut></a:Value></a:KeyValueOfDiagramObjectKeyanyTypezbwNTnLX><a:KeyValueOfDiagramObjectKeyanyTypezbwNTnLX><a:Key><Key>Columns\Monthly Base Salary (INR)</Key></a:Key><a:Value i:type="MeasureGridNodeViewState"><Column>5</Column><LayedOut>true</LayedOut></a:Value></a:KeyValueOfDiagramObjectKeyanyTypezbwNTnLX><a:KeyValueOfDiagramObjectKeyanyTypezbwNTnLX><a:Key><Key>Columns\Corporate Benefit Plan</Key></a:Key><a:Value i:type="MeasureGridNodeViewState"><Column>6</Column><LayedOut>true</LayedOut></a:Value></a:KeyValueOfDiagramObjectKeyanyTypezbwNTnLX><a:KeyValueOfDiagramObjectKeyanyTypezbwNTnLX><a:Key><Key>Columns\Insurance tier</Key></a:Key><a:Value i:type="MeasureGridNodeViewState"><Column>7</Column><LayedOut>true</LayedOut></a:Value></a:KeyValueOfDiagramObjectKeyanyTypezbwNTnLX><a:KeyValueOfDiagramObjectKeyanyTypezbwNTnLX><a:Key><Key>Columns\Monthly Premiums</Key></a:Key><a:Value i:type="MeasureGridNodeViewState"><Column>8</Column><LayedOut>true</LayedOut></a:Value></a:KeyValueOfDiagramObjectKeyanyTypezbwNTnLX><a:KeyValueOfDiagramObjectKeyanyTypezbwNTnLX><a:Key><Key>Columns\Salary Bracket</Key></a:Key><a:Value i:type="MeasureGridNodeViewState"><Column>9</Column><LayedOut>true</LayedOut></a:Value></a:KeyValueOfDiagramObjectKeyanyTypezbwNTnLX><a:KeyValueOfDiagramObjectKeyanyTypezbwNTnLX><a:Key><Key>Columns\Salary Tier</Key></a:Key><a:Value i:type="MeasureGridNodeViewState"><Column>10</Column><LayedOut>true</LayedOut></a:Value></a:KeyValueOfDiagramObjectKeyanyTypezbwNTnLX><a:KeyValueOfDiagramObjectKeyanyTypezbwNTnLX><a:Key><Key>Columns\Vendor Survey Job Code</Key></a:Key><a:Value i:type="MeasureGridNodeViewState"><Column>11</Column><LayedOut>true</LayedOut></a:Value></a:KeyValueOfDiagramObjectKeyanyTypezbwNTnLX><a:KeyValueOfDiagramObjectKeyanyTypezbwNTnLX><a:Key><Key>Columns\Vendor Global Group Name</Key></a:Key><a:Value i:type="MeasureGridNodeViewState"><Column>12</Column><LayedOut>true</LayedOut></a:Value></a:KeyValueOfDiagramObjectKeyanyTypezbwNTnLX></ViewStates></DiagramManager.SerializableDiagram><DiagramManager.SerializableDiagram><Adapter i:type="MeasureDiagramSandboxAdapter"><TableName>Indian_Employee_Data</TableName></Adapter><DiagramType>MeasureDiagram</DiagramType><DisplayContext i:type="MeasureGridDisplayContext"><ColumnTagKey><Key>Static Tags\Column</Key></ColumnTagKey><ErrorsTagGroupKey><Key>TagGroups\Errors</Key></ErrorsTagGroupKey><FormulaTagKey><Key>Static Tags\Formula</Key></FormulaTagKey><HiddenTagKey><Key>Static Tags\Hidden</Key></HiddenTagKey><HostType>ModelerWindow</HostType><ImplicitMeasureSourceColumnLinkTagKey><Key>Static Tags\Implicit Measure and Source Column Link</Key></ImplicitMeasureSourceColumnLinkTagKey><ImplicitMeasureTagKey><Key>Static Tags\Is implicit measure</Key></ImplicitMeasureTagKey><KpiTagKey><Key>Static Tags\KPI</Key></KpiTagKey><MeasureTagKey><Key>Static Tags\Measure</Key></MeasureTagKey><ValueTagKey><Key>Static Tags\Value</Key></ValueTagKey></DisplayContext><DisplayType>MeasureGrid</DisplayType><Key i:type="SandboxEditorMeasureGridKey"><TableName>Indian_Employee_Data</TableName></Key><Maintainer i:type="MeasureDiagram.MeasureDiagramMaintainer"><AllKeys><DiagramObjectKey><Key>Measure Diagram</Key></DiagramObjectKey><DiagramObjectKey><Key>Actions\Delete</Key></DiagramObjectKey><DiagramObjectKey><Key>Actions\Convert to KPI</Key></DiagramObjectKey><DiagramObjectKey><Key>Actions\Edit KPI</Key></DiagramObjectKey><DiagramObjectKey><Key>Actions\Remove KPI</Key></DiagramObjectKey><DiagramObjectKey><Key>Actions\Copy Measure</Key></DiagramObjectKey><DiagramObjectKey><Key>Actions\AutoMeasure_Sum</Key></DiagramObjectKey><DiagramObjectKey><Key>Actions\AutoMeasure_Count</Key></DiagramObjectKey><DiagramObjectKey><Key>Actions\AutoMeasure_Average</Key></DiagramObjectKey><DiagramObjectKey><Key>Actions\AutoMeasure_Max</Key></DiagramObjectKey><DiagramObjectKey><Key>Actions\AutoMeasure_Min</Key></DiagramObjectKey><DiagramObjectKey><Key>Actions\AutoMeasure_StdDev</Key></DiagramObjectKey><DiagramObjectKey><Key>Actions\AutoMeasure_StdDevp</Key></DiagramObjectKey><DiagramObjectKey><Key>Actions\AutoMeasure_Var</Key></DiagramObjectKey><DiagramObjectKey><Key>Actions\AutoMeasure_Varp</Key></DiagramObjectKey><DiagramObjectKey><Key>Actions\AutoMeasure_DistinctCount</Key></DiagramObjectKey><DiagramObjectKey><Key>Actions\Edit</Key></DiagramObjectKey><DiagramObjectKey><Key>Actions\Create</Key></DiagramObjectKey><DiagramObjectKey><Key>Actions\Format</Key></DiagramObjectKey><DiagramObjectKey><Key>Actions\Edit Description</Key></DiagramObjectKey><DiagramObjectKey><Key>Actions\Hide Measures</Key></DiagramObjectKey><DiagramObjectKey><Key>Actions\Unhide Measures</Key></DiagramObjectKey><DiagramObjectKey><Key>TagGroups\Types</Key></DiagramObjectKey><DiagramObjectKey><Key>TagGroups\Link Types</Key></DiagramObjectKey><DiagramObjectKey><Key>TagGroups\KPI</Key></DiagramObjectKey><DiagramObjectKey><Key>TagGroups\Errors</Key></DiagramObjectKey><DiagramObjectKey><Key>TagGroups\Values and Formulas</Key></DiagramObjectKey><DiagramObjectKey><Key>TagGroups\State</Key></DiagramObjectKey><DiagramObjectKey><Key>Static Tags\Column</Key></DiagramObjectKey><DiagramObjectKey><Key>Static Tags\Measure</Key></DiagramObjectKey><DiagramObjectKey><Key>Static Tags\Implicit Measure and Source Column Link</Key></DiagramObjectKey><DiagramObjectKey><Key>Static Tags\KPI</Key></DiagramObjectKey><DiagramObjectKey><Key>Static Tags\Semantic Error</Key></DiagramObjectKey><DiagramObjectKey><Key>Static Tags\Calculation Error</Key></DiagramObjectKey><DiagramObjectKey><Key>Static Tags\Value</Key></DiagramObjectKey><DiagramObjectKey><Key>Static Tags\Formula</Key></DiagramObjectKey><DiagramObjectKey><Key>Static Tags\Evaluation in progress</Key></DiagramObjectKey><DiagramObjectKey><Key>Static Tags\Is implicit measure</Key></DiagramObjectKey><DiagramObjectKey><Key>Static Tags\Hidden</Key></DiagramObjectKey><DiagramObjectKey><Key>Static Tags\Not in perspective</Key></DiagramObjectKey><DiagramObjectKey><Key>Static Tags\Is readonly</Key></DiagramObjectKey><DiagramObjectKey><Key>Measures\Gender Pay Gap</Key></DiagramObjectKey><DiagramObjectKey><Key>Measures\Gender Pay Gap\TagInfo\Formula</Key></DiagramObjectKey><DiagramObjectKey><Key>Measures\Gender Pay Gap\TagInfo\Value</Key></DiagramObjectKey><DiagramObjectKey><Key>Measures\Salary Spread within Tier</Key></DiagramObjectKey><DiagramObjectKey><Key>Measures\Salary Spread within Tier\TagInfo\Formula</Key></DiagramObjectKey><DiagramObjectKey><Key>Measures\Salary Spread within Tier\TagInfo\Value</Key></DiagramObjectKey><DiagramObjectKey><Key>Measures\Headcount</Key></DiagramObjectKey><DiagramObjectKey><Key>Measures\Headcount\TagInfo\Formula</Key></DiagramObjectKey><DiagramObjectKey><Key>Measures\Headcount\TagInfo\Value</Key></DiagramObjectKey><DiagramObjectKey><Key>Measures\Total Monthly Premium Cost</Key></DiagramObjectKey><DiagramObjectKey><Key>Measures\Total Monthly Premium Cost\TagInfo\Formula</Key></DiagramObjectKey><DiagramObjectKey><Key>Measures\Total Monthly Premium Cost\TagInfo\Value</Key></DiagramObjectKey><DiagramObjectKey><Key>Measures\Average Salary</Key></DiagramObjectKey><DiagramObjectKey><Key>Measures\Average Salary\TagInfo\Formula</Key></DiagramObjectKey><DiagramObjectKey><Key>Measures\Average Salary\TagInfo\Value</Key></DiagramObjectKey><DiagramObjectKey><Key>Measures\High-Cost Employee %</Key></DiagramObjectKey><DiagramObjectKey><Key>Measures\High-Cost Employee %\TagInfo\Formula</Key></DiagramObjectKey><DiagramObjectKey><Key>Measures\High-Cost Employee %\TagInfo\Value</Key></DiagramObjectKey><DiagramObjectKey><Key>Measures\Sum of Monthly Base Salary (INR)</Key></DiagramObjectKey><DiagramObjectKey><Key>Measures\Sum of Monthly Base Salary (INR)\TagInfo\Formula</Key></DiagramObjectKey><DiagramObjectKey><Key>Measures\Sum of Monthly Base Salary (INR)\TagInfo\Value</Key></DiagramObjectKey><DiagramObjectKey><Key>Measures\Average of Monthly Base Salary (INR)</Key></DiagramObjectKey><DiagramObjectKey><Key>Measures\Average of Monthly Base Salary (INR)\TagInfo\Formula</Key></DiagramObjectKey><DiagramObjectKey><Key>Measures\Average of Monthly Base Salary (INR)\TagInfo\Value</Key></DiagramObjectKey><DiagramObjectKey><Key>Measures\Count of Department</Key></DiagramObjectKey><DiagramObjectKey><Key>Measures\Count of Department\TagInfo\Formula</Key></DiagramObjectKey><DiagramObjectKey><Key>Measures\Count of Department\TagInfo\Value</Key></DiagramObjectKey><DiagramObjectKey><Key>Measures\Count of Salary Tier</Key></DiagramObjectKey><DiagramObjectKey><Key>Measures\Count of Salary Tier\TagInfo\Formula</Key></DiagramObjectKey><DiagramObjectKey><Key>Measures\Count of Salary Tier\TagInfo\Value</Key></DiagramObjectKey><DiagramObjectKey><Key>Measures\Count of Insurance tier</Key></DiagramObjectKey><DiagramObjectKey><Key>Measures\Count of Insurance tier\TagInfo\Formula</Key></DiagramObjectKey><DiagramObjectKey><Key>Measures\Count of Insurance tier\TagInfo\Value</Key></DiagramObjectKey><DiagramObjectKey><Key>Measures\Max of Monthly Base Salary (INR)</Key></DiagramObjectKey><DiagramObjectKey><Key>Measures\Max of Monthly Base Salary (INR)\TagInfo\Formula</Key></DiagramObjectKey><DiagramObjectKey><Key>Measures\Max of Monthly Base Salary (INR)\TagInfo\Value</Key></DiagramObjectKey><DiagramObjectKey><Key>Measures\Min of Monthly Base Salary (INR)</Key></DiagramObjectKey><DiagramObjectKey><Key>Measures\Min of Monthly Base Salary (INR)\TagInfo\Formula</Key></DiagramObjectKey><DiagramObjectKey><Key>Measures\Min of Monthly Base Salary (INR)\TagInfo\Value</Key></DiagramObjectKey><DiagramObjectKey><Key>Measures\Sum of Monthly Premiums</Key></DiagramObjectKey><DiagramObjectKey><Key>Measures\Sum of Monthly Premiums\TagInfo\Formula</Key></DiagramObjectKey><DiagramObjectKey><Key>Measures\Sum of Monthly Premiums\TagInfo\Value</Key></DiagramObjectKey><DiagramObjectKey><Key>Measures\Average of Monthly Premiums</Key></DiagramObjectKey><DiagramObjectKey><Key>Measures\Average of Monthly Premiums\TagInfo\Formula</Key></DiagramObjectKey><DiagramObjectKey><Key>Measures\Average of Monthly Premiums\TagInfo\Value</Key></DiagramObjectKey><DiagramObjectKey><Key>Measures\Max of Monthly Premiums</Key></DiagramObjectKey><DiagramObjectKey><Key>Measures\Max of Monthly Premiums\TagInfo\Formula</Key></DiagramObjectKey><DiagramObjectKey><Key>Measures\Max of Monthly Premiums\TagInfo\Value</Key></DiagramObjectKey><DiagramObjectKey><Key>Measures\Min of Monthly Premiums</Key></DiagramObjectKey><DiagramObjectKey><Key>Measures\Min of Monthly Premiums\TagInfo\Formula</Key></DiagramObjectKey><DiagramObjectKey><Key>Measures\Min of Monthly Premiums\TagInfo\Value</Key></DiagramObjectKey><DiagramObjectKey><Key>Measures\Count of Monthly Premiums</Key></DiagramObjectKey><DiagramObjectKey><Key>Measures\Count of Monthly Premiums\TagInfo\Formula</Key></DiagramObjectKey><DiagramObjectKey><Key>Measures\Count of Monthly Premiums\TagInfo\Value</Key></DiagramObjectKey><DiagramObjectKey><Key>Measures\Count of Location</Key></DiagramObjectKey><DiagramObjectKey><Key>Measures\Count of Location\TagInfo\Formula</Key></DiagramObjectKey><DiagramObjectKey><Key>Measures\Count of Location\TagInfo\Value</Key></DiagramObjectKey><DiagramObjectKey><Key>Columns\Employee ID</Key></DiagramObjectKey><DiagramObjectKey><Key>Columns\Full Name</Key></DiagramObjectKey><DiagramObjectKey><Key>Columns\Gender</Key></DiagramObjectKey><DiagramObjectKey><Key>Columns\Department</Key></DiagramObjectKey><DiagramObjectKey><Key>Columns\Location</Key></DiagramObjectKey><DiagramObjectKey><Key>Columns\Monthly Base Salary (INR)</Key></DiagramObjectKey><DiagramObjectKey><Key>Columns\Corporate Benefit Plan</Key></DiagramObjectKey><DiagramObjectKey><Key>Columns\Insurance tier</Key></DiagramObjectKey><DiagramObjectKey><Key>Columns\Monthly Premiums</Key></DiagramObjectKey><DiagramObjectKey><Key>Columns\Salary Bracket</Key></DiagramObjectKey><DiagramObjectKey><Key>Columns\Salary Tier</Key></DiagramObjectKey><DiagramObjectKey><Key>Columns\Vendor Survey Job Code</Key></DiagramObjectKey><DiagramObjectKey><Key>Columns\Vendor Global Group Name</Key></DiagramObjectKey><DiagramObjectKey><Key>Links\&lt;Columns\Sum of Monthly Base Salary (INR)&gt;-&lt;Measures\Monthly Base Salary (INR)&gt;</Key></DiagramObjectKey><DiagramObjectKey><Key>Links\&lt;Columns\Sum of Monthly Base Salary (INR)&gt;-&lt;Measures\Monthly Base Salary (INR)&gt;\COLUMN</Key></DiagramObjectKey><DiagramObjectKey><Key>Links\&lt;Columns\Sum of Monthly Base Salary (INR)&gt;-&lt;Measures\Monthly Base Salary (INR)&gt;\MEASURE</Key></DiagramObjectKey><DiagramObjectKey><Key>Links\&lt;Columns\Average of Monthly Base Salary (INR)&gt;-&lt;Measures\Monthly Base Salary (INR)&gt;</Key></DiagramObjectKey><DiagramObjectKey><Key>Links\&lt;Columns\Average of Monthly Base Salary (INR)&gt;-&lt;Measures\Monthly Base Salary (INR)&gt;\COLUMN</Key></DiagramObjectKey><DiagramObjectKey><Key>Links\&lt;Columns\Average of Monthly Base Salary (INR)&gt;-&lt;Measures\Monthly Base Salary (INR)&gt;\MEASURE</Key></DiagramObjectKey><DiagramObjectKey><Key>Links\&lt;Columns\Count of Department&gt;-&lt;Measures\Department&gt;</Key></DiagramObjectKey><DiagramObjectKey><Key>Links\&lt;Columns\Count of Department&gt;-&lt;Measures\Department&gt;\COLUMN</Key></DiagramObjectKey><DiagramObjectKey><Key>Links\&lt;Columns\Count of Department&gt;-&lt;Measures\Department&gt;\MEASURE</Key></DiagramObjectKey><DiagramObjectKey><Key>Links\&lt;Columns\Count of Salary Tier&gt;-&lt;Measures\Salary Tier&gt;</Key></DiagramObjectKey><DiagramObjectKey><Key>Links\&lt;Columns\Count of Salary Tier&gt;-&lt;Measures\Salary Tier&gt;\COLUMN</Key></DiagramObjectKey><DiagramObjectKey><Key>Links\&lt;Columns\Count of Salary Tier&gt;-&lt;Measures\Salary Tier&gt;\MEASURE</Key></DiagramObjectKey><DiagramObjectKey><Key>Links\&lt;Columns\Count of Insurance tier&gt;-&lt;Measures\Insurance tier&gt;</Key></DiagramObjectKey><DiagramObjectKey><Key>Links\&lt;Columns\Count of Insurance tier&gt;-&lt;Measures\Insurance tier&gt;\COLUMN</Key></DiagramObjectKey><DiagramObjectKey><Key>Links\&lt;Columns\Count of Insurance tier&gt;-&lt;Measures\Insurance tier&gt;\MEASURE</Key></DiagramObjectKey><DiagramObjectKey><Key>Links\&lt;Columns\Max of Monthly Base Salary (INR)&gt;-&lt;Measures\Monthly Base Salary (INR)&gt;</Key></DiagramObjectKey><DiagramObjectKey><Key>Links\&lt;Columns\Max of Monthly Base Salary (INR)&gt;-&lt;Measures\Monthly Base Salary (INR)&gt;\COLUMN</Key></DiagramObjectKey><DiagramObjectKey><Key>Links\&lt;Columns\Max of Monthly Base Salary (INR)&gt;-&lt;Measures\Monthly Base Salary (INR)&gt;\MEASURE</Key></DiagramObjectKey><DiagramObjectKey><Key>Links\&lt;Columns\Min of Monthly Base Salary (INR)&gt;-&lt;Measures\Monthly Base Salary (INR)&gt;</Key></DiagramObjectKey><DiagramObjectKey><Key>Links\&lt;Columns\Min of Monthly Base Salary (INR)&gt;-&lt;Measures\Monthly Base Salary (INR)&gt;\COLUMN</Key></DiagramObjectKey><DiagramObjectKey><Key>Links\&lt;Columns\Min of Monthly Base Salary (INR)&gt;-&lt;Measures\Monthly Base Salary (INR)&gt;\MEASURE</Key></DiagramObjectKey><DiagramObjectKey><Key>Links\&lt;Columns\Sum of Monthly Premiums&gt;-&lt;Measures\Monthly Premiums&gt;</Key></DiagramObjectKey><DiagramObjectKey><Key>Links\&lt;Columns\Sum of Monthly Premiums&gt;-&lt;Measures\Monthly Premiums&gt;\COLUMN</Key></DiagramObjectKey><DiagramObjectKey><Key>Links\&lt;Columns\Sum of Monthly Premiums&gt;-&lt;Measures\Monthly Premiums&gt;\MEASURE</Key></DiagramObjectKey><DiagramObjectKey><Key>Links\&lt;Columns\Average of Monthly Premiums&gt;-&lt;Measures\Monthly Premiums&gt;</Key></DiagramObjectKey><DiagramObjectKey><Key>Links\&lt;Columns\Average of Monthly Premiums&gt;-&lt;Measures\Monthly Premiums&gt;\COLUMN</Key></DiagramObjectKey><DiagramObjectKey><Key>Links\&lt;Columns\Average of Monthly Premiums&gt;-&lt;Measures\Monthly Premiums&gt;\MEASURE</Key></DiagramObjectKey><DiagramObjectKey><Key>Links\&lt;Columns\Max of Monthly Premiums&gt;-&lt;Measures\Monthly Premiums&gt;</Key></DiagramObjectKey><DiagramObjectKey><Key>Links\&lt;Columns\Max of Monthly Premiums&gt;-&lt;Measures\Monthly Premiums&gt;\COLUMN</Key></DiagramObjectKey><DiagramObjectKey><Key>Links\&lt;Columns\Max of Monthly Premiums&gt;-&lt;Measures\Monthly Premiums&gt;\MEASURE</Key></DiagramObjectKey><DiagramObjectKey><Key>Links\&lt;Columns\Min of Monthly Premiums&gt;-&lt;Measures\Monthly Premiums&gt;</Key></DiagramObjectKey><DiagramObjectKey><Key>Links\&lt;Columns\Min of Monthly Premiums&gt;-&lt;Measures\Monthly Premiums&gt;\COLUMN</Key></DiagramObjectKey><DiagramObjectKey><Key>Links\&lt;Columns\Min of Monthly Premiums&gt;-&lt;Measures\Monthly Premiums&gt;\MEASURE</Key></DiagramObjectKey><DiagramObjectKey><Key>Links\&lt;Columns\Count of Monthly Premiums&gt;-&lt;Measures\Monthly Premiums&gt;</Key></DiagramObjectKey><DiagramObjectKey><Key>Links\&lt;Columns\Count of Monthly Premiums&gt;-&lt;Measures\Monthly Premiums&gt;\COLUMN</Key></DiagramObjectKey><DiagramObjectKey><Key>Links\&lt;Columns\Count of Monthly Premiums&gt;-&lt;Measures\Monthly Premiums&gt;\MEASURE</Key></DiagramObjectKey><DiagramObjectKey><Key>Links\&lt;Columns\Count of Location&gt;-&lt;Measures\Location&gt;</Key></DiagramObjectKey><DiagramObjectKey><Key>Links\&lt;Columns\Count of Location&gt;-&lt;Measures\Location&gt;\COLUMN</Key></DiagramObjectKey><DiagramObjectKey><Key>Links\&lt;Columns\Count of Location&gt;-&lt;Measures\Location&gt;\MEASURE</Key></DiagramObjectKey></AllKeys><SelectedKeys/></Maintainer><ViewStateFactoryType>Microsoft.AnalysisServices.Common.MeasureGridViewStateFactory</ViewStateFactoryType><ViewStates xmlns:a="http://schemas.microsoft.com/2003/10/Serialization/Arrays"><a:KeyValueOfDiagramObjectKeyanyTypezbwNTnLX><a:Key><Key>Measure Diagram</Key></a:Key><a:Value i:type="MeasureGridDiagramViewState"><FocusColumn>-1</FocusColumn><FocusRow>-1</FocusRow><SelectionEndColumn>-1</SelectionEndColumn><SelectionEndRow>-1</SelectionEndRow><SelectionStartColumn>-1</SelectionStartColumn><SelectionStartRow>-1</SelectionStartRow><Texts/></a:Value></a:KeyValueOfDiagramObjectKeyanyTypezbwNTnLX><a:KeyValueOfDiagramObjectKeyanyTypezbwNTnLX><a:Key><Key>Actions\Delete</Key></a:Key><a:Value i:type="MeasureGridViewStateIDiagramAction"/></a:KeyValueOfDiagramObjectKeyanyTypezbwNTnLX><a:KeyValueOfDiagramObjectKeyanyTypezbwNTnLX><a:Key><Key>Actions\Convert to KPI</Key></a:Key><a:Value i:type="MeasureGridViewStateIDiagramAction"/></a:KeyValueOfDiagramObjectKeyanyTypezbwNTnLX><a:KeyValueOfDiagramObjectKeyanyTypezbwNTnLX><a:Key><Key>Actions\Edit KPI</Key></a:Key><a:Value i:type="MeasureGridViewStateIDiagramAction"/></a:KeyValueOfDiagramObjectKeyanyTypezbwNTnLX><a:KeyValueOfDiagramObjectKeyanyTypezbwNTnLX><a:Key><Key>Actions\Remove KPI</Key></a:Key><a:Value i:type="MeasureGridViewStateIDiagramAction"/></a:KeyValueOfDiagramObjectKeyanyTypezbwNTnLX><a:KeyValueOfDiagramObjectKeyanyTypezbwNTnLX><a:Key><Key>Actions\Copy Measure</Key></a:Key><a:Value i:type="MeasureGridViewStateIDiagramAction"/></a:KeyValueOfDiagramObjectKeyanyTypezbwNTnLX><a:KeyValueOfDiagramObjectKeyanyTypezbwNTnLX><a:Key><Key>Actions\AutoMeasure_Sum</Key></a:Key><a:Value i:type="MeasureGridViewStateIDiagramAction"/></a:KeyValueOfDiagramObjectKeyanyTypezbwNTnLX><a:KeyValueOfDiagramObjectKeyanyTypezbwNTnLX><a:Key><Key>Actions\AutoMeasure_Count</Key></a:Key><a:Value i:type="MeasureGridViewStateIDiagramAction"/></a:KeyValueOfDiagramObjectKeyanyTypezbwNTnLX><a:KeyValueOfDiagramObjectKeyanyTypezbwNTnLX><a:Key><Key>Actions\AutoMeasure_Average</Key></a:Key><a:Value i:type="MeasureGridViewStateIDiagramAction"/></a:KeyValueOfDiagramObjectKeyanyTypezbwNTnLX><a:KeyValueOfDiagramObjectKeyanyTypezbwNTnLX><a:Key><Key>Actions\AutoMeasure_Max</Key></a:Key><a:Value i:type="MeasureGridViewStateIDiagramAction"/></a:KeyValueOfDiagramObjectKeyanyTypezbwNTnLX><a:KeyValueOfDiagramObjectKeyanyTypezbwNTnLX><a:Key><Key>Actions\AutoMeasure_Min</Key></a:Key><a:Value i:type="MeasureGridViewStateIDiagramAction"/></a:KeyValueOfDiagramObjectKeyanyTypezbwNTnLX><a:KeyValueOfDiagramObjectKeyanyTypezbwNTnLX><a:Key><Key>Actions\AutoMeasure_StdDev</Key></a:Key><a:Value i:type="MeasureGridViewStateIDiagramAction"/></a:KeyValueOfDiagramObjectKeyanyTypezbwNTnLX><a:KeyValueOfDiagramObjectKeyanyTypezbwNTnLX><a:Key><Key>Actions\AutoMeasure_StdDevp</Key></a:Key><a:Value i:type="MeasureGridViewStateIDiagramAction"/></a:KeyValueOfDiagramObjectKeyanyTypezbwNTnLX><a:KeyValueOfDiagramObjectKeyanyTypezbwNTnLX><a:Key><Key>Actions\AutoMeasure_Var</Key></a:Key><a:Value i:type="MeasureGridViewStateIDiagramAction"/></a:KeyValueOfDiagramObjectKeyanyTypezbwNTnLX><a:KeyValueOfDiagramObjectKeyanyTypezbwNTnLX><a:Key><Key>Actions\AutoMeasure_Varp</Key></a:Key><a:Value i:type="MeasureGridViewStateIDiagramAction"/></a:KeyValueOfDiagramObjectKeyanyTypezbwNTnLX><a:KeyValueOfDiagramObjectKeyanyTypezbwNTnLX><a:Key><Key>Actions\AutoMeasure_DistinctCount</Key></a:Key><a:Value i:type="MeasureGridViewStateIDiagramAction"/></a:KeyValueOfDiagramObjectKeyanyTypezbwNTnLX><a:KeyValueOfDiagramObjectKeyanyTypezbwNTnLX><a:Key><Key>Actions\Edit</Key></a:Key><a:Value i:type="MeasureGridViewStateIDiagramAction"/></a:KeyValueOfDiagramObjectKeyanyTypezbwNTnLX><a:KeyValueOfDiagramObjectKeyanyTypezbwNTnLX><a:Key><Key>Actions\Create</Key></a:Key><a:Value i:type="MeasureGridViewStateIDiagramAction"/></a:KeyValueOfDiagramObjectKeyanyTypezbwNTnLX><a:KeyValueOfDiagramObjectKeyanyTypezbwNTnLX><a:Key><Key>Actions\Format</Key></a:Key><a:Value i:type="MeasureGridViewStateIDiagramAction"/></a:KeyValueOfDiagramObjectKeyanyTypezbwNTnLX><a:KeyValueOfDiagramObjectKeyanyTypezbwNTnLX><a:Key><Key>Actions\Edit Description</Key></a:Key><a:Value i:type="MeasureGridViewStateIDiagramAction"/></a:KeyValueOfDiagramObjectKeyanyTypezbwNTnLX><a:KeyValueOfDiagramObjectKeyanyTypezbwNTnLX><a:Key><Key>Actions\Hide Measures</Key></a:Key><a:Value i:type="MeasureGridViewStateIDiagramAction"/></a:KeyValueOfDiagramObjectKeyanyTypezbwNTnLX><a:KeyValueOfDiagramObjectKeyanyTypezbwNTnLX><a:Key><Key>Actions\Unhide Measures</Key></a:Key><a:Value i:type="MeasureGridViewStateIDiagramAction"/></a:KeyValueOfDiagramObjectKeyanyTypezbwNTnLX><a:KeyValueOfDiagramObjectKeyanyTypezbwNTnLX><a:Key><Key>TagGroups\Types</Key></a:Key><a:Value i:type="MeasureGridViewStateIDiagramTagGroup"/></a:KeyValueOfDiagramObjectKeyanyTypezbwNTnLX><a:KeyValueOfDiagramObjectKeyanyTypezbwNTnLX><a:Key><Key>TagGroups\Link Types</Key></a:Key><a:Value i:type="MeasureGridViewStateIDiagramTagGroup"/></a:KeyValueOfDiagramObjectKeyanyTypezbwNTnLX><a:KeyValueOfDiagramObjectKeyanyTypezbwNTnLX><a:Key><Key>TagGroups\KPI</Key></a:Key><a:Value i:type="MeasureGridViewStateIDiagramTagGroup"/></a:KeyValueOfDiagramObjectKeyanyTypezbwNTnLX><a:KeyValueOfDiagramObjectKeyanyTypezbwNTnLX><a:Key><Key>TagGroups\Errors</Key></a:Key><a:Value i:type="MeasureGridViewStateIDiagramTagGroup"/></a:KeyValueOfDiagramObjectKeyanyTypezbwNTnLX><a:KeyValueOfDiagramObjectKeyanyTypezbwNTnLX><a:Key><Key>TagGroups\Values and Formulas</Key></a:Key><a:Value i:type="MeasureGridViewStateIDiagramTagGroup"/></a:KeyValueOfDiagramObjectKeyanyTypezbwNTnLX><a:KeyValueOfDiagramObjectKeyanyTypezbwNTnLX><a:Key><Key>TagGroups\State</Key></a:Key><a:Value i:type="MeasureGridViewStateIDiagramTagGroup"/></a:KeyValueOfDiagramObjectKeyanyTypezbwNTnLX><a:KeyValueOfDiagramObjectKeyanyTypezbwNTnLX><a:Key><Key>Static Tags\Column</Key></a:Key><a:Value i:type="MeasureGridViewStateIDiagramTag"/></a:KeyValueOfDiagramObjectKeyanyTypezbwNTnLX><a:KeyValueOfDiagramObjectKeyanyTypezbwNTnLX><a:Key><Key>Static Tags\Measure</Key></a:Key><a:Value i:type="MeasureGridViewStateIDiagramTag"/></a:KeyValueOfDiagramObjectKeyanyTypezbwNTnLX><a:KeyValueOfDiagramObjectKeyanyTypezbwNTnLX><a:Key><Key>Static Tags\Implicit Measure and Source Column Link</Key></a:Key><a:Value i:type="MeasureGridViewStateIDiagramTag"/></a:KeyValueOfDiagramObjectKeyanyTypezbwNTnLX><a:KeyValueOfDiagramObjectKeyanyTypezbwNTnLX><a:Key><Key>Static Tags\KPI</Key></a:Key><a:Value i:type="MeasureGridViewStateIDiagramTag"/></a:KeyValueOfDiagramObjectKeyanyTypezbwNTnLX><a:KeyValueOfDiagramObjectKeyanyTypezbwNTnLX><a:Key><Key>Static Tags\Semantic Error</Key></a:Key><a:Value i:type="MeasureGridViewStateIDiagramTag"/></a:KeyValueOfDiagramObjectKeyanyTypezbwNTnLX><a:KeyValueOfDiagramObjectKeyanyTypezbwNTnLX><a:Key><Key>Static Tags\Calculation Error</Key></a:Key><a:Value i:type="MeasureGridViewStateIDiagramTag"/></a:KeyValueOfDiagramObjectKeyanyTypezbwNTnLX><a:KeyValueOfDiagramObjectKeyanyTypezbwNTnLX><a:Key><Key>Static Tags\Value</Key></a:Key><a:Value i:type="MeasureGridViewStateIDiagramTag"/></a:KeyValueOfDiagramObjectKeyanyTypezbwNTnLX><a:KeyValueOfDiagramObjectKeyanyTypezbwNTnLX><a:Key><Key>Static Tags\Formula</Key></a:Key><a:Value i:type="MeasureGridViewStateIDiagramTag"/></a:KeyValueOfDiagramObjectKeyanyTypezbwNTnLX><a:KeyValueOfDiagramObjectKeyanyTypezbwNTnLX><a:Key><Key>Static Tags\Evaluation in progress</Key></a:Key><a:Value i:type="MeasureGridViewStateIDiagramTag"/></a:KeyValueOfDiagramObjectKeyanyTypezbwNTnLX><a:KeyValueOfDiagramObjectKeyanyTypezbwNTnLX><a:Key><Key>Static Tags\Is implicit measure</Key></a:Key><a:Value i:type="MeasureGridViewStateIDiagramTag"/></a:KeyValueOfDiagramObjectKeyanyTypezbwNTnLX><a:KeyValueOfDiagramObjectKeyanyTypezbwNTnLX><a:Key><Key>Static Tags\Hidden</Key></a:Key><a:Value i:type="MeasureGridViewStateIDiagramTag"/></a:KeyValueOfDiagramObjectKeyanyTypezbwNTnLX><a:KeyValueOfDiagramObjectKeyanyTypezbwNTnLX><a:Key><Key>Static Tags\Not in perspective</Key></a:Key><a:Value i:type="MeasureGridViewStateIDiagramTag"/></a:KeyValueOfDiagramObjectKeyanyTypezbwNTnLX><a:KeyValueOfDiagramObjectKeyanyTypezbwNTnLX><a:Key><Key>Static Tags\Is readonly</Key></a:Key><a:Value i:type="MeasureGridViewStateIDiagramTag"/></a:KeyValueOfDiagramObjectKeyanyTypezbwNTnLX><a:KeyValueOfDiagramObjectKeyanyTypezbwNTnLX><a:Key><Key>Measures\Gender Pay Gap</Key></a:Key><a:Value i:type="MeasureGridNodeViewState"><LayedOut>true</LayedOut></a:Value></a:KeyValueOfDiagramObjectKeyanyTypezbwNTnLX><a:KeyValueOfDiagramObjectKeyanyTypezbwNTnLX><a:Key><Key>Measures\Gender Pay Gap\TagInfo\Formula</Key></a:Key><a:Value i:type="MeasureGridViewStateIDiagramTagAdditionalInfo"/></a:KeyValueOfDiagramObjectKeyanyTypezbwNTnLX><a:KeyValueOfDiagramObjectKeyanyTypezbwNTnLX><a:Key><Key>Measures\Gender Pay Gap\TagInfo\Value</Key></a:Key><a:Value i:type="MeasureGridViewStateIDiagramTagAdditionalInfo"/></a:KeyValueOfDiagramObjectKeyanyTypezbwNTnLX><a:KeyValueOfDiagramObjectKeyanyTypezbwNTnLX><a:Key><Key>Measures\Salary Spread within Tier</Key></a:Key><a:Value i:type="MeasureGridNodeViewState"><LayedOut>true</LayedOut><Row>1</Row></a:Value></a:KeyValueOfDiagramObjectKeyanyTypezbwNTnLX><a:KeyValueOfDiagramObjectKeyanyTypezbwNTnLX><a:Key><Key>Measures\Salary Spread within Tier\TagInfo\Formula</Key></a:Key><a:Value i:type="MeasureGridViewStateIDiagramTagAdditionalInfo"/></a:KeyValueOfDiagramObjectKeyanyTypezbwNTnLX><a:KeyValueOfDiagramObjectKeyanyTypezbwNTnLX><a:Key><Key>Measures\Salary Spread within Tier\TagInfo\Value</Key></a:Key><a:Value i:type="MeasureGridViewStateIDiagramTagAdditionalInfo"/></a:KeyValueOfDiagramObjectKeyanyTypezbwNTnLX><a:KeyValueOfDiagramObjectKeyanyTypezbwNTnLX><a:Key><Key>Measures\Headcount</Key></a:Key><a:Value i:type="MeasureGridNodeViewState"><LayedOut>true</LayedOut><Row>2</Row></a:Value></a:KeyValueOfDiagramObjectKeyanyTypezbwNTnLX><a:KeyValueOfDiagramObjectKeyanyTypezbwNTnLX><a:Key><Key>Measures\Headcount\TagInfo\Formula</Key></a:Key><a:Value i:type="MeasureGridViewStateIDiagramTagAdditionalInfo"/></a:KeyValueOfDiagramObjectKeyanyTypezbwNTnLX><a:KeyValueOfDiagramObjectKeyanyTypezbwNTnLX><a:Key><Key>Measures\Headcount\TagInfo\Value</Key></a:Key><a:Value i:type="MeasureGridViewStateIDiagramTagAdditionalInfo"/></a:KeyValueOfDiagramObjectKeyanyTypezbwNTnLX><a:KeyValueOfDiagramObjectKeyanyTypezbwNTnLX><a:Key><Key>Measures\Total Monthly Premium Cost</Key></a:Key><a:Value i:type="MeasureGridNodeViewState"><LayedOut>true</LayedOut><Row>3</Row></a:Value></a:KeyValueOfDiagramObjectKeyanyTypezbwNTnLX><a:KeyValueOfDiagramObjectKeyanyTypezbwNTnLX><a:Key><Key>Measures\Total Monthly Premium Cost\TagInfo\Formula</Key></a:Key><a:Value i:type="MeasureGridViewStateIDiagramTagAdditionalInfo"/></a:KeyValueOfDiagramObjectKeyanyTypezbwNTnLX><a:KeyValueOfDiagramObjectKeyanyTypezbwNTnLX><a:Key><Key>Measures\Total Monthly Premium Cost\TagInfo\Value</Key></a:Key><a:Value i:type="MeasureGridViewStateIDiagramTagAdditionalInfo"/></a:KeyValueOfDiagramObjectKeyanyTypezbwNTnLX><a:KeyValueOfDiagramObjectKeyanyTypezbwNTnLX><a:Key><Key>Measures\Average Salary</Key></a:Key><a:Value i:type="MeasureGridNodeViewState"><LayedOut>true</LayedOut><Row>4</Row></a:Value></a:KeyValueOfDiagramObjectKeyanyTypezbwNTnLX><a:KeyValueOfDiagramObjectKeyanyTypezbwNTnLX><a:Key><Key>Measures\Average Salary\TagInfo\Formula</Key></a:Key><a:Value i:type="MeasureGridViewStateIDiagramTagAdditionalInfo"/></a:KeyValueOfDiagramObjectKeyanyTypezbwNTnLX><a:KeyValueOfDiagramObjectKeyanyTypezbwNTnLX><a:Key><Key>Measures\Average Salary\TagInfo\Value</Key></a:Key><a:Value i:type="MeasureGridViewStateIDiagramTagAdditionalInfo"/></a:KeyValueOfDiagramObjectKeyanyTypezbwNTnLX><a:KeyValueOfDiagramObjectKeyanyTypezbwNTnLX><a:Key><Key>Measures\High-Cost Employee %</Key></a:Key><a:Value i:type="MeasureGridNodeViewState"><LayedOut>true</LayedOut><Row>5</Row></a:Value></a:KeyValueOfDiagramObjectKeyanyTypezbwNTnLX><a:KeyValueOfDiagramObjectKeyanyTypezbwNTnLX><a:Key><Key>Measures\High-Cost Employee %\TagInfo\Formula</Key></a:Key><a:Value i:type="MeasureGridViewStateIDiagramTagAdditionalInfo"/></a:KeyValueOfDiagramObjectKeyanyTypezbwNTnLX><a:KeyValueOfDiagramObjectKeyanyTypezbwNTnLX><a:Key><Key>Measures\High-Cost Employee %\TagInfo\Value</Key></a:Key><a:Value i:type="MeasureGridViewStateIDiagramTagAdditionalInfo"/></a:KeyValueOfDiagramObjectKeyanyTypezbwNTnLX><a:KeyValueOfDiagramObjectKeyanyTypezbwNTnLX><a:Key><Key>Measures\Sum of Monthly Base Salary (INR)</Key></a:Key><a:Value i:type="MeasureGridNodeViewState"><Column>5</Column><LayedOut>true</LayedOut><WasUIInvisible>true</WasUIInvisible></a:Value></a:KeyValueOfDiagramObjectKeyanyTypezbwNTnLX><a:KeyValueOfDiagramObjectKeyanyTypezbwNTnLX><a:Key><Key>Measures\Sum of Monthly Base Salary (INR)\TagInfo\Formula</Key></a:Key><a:Value i:type="MeasureGridViewStateIDiagramTagAdditionalInfo"/></a:KeyValueOfDiagramObjectKeyanyTypezbwNTnLX><a:KeyValueOfDiagramObjectKeyanyTypezbwNTnLX><a:Key><Key>Measures\Sum of Monthly Base Salary (INR)\TagInfo\Value</Key></a:Key><a:Value i:type="MeasureGridViewStateIDiagramTagAdditionalInfo"/></a:KeyValueOfDiagramObjectKeyanyTypezbwNTnLX><a:KeyValueOfDiagramObjectKeyanyTypezbwNTnLX><a:Key><Key>Measures\Average of Monthly Base Salary (INR)</Key></a:Key><a:Value i:type="MeasureGridNodeViewState"><Column>5</Column><LayedOut>true</LayedOut><Row>1</Row><WasUIInvisible>true</WasUIInvisible></a:Value></a:KeyValueOfDiagramObjectKeyanyTypezbwNTnLX><a:KeyValueOfDiagramObjectKeyanyTypezbwNTnLX><a:Key><Key>Measures\Average of Monthly Base Salary (INR)\TagInfo\Formula</Key></a:Key><a:Value i:type="MeasureGridViewStateIDiagramTagAdditionalInfo"/></a:KeyValueOfDiagramObjectKeyanyTypezbwNTnLX><a:KeyValueOfDiagramObjectKeyanyTypezbwNTnLX><a:Key><Key>Measures\Average of Monthly Base Salary (INR)\TagInfo\Value</Key></a:Key><a:Value i:type="MeasureGridViewStateIDiagramTagAdditionalInfo"/></a:KeyValueOfDiagramObjectKeyanyTypezbwNTnLX><a:KeyValueOfDiagramObjectKeyanyTypezbwNTnLX><a:Key><Key>Measures\Count of Department</Key></a:Key><a:Value i:type="MeasureGridNodeViewState"><Column>3</Column><LayedOut>true</LayedOut><WasUIInvisible>true</WasUIInvisible></a:Value></a:KeyValueOfDiagramObjectKeyanyTypezbwNTnLX><a:KeyValueOfDiagramObjectKeyanyTypezbwNTnLX><a:Key><Key>Measures\Count of Department\TagInfo\Formula</Key></a:Key><a:Value i:type="MeasureGridViewStateIDiagramTagAdditionalInfo"/></a:KeyValueOfDiagramObjectKeyanyTypezbwNTnLX><a:KeyValueOfDiagramObjectKeyanyTypezbwNTnLX><a:Key><Key>Measures\Count of Department\TagInfo\Value</Key></a:Key><a:Value i:type="MeasureGridViewStateIDiagramTagAdditionalInfo"/></a:KeyValueOfDiagramObjectKeyanyTypezbwNTnLX><a:KeyValueOfDiagramObjectKeyanyTypezbwNTnLX><a:Key><Key>Measures\Count of Salary Tier</Key></a:Key><a:Value i:type="MeasureGridNodeViewState"><Column>10</Column><LayedOut>true</LayedOut><WasUIInvisible>true</WasUIInvisible></a:Value></a:KeyValueOfDiagramObjectKeyanyTypezbwNTnLX><a:KeyValueOfDiagramObjectKeyanyTypezbwNTnLX><a:Key><Key>Measures\Count of Salary Tier\TagInfo\Formula</Key></a:Key><a:Value i:type="MeasureGridViewStateIDiagramTagAdditionalInfo"/></a:KeyValueOfDiagramObjectKeyanyTypezbwNTnLX><a:KeyValueOfDiagramObjectKeyanyTypezbwNTnLX><a:Key><Key>Measures\Count of Salary Tier\TagInfo\Value</Key></a:Key><a:Value i:type="MeasureGridViewStateIDiagramTagAdditionalInfo"/></a:KeyValueOfDiagramObjectKeyanyTypezbwNTnLX><a:KeyValueOfDiagramObjectKeyanyTypezbwNTnLX><a:Key><Key>Measures\Count of Insurance tier</Key></a:Key><a:Value i:type="MeasureGridNodeViewState"><Column>7</Column><LayedOut>true</LayedOut><WasUIInvisible>true</WasUIInvisible></a:Value></a:KeyValueOfDiagramObjectKeyanyTypezbwNTnLX><a:KeyValueOfDiagramObjectKeyanyTypezbwNTnLX><a:Key><Key>Measures\Count of Insurance tier\TagInfo\Formula</Key></a:Key><a:Value i:type="MeasureGridViewStateIDiagramTagAdditionalInfo"/></a:KeyValueOfDiagramObjectKeyanyTypezbwNTnLX><a:KeyValueOfDiagramObjectKeyanyTypezbwNTnLX><a:Key><Key>Measures\Count of Insurance tier\TagInfo\Value</Key></a:Key><a:Value i:type="MeasureGridViewStateIDiagramTagAdditionalInfo"/></a:KeyValueOfDiagramObjectKeyanyTypezbwNTnLX><a:KeyValueOfDiagramObjectKeyanyTypezbwNTnLX><a:Key><Key>Measures\Max of Monthly Base Salary (INR)</Key></a:Key><a:Value i:type="MeasureGridNodeViewState"><Column>5</Column><LayedOut>true</LayedOut><WasUIInvisible>true</WasUIInvisible></a:Value></a:KeyValueOfDiagramObjectKeyanyTypezbwNTnLX><a:KeyValueOfDiagramObjectKeyanyTypezbwNTnLX><a:Key><Key>Measures\Max of Monthly Base Salary (INR)\TagInfo\Formula</Key></a:Key><a:Value i:type="MeasureGridViewStateIDiagramTagAdditionalInfo"/></a:KeyValueOfDiagramObjectKeyanyTypezbwNTnLX><a:KeyValueOfDiagramObjectKeyanyTypezbwNTnLX><a:Key><Key>Measures\Max of Monthly Base Salary (INR)\TagInfo\Value</Key></a:Key><a:Value i:type="MeasureGridViewStateIDiagramTagAdditionalInfo"/></a:KeyValueOfDiagramObjectKeyanyTypezbwNTnLX><a:KeyValueOfDiagramObjectKeyanyTypezbwNTnLX><a:Key><Key>Measures\Min of Monthly Base Salary (INR)</Key></a:Key><a:Value i:type="MeasureGridNodeViewState"><Column>5</Column><LayedOut>true</LayedOut><Row>1</Row><WasUIInvisible>true</WasUIInvisible></a:Value></a:KeyValueOfDiagramObjectKeyanyTypezbwNTnLX><a:KeyValueOfDiagramObjectKeyanyTypezbwNTnLX><a:Key><Key>Measures\Min of Monthly Base Salary (INR)\TagInfo\Formula</Key></a:Key><a:Value i:type="MeasureGridViewStateIDiagramTagAdditionalInfo"/></a:KeyValueOfDiagramObjectKeyanyTypezbwNTnLX><a:KeyValueOfDiagramObjectKeyanyTypezbwNTnLX><a:Key><Key>Measures\Min of Monthly Base Salary (INR)\TagInfo\Value</Key></a:Key><a:Value i:type="MeasureGridViewStateIDiagramTagAdditionalInfo"/></a:KeyValueOfDiagramObjectKeyanyTypezbwNTnLX><a:KeyValueOfDiagramObjectKeyanyTypezbwNTnLX><a:Key><Key>Measures\Sum of Monthly Premiums</Key></a:Key><a:Value i:type="MeasureGridNodeViewState"><Column>8</Column><LayedOut>true</LayedOut><WasUIInvisible>true</WasUIInvisible></a:Value></a:KeyValueOfDiagramObjectKeyanyTypezbwNTnLX><a:KeyValueOfDiagramObjectKeyanyTypezbwNTnLX><a:Key><Key>Measures\Sum of Monthly Premiums\TagInfo\Formula</Key></a:Key><a:Value i:type="MeasureGridViewStateIDiagramTagAdditionalInfo"/></a:KeyValueOfDiagramObjectKeyanyTypezbwNTnLX><a:KeyValueOfDiagramObjectKeyanyTypezbwNTnLX><a:Key><Key>Measures\Sum of Monthly Premiums\TagInfo\Value</Key></a:Key><a:Value i:type="MeasureGridViewStateIDiagramTagAdditionalInfo"/></a:KeyValueOfDiagramObjectKeyanyTypezbwNTnLX><a:KeyValueOfDiagramObjectKeyanyTypezbwNTnLX><a:Key><Key>Measures\Average of Monthly Premiums</Key></a:Key><a:Value i:type="MeasureGridNodeViewState"><Column>8</Column><LayedOut>true</LayedOut><Row>1</Row><WasUIInvisible>true</WasUIInvisible></a:Value></a:KeyValueOfDiagramObjectKeyanyTypezbwNTnLX><a:KeyValueOfDiagramObjectKeyanyTypezbwNTnLX><a:Key><Key>Measures\Average of Monthly Premiums\TagInfo\Formula</Key></a:Key><a:Value i:type="MeasureGridViewStateIDiagramTagAdditionalInfo"/></a:KeyValueOfDiagramObjectKeyanyTypezbwNTnLX><a:KeyValueOfDiagramObjectKeyanyTypezbwNTnLX><a:Key><Key>Measures\Average of Monthly Premiums\TagInfo\Value</Key></a:Key><a:Value i:type="MeasureGridViewStateIDiagramTagAdditionalInfo"/></a:KeyValueOfDiagramObjectKeyanyTypezbwNTnLX><a:KeyValueOfDiagramObjectKeyanyTypezbwNTnLX><a:Key><Key>Measures\Max of Monthly Premiums</Key></a:Key><a:Value i:type="MeasureGridNodeViewState"><Column>8</Column><LayedOut>true</LayedOut><Row>2</Row><WasUIInvisible>true</WasUIInvisible></a:Value></a:KeyValueOfDiagramObjectKeyanyTypezbwNTnLX><a:KeyValueOfDiagramObjectKeyanyTypezbwNTnLX><a:Key><Key>Measures\Max of Monthly Premiums\TagInfo\Formula</Key></a:Key><a:Value i:type="MeasureGridViewStateIDiagramTagAdditionalInfo"/></a:KeyValueOfDiagramObjectKeyanyTypezbwNTnLX><a:KeyValueOfDiagramObjectKeyanyTypezbwNTnLX><a:Key><Key>Measures\Max of Monthly Premiums\TagInfo\Value</Key></a:Key><a:Value i:type="MeasureGridViewStateIDiagramTagAdditionalInfo"/></a:KeyValueOfDiagramObjectKeyanyTypezbwNTnLX><a:KeyValueOfDiagramObjectKeyanyTypezbwNTnLX><a:Key><Key>Measures\Min of Monthly Premiums</Key></a:Key><a:Value i:type="MeasureGridNodeViewState"><Column>8</Column><LayedOut>true</LayedOut><Row>3</Row><WasUIInvisible>true</WasUIInvisible></a:Value></a:KeyValueOfDiagramObjectKeyanyTypezbwNTnLX><a:KeyValueOfDiagramObjectKeyanyTypezbwNTnLX><a:Key><Key>Measures\Min of Monthly Premiums\TagInfo\Formula</Key></a:Key><a:Value i:type="MeasureGridViewStateIDiagramTagAdditionalInfo"/></a:KeyValueOfDiagramObjectKeyanyTypezbwNTnLX><a:KeyValueOfDiagramObjectKeyanyTypezbwNTnLX><a:Key><Key>Measures\Min of Monthly Premiums\TagInfo\Value</Key></a:Key><a:Value i:type="MeasureGridViewStateIDiagramTagAdditionalInfo"/></a:KeyValueOfDiagramObjectKeyanyTypezbwNTnLX><a:KeyValueOfDiagramObjectKeyanyTypezbwNTnLX><a:Key><Key>Measures\Count of Monthly Premiums</Key></a:Key><a:Value i:type="MeasureGridNodeViewState"><Column>8</Column><LayedOut>true</LayedOut><Row>4</Row><WasUIInvisible>true</WasUIInvisible></a:Value></a:KeyValueOfDiagramObjectKeyanyTypezbwNTnLX><a:KeyValueOfDiagramObjectKeyanyTypezbwNTnLX><a:Key><Key>Measures\Count of Monthly Premiums\TagInfo\Formula</Key></a:Key><a:Value i:type="MeasureGridViewStateIDiagramTagAdditionalInfo"/></a:KeyValueOfDiagramObjectKeyanyTypezbwNTnLX><a:KeyValueOfDiagramObjectKeyanyTypezbwNTnLX><a:Key><Key>Measures\Count of Monthly Premiums\TagInfo\Value</Key></a:Key><a:Value i:type="MeasureGridViewStateIDiagramTagAdditionalInfo"/></a:KeyValueOfDiagramObjectKeyanyTypezbwNTnLX><a:KeyValueOfDiagramObjectKeyanyTypezbwNTnLX><a:Key><Key>Measures\Count of Location</Key></a:Key><a:Value i:type="MeasureGridNodeViewState"><Column>4</Column><LayedOut>true</LayedOut><WasUIInvisible>true</WasUIInvisible></a:Value></a:KeyValueOfDiagramObjectKeyanyTypezbwNTnLX><a:KeyValueOfDiagramObjectKeyanyTypezbwNTnLX><a:Key><Key>Measures\Count of Location\TagInfo\Formula</Key></a:Key><a:Value i:type="MeasureGridViewStateIDiagramTagAdditionalInfo"/></a:KeyValueOfDiagramObjectKeyanyTypezbwNTnLX><a:KeyValueOfDiagramObjectKeyanyTypezbwNTnLX><a:Key><Key>Measures\Count of Location\TagInfo\Value</Key></a:Key><a:Value i:type="MeasureGridViewStateIDiagramTagAdditionalInfo"/></a:KeyValueOfDiagramObjectKeyanyTypezbwNTnLX><a:KeyValueOfDiagramObjectKeyanyTypezbwNTnLX><a:Key><Key>Columns\Employee ID</Key></a:Key><a:Value i:type="MeasureGridNodeViewState"><LayedOut>true</LayedOut></a:Value></a:KeyValueOfDiagramObjectKeyanyTypezbwNTnLX><a:KeyValueOfDiagramObjectKeyanyTypezbwNTnLX><a:Key><Key>Columns\Full Name</Key></a:Key><a:Value i:type="MeasureGridNodeViewState"><Column>1</Column><LayedOut>true</LayedOut></a:Value></a:KeyValueOfDiagramObjectKeyanyTypezbwNTnLX><a:KeyValueOfDiagramObjectKeyanyTypezbwNTnLX><a:Key><Key>Columns\Gender</Key></a:Key><a:Value i:type="MeasureGridNodeViewState"><Column>2</Column><LayedOut>true</LayedOut></a:Value></a:KeyValueOfDiagramObjectKeyanyTypezbwNTnLX><a:KeyValueOfDiagramObjectKeyanyTypezbwNTnLX><a:Key><Key>Columns\Department</Key></a:Key><a:Value i:type="MeasureGridNodeViewState"><Column>3</Column><LayedOut>true</LayedOut></a:Value></a:KeyValueOfDiagramObjectKeyanyTypezbwNTnLX><a:KeyValueOfDiagramObjectKeyanyTypezbwNTnLX><a:Key><Key>Columns\Location</Key></a:Key><a:Value i:type="MeasureGridNodeViewState"><Column>4</Column><LayedOut>true</LayedOut></a:Value></a:KeyValueOfDiagramObjectKeyanyTypezbwNTnLX><a:KeyValueOfDiagramObjectKeyanyTypezbwNTnLX><a:Key><Key>Columns\Monthly Base Salary (INR)</Key></a:Key><a:Value i:type="MeasureGridNodeViewState"><Column>5</Column><LayedOut>true</LayedOut></a:Value></a:KeyValueOfDiagramObjectKeyanyTypezbwNTnLX><a:KeyValueOfDiagramObjectKeyanyTypezbwNTnLX><a:Key><Key>Columns\Corporate Benefit Plan</Key></a:Key><a:Value i:type="MeasureGridNodeViewState"><Column>6</Column><LayedOut>true</LayedOut></a:Value></a:KeyValueOfDiagramObjectKeyanyTypezbwNTnLX><a:KeyValueOfDiagramObjectKeyanyTypezbwNTnLX><a:Key><Key>Columns\Insurance tier</Key></a:Key><a:Value i:type="MeasureGridNodeViewState"><Column>7</Column><LayedOut>true</LayedOut></a:Value></a:KeyValueOfDiagramObjectKeyanyTypezbwNTnLX><a:KeyValueOfDiagramObjectKeyanyTypezbwNTnLX><a:Key><Key>Columns\Monthly Premiums</Key></a:Key><a:Value i:type="MeasureGridNodeViewState"><Column>8</Column><LayedOut>true</LayedOut></a:Value></a:KeyValueOfDiagramObjectKeyanyTypezbwNTnLX><a:KeyValueOfDiagramObjectKeyanyTypezbwNTnLX><a:Key><Key>Columns\Salary Bracket</Key></a:Key><a:Value i:type="MeasureGridNodeViewState"><Column>9</Column><LayedOut>true</LayedOut></a:Value></a:KeyValueOfDiagramObjectKeyanyTypezbwNTnLX><a:KeyValueOfDiagramObjectKeyanyTypezbwNTnLX><a:Key><Key>Columns\Salary Tier</Key></a:Key><a:Value i:type="MeasureGridNodeViewState"><Column>10</Column><LayedOut>true</LayedOut></a:Value></a:KeyValueOfDiagramObjectKeyanyTypezbwNTnLX><a:KeyValueOfDiagramObjectKeyanyTypezbwNTnLX><a:Key><Key>Columns\Vendor Survey Job Code</Key></a:Key><a:Value i:type="MeasureGridNodeViewState"><Column>11</Column><LayedOut>true</LayedOut></a:Value></a:KeyValueOfDiagramObjectKeyanyTypezbwNTnLX><a:KeyValueOfDiagramObjectKeyanyTypezbwNTnLX><a:Key><Key>Columns\Vendor Global Group Name</Key></a:Key><a:Value i:type="MeasureGridNodeViewState"><Column>12</Column><LayedOut>true</LayedOut></a:Value></a:KeyValueOfDiagramObjectKeyanyTypezbwNTnLX><a:KeyValueOfDiagramObjectKeyanyTypezbwNTnLX><a:Key><Key>Links\&lt;Columns\Sum of Monthly Base Salary (INR)&gt;-&lt;Measures\Monthly Base Salary (INR)&gt;</Key></a:Key><a:Value i:type="MeasureGridViewStateIDiagramLink"/></a:KeyValueOfDiagramObjectKeyanyTypezbwNTnLX><a:KeyValueOfDiagramObjectKeyanyTypezbwNTnLX><a:Key><Key>Links\&lt;Columns\Sum of Monthly Base Salary (INR)&gt;-&lt;Measures\Monthly Base Salary (INR)&gt;\COLUMN</Key></a:Key><a:Value i:type="MeasureGridViewStateIDiagramLinkEndpoint"/></a:KeyValueOfDiagramObjectKeyanyTypezbwNTnLX><a:KeyValueOfDiagramObjectKeyanyTypezbwNTnLX><a:Key><Key>Links\&lt;Columns\Sum of Monthly Base Salary (INR)&gt;-&lt;Measures\Monthly Base Salary (INR)&gt;\MEASURE</Key></a:Key><a:Value i:type="MeasureGridViewStateIDiagramLinkEndpoint"/></a:KeyValueOfDiagramObjectKeyanyTypezbwNTnLX><a:KeyValueOfDiagramObjectKeyanyTypezbwNTnLX><a:Key><Key>Links\&lt;Columns\Average of Monthly Base Salary (INR)&gt;-&lt;Measures\Monthly Base Salary (INR)&gt;</Key></a:Key><a:Value i:type="MeasureGridViewStateIDiagramLink"/></a:KeyValueOfDiagramObjectKeyanyTypezbwNTnLX><a:KeyValueOfDiagramObjectKeyanyTypezbwNTnLX><a:Key><Key>Links\&lt;Columns\Average of Monthly Base Salary (INR)&gt;-&lt;Measures\Monthly Base Salary (INR)&gt;\COLUMN</Key></a:Key><a:Value i:type="MeasureGridViewStateIDiagramLinkEndpoint"/></a:KeyValueOfDiagramObjectKeyanyTypezbwNTnLX><a:KeyValueOfDiagramObjectKeyanyTypezbwNTnLX><a:Key><Key>Links\&lt;Columns\Average of Monthly Base Salary (INR)&gt;-&lt;Measures\Monthly Base Salary (INR)&gt;\MEASURE</Key></a:Key><a:Value i:type="MeasureGridViewStateIDiagramLinkEndpoint"/></a:KeyValueOfDiagramObjectKeyanyTypezbwNTnLX><a:KeyValueOfDiagramObjectKeyanyTypezbwNTnLX><a:Key><Key>Links\&lt;Columns\Count of Department&gt;-&lt;Measures\Department&gt;</Key></a:Key><a:Value i:type="MeasureGridViewStateIDiagramLink"/></a:KeyValueOfDiagramObjectKeyanyTypezbwNTnLX><a:KeyValueOfDiagramObjectKeyanyTypezbwNTnLX><a:Key><Key>Links\&lt;Columns\Count of Department&gt;-&lt;Measures\Department&gt;\COLUMN</Key></a:Key><a:Value i:type="MeasureGridViewStateIDiagramLinkEndpoint"/></a:KeyValueOfDiagramObjectKeyanyTypezbwNTnLX><a:KeyValueOfDiagramObjectKeyanyTypezbwNTnLX><a:Key><Key>Links\&lt;Columns\Count of Department&gt;-&lt;Measures\Department&gt;\MEASURE</Key></a:Key><a:Value i:type="MeasureGridViewStateIDiagramLinkEndpoint"/></a:KeyValueOfDiagramObjectKeyanyTypezbwNTnLX><a:KeyValueOfDiagramObjectKeyanyTypezbwNTnLX><a:Key><Key>Links\&lt;Columns\Count of Salary Tier&gt;-&lt;Measures\Salary Tier&gt;</Key></a:Key><a:Value i:type="MeasureGridViewStateIDiagramLink"/></a:KeyValueOfDiagramObjectKeyanyTypezbwNTnLX><a:KeyValueOfDiagramObjectKeyanyTypezbwNTnLX><a:Key><Key>Links\&lt;Columns\Count of Salary Tier&gt;-&lt;Measures\Salary Tier&gt;\COLUMN</Key></a:Key><a:Value i:type="MeasureGridViewStateIDiagramLinkEndpoint"/></a:KeyValueOfDiagramObjectKeyanyTypezbwNTnLX><a:KeyValueOfDiagramObjectKeyanyTypezbwNTnLX><a:Key><Key>Links\&lt;Columns\Count of Salary Tier&gt;-&lt;Measures\Salary Tier&gt;\MEASURE</Key></a:Key><a:Value i:type="MeasureGridViewStateIDiagramLinkEndpoint"/></a:KeyValueOfDiagramObjectKeyanyTypezbwNTnLX><a:KeyValueOfDiagramObjectKeyanyTypezbwNTnLX><a:Key><Key>Links\&lt;Columns\Count of Insurance tier&gt;-&lt;Measures\Insurance tier&gt;</Key></a:Key><a:Value i:type="MeasureGridViewStateIDiagramLink"/></a:KeyValueOfDiagramObjectKeyanyTypezbwNTnLX><a:KeyValueOfDiagramObjectKeyanyTypezbwNTnLX><a:Key><Key>Links\&lt;Columns\Count of Insurance tier&gt;-&lt;Measures\Insurance tier&gt;\COLUMN</Key></a:Key><a:Value i:type="MeasureGridViewStateIDiagramLinkEndpoint"/></a:KeyValueOfDiagramObjectKeyanyTypezbwNTnLX><a:KeyValueOfDiagramObjectKeyanyTypezbwNTnLX><a:Key><Key>Links\&lt;Columns\Count of Insurance tier&gt;-&lt;Measures\Insurance tier&gt;\MEASURE</Key></a:Key><a:Value i:type="MeasureGridViewStateIDiagramLinkEndpoint"/></a:KeyValueOfDiagramObjectKeyanyTypezbwNTnLX><a:KeyValueOfDiagramObjectKeyanyTypezbwNTnLX><a:Key><Key>Links\&lt;Columns\Max of Monthly Base Salary (INR)&gt;-&lt;Measures\Monthly Base Salary (INR)&gt;</Key></a:Key><a:Value i:type="MeasureGridViewStateIDiagramLink"/></a:KeyValueOfDiagramObjectKeyanyTypezbwNTnLX><a:KeyValueOfDiagramObjectKeyanyTypezbwNTnLX><a:Key><Key>Links\&lt;Columns\Max of Monthly Base Salary (INR)&gt;-&lt;Measures\Monthly Base Salary (INR)&gt;\COLUMN</Key></a:Key><a:Value i:type="MeasureGridViewStateIDiagramLinkEndpoint"/></a:KeyValueOfDiagramObjectKeyanyTypezbwNTnLX><a:KeyValueOfDiagramObjectKeyanyTypezbwNTnLX><a:Key><Key>Links\&lt;Columns\Max of Monthly Base Salary (INR)&gt;-&lt;Measures\Monthly Base Salary (INR)&gt;\MEASURE</Key></a:Key><a:Value i:type="MeasureGridViewStateIDiagramLinkEndpoint"/></a:KeyValueOfDiagramObjectKeyanyTypezbwNTnLX><a:KeyValueOfDiagramObjectKeyanyTypezbwNTnLX><a:Key><Key>Links\&lt;Columns\Min of Monthly Base Salary (INR)&gt;-&lt;Measures\Monthly Base Salary (INR)&gt;</Key></a:Key><a:Value i:type="MeasureGridViewStateIDiagramLink"/></a:KeyValueOfDiagramObjectKeyanyTypezbwNTnLX><a:KeyValueOfDiagramObjectKeyanyTypezbwNTnLX><a:Key><Key>Links\&lt;Columns\Min of Monthly Base Salary (INR)&gt;-&lt;Measures\Monthly Base Salary (INR)&gt;\COLUMN</Key></a:Key><a:Value i:type="MeasureGridViewStateIDiagramLinkEndpoint"/></a:KeyValueOfDiagramObjectKeyanyTypezbwNTnLX><a:KeyValueOfDiagramObjectKeyanyTypezbwNTnLX><a:Key><Key>Links\&lt;Columns\Min of Monthly Base Salary (INR)&gt;-&lt;Measures\Monthly Base Salary (INR)&gt;\MEASURE</Key></a:Key><a:Value i:type="MeasureGridViewStateIDiagramLinkEndpoint"/></a:KeyValueOfDiagramObjectKeyanyTypezbwNTnLX><a:KeyValueOfDiagramObjectKeyanyTypezbwNTnLX><a:Key><Key>Links\&lt;Columns\Sum of Monthly Premiums&gt;-&lt;Measures\Monthly Premiums&gt;</Key></a:Key><a:Value i:type="MeasureGridViewStateIDiagramLink"/></a:KeyValueOfDiagramObjectKeyanyTypezbwNTnLX><a:KeyValueOfDiagramObjectKeyanyTypezbwNTnLX><a:Key><Key>Links\&lt;Columns\Sum of Monthly Premiums&gt;-&lt;Measures\Monthly Premiums&gt;\COLUMN</Key></a:Key><a:Value i:type="MeasureGridViewStateIDiagramLinkEndpoint"/></a:KeyValueOfDiagramObjectKeyanyTypezbwNTnLX><a:KeyValueOfDiagramObjectKeyanyTypezbwNTnLX><a:Key><Key>Links\&lt;Columns\Sum of Monthly Premiums&gt;-&lt;Measures\Monthly Premiums&gt;\MEASURE</Key></a:Key><a:Value i:type="MeasureGridViewStateIDiagramLinkEndpoint"/></a:KeyValueOfDiagramObjectKeyanyTypezbwNTnLX><a:KeyValueOfDiagramObjectKeyanyTypezbwNTnLX><a:Key><Key>Links\&lt;Columns\Average of Monthly Premiums&gt;-&lt;Measures\Monthly Premiums&gt;</Key></a:Key><a:Value i:type="MeasureGridViewStateIDiagramLink"/></a:KeyValueOfDiagramObjectKeyanyTypezbwNTnLX><a:KeyValueOfDiagramObjectKeyanyTypezbwNTnLX><a:Key><Key>Links\&lt;Columns\Average of Monthly Premiums&gt;-&lt;Measures\Monthly Premiums&gt;\COLUMN</Key></a:Key><a:Value i:type="MeasureGridViewStateIDiagramLinkEndpoint"/></a:KeyValueOfDiagramObjectKeyanyTypezbwNTnLX><a:KeyValueOfDiagramObjectKeyanyTypezbwNTnLX><a:Key><Key>Links\&lt;Columns\Average of Monthly Premiums&gt;-&lt;Measures\Monthly Premiums&gt;\MEASURE</Key></a:Key><a:Value i:type="MeasureGridViewStateIDiagramLinkEndpoint"/></a:KeyValueOfDiagramObjectKeyanyTypezbwNTnLX><a:KeyValueOfDiagramObjectKeyanyTypezbwNTnLX><a:Key><Key>Links\&lt;Columns\Max of Monthly Premiums&gt;-&lt;Measures\Monthly Premiums&gt;</Key></a:Key><a:Value i:type="MeasureGridViewStateIDiagramLink"/></a:KeyValueOfDiagramObjectKeyanyTypezbwNTnLX><a:KeyValueOfDiagramObjectKeyanyTypezbwNTnLX><a:Key><Key>Links\&lt;Columns\Max of Monthly Premiums&gt;-&lt;Measures\Monthly Premiums&gt;\COLUMN</Key></a:Key><a:Value i:type="MeasureGridViewStateIDiagramLinkEndpoint"/></a:KeyValueOfDiagramObjectKeyanyTypezbwNTnLX><a:KeyValueOfDiagramObjectKeyanyTypezbwNTnLX><a:Key><Key>Links\&lt;Columns\Max of Monthly Premiums&gt;-&lt;Measures\Monthly Premiums&gt;\MEASURE</Key></a:Key><a:Value i:type="MeasureGridViewStateIDiagramLinkEndpoint"/></a:KeyValueOfDiagramObjectKeyanyTypezbwNTnLX><a:KeyValueOfDiagramObjectKeyanyTypezbwNTnLX><a:Key><Key>Links\&lt;Columns\Min of Monthly Premiums&gt;-&lt;Measures\Monthly Premiums&gt;</Key></a:Key><a:Value i:type="MeasureGridViewStateIDiagramLink"/></a:KeyValueOfDiagramObjectKeyanyTypezbwNTnLX><a:KeyValueOfDiagramObjectKeyanyTypezbwNTnLX><a:Key><Key>Links\&lt;Columns\Min of Monthly Premiums&gt;-&lt;Measures\Monthly Premiums&gt;\COLUMN</Key></a:Key><a:Value i:type="MeasureGridViewStateIDiagramLinkEndpoint"/></a:KeyValueOfDiagramObjectKeyanyTypezbwNTnLX><a:KeyValueOfDiagramObjectKeyanyTypezbwNTnLX><a:Key><Key>Links\&lt;Columns\Min of Monthly Premiums&gt;-&lt;Measures\Monthly Premiums&gt;\MEASURE</Key></a:Key><a:Value i:type="MeasureGridViewStateIDiagramLinkEndpoint"/></a:KeyValueOfDiagramObjectKeyanyTypezbwNTnLX><a:KeyValueOfDiagramObjectKeyanyTypezbwNTnLX><a:Key><Key>Links\&lt;Columns\Count of Monthly Premiums&gt;-&lt;Measures\Monthly Premiums&gt;</Key></a:Key><a:Value i:type="MeasureGridViewStateIDiagramLink"/></a:KeyValueOfDiagramObjectKeyanyTypezbwNTnLX><a:KeyValueOfDiagramObjectKeyanyTypezbwNTnLX><a:Key><Key>Links\&lt;Columns\Count of Monthly Premiums&gt;-&lt;Measures\Monthly Premiums&gt;\COLUMN</Key></a:Key><a:Value i:type="MeasureGridViewStateIDiagramLinkEndpoint"/></a:KeyValueOfDiagramObjectKeyanyTypezbwNTnLX><a:KeyValueOfDiagramObjectKeyanyTypezbwNTnLX><a:Key><Key>Links\&lt;Columns\Count of Monthly Premiums&gt;-&lt;Measures\Monthly Premiums&gt;\MEASURE</Key></a:Key><a:Value i:type="MeasureGridViewStateIDiagramLinkEndpoint"/></a:KeyValueOfDiagramObjectKeyanyTypezbwNTnLX><a:KeyValueOfDiagramObjectKeyanyTypezbwNTnLX><a:Key><Key>Links\&lt;Columns\Count of Location&gt;-&lt;Measures\Location&gt;</Key></a:Key><a:Value i:type="MeasureGridViewStateIDiagramLink"/></a:KeyValueOfDiagramObjectKeyanyTypezbwNTnLX><a:KeyValueOfDiagramObjectKeyanyTypezbwNTnLX><a:Key><Key>Links\&lt;Columns\Count of Location&gt;-&lt;Measures\Location&gt;\COLUMN</Key></a:Key><a:Value i:type="MeasureGridViewStateIDiagramLinkEndpoint"/></a:KeyValueOfDiagramObjectKeyanyTypezbwNTnLX><a:KeyValueOfDiagramObjectKeyanyTypezbwNTnLX><a:Key><Key>Links\&lt;Columns\Count of Location&gt;-&lt;Measures\Location&gt;\MEASURE</Key></a:Key><a:Value i:type="MeasureGridViewStateIDiagramLinkEndpoint"/></a:KeyValueOfDiagramObjectKeyanyTypezbwNTnLX></ViewStates></DiagramManager.SerializableDiagram></ArrayOfDiagramManager.SerializableDiagram>]]></CustomContent>
</Gemini>
</file>

<file path=customXml/item59.xml><?xml version="1.0" encoding="utf-8"?>
<Gemini xmlns="http://gemini/pivotcustomization/15edf32e-dff6-49c9-ae2a-faefe8f43788">
  <CustomContent><![CDATA[<?xml version="1.0" encoding="utf-16"?><Settings><CalculatedFields><item><MeasureName>Gender Pay Gap</MeasureName><DisplayName>Gender Pay Gap</DisplayName><Visible>False</Visible></item><item><MeasureName>Salary Spread within Tier</MeasureName><DisplayName>Salary Spread within Tier</DisplayName><Visible>False</Visible></item><item><MeasureName>Headcount</MeasureName><DisplayName>Headcount</DisplayName><Visible>False</Visible></item><item><MeasureName>Total Monthly Premium Cost</MeasureName><DisplayName>Total Monthly Premium Cost</DisplayName><Visible>False</Visible></item><item><MeasureName>Average Salary</MeasureName><DisplayName>Average Salary</DisplayName><Visible>False</Visible></item><item><MeasureName>High-Cost Employee %</MeasureName><DisplayName>High-Cost Employee %</DisplayName><Visible>False</Visible></item></CalculatedFields><SAHostHash>0</SAHostHash><GeminiFieldListVisible>True</GeminiFieldListVisible></Settings>]]></CustomContent>
</Gemini>
</file>

<file path=customXml/item60.xml><?xml version="1.0" encoding="utf-8"?>
<Gemini xmlns="http://gemini/pivotcustomization/d550a711-d8ab-4ed8-8bd9-313f9e72055a">
  <CustomContent><![CDATA[<?xml version="1.0" encoding="utf-16"?><Settings><CalculatedFields><item><MeasureName>Gender Pay Gap</MeasureName><DisplayName>Gender Pay Gap</DisplayName><Visible>False</Visible></item><item><MeasureName>Salary Spread within Tier</MeasureName><DisplayName>Salary Spread within Tier</DisplayName><Visible>False</Visible></item></CalculatedFields><SAHostHash>0</SAHostHash><GeminiFieldListVisible>True</GeminiFieldListVisible></Settings>]]></CustomContent>
</Gemini>
</file>

<file path=customXml/item61.xml><?xml version="1.0" encoding="utf-8"?>
<Gemini xmlns="http://gemini/pivotcustomization/TableWidget">
  <CustomContent><![CDATA[<ArrayOfDiagramManager.SerializableDiagram xmlns="http://schemas.datacontract.org/2004/07/Microsoft.AnalysisServices.Common" xmlns:i="http://www.w3.org/2001/XMLSchema-instance"><DiagramManager.SerializableDiagram><Adapter i:type="TableWidgetViewModelSandboxAdapter"><TableName>Query_Audit_Exceptions</TableName></Adapter><DiagramType>TableWidgetViewModel</DiagramType><DisplayContext i:type="TableWidgetDisplayContext"><IsFilteredTagKey><Key>Static Tags\Has Filter</Key></IsFilteredTagKey><IsInTypeBooleanKey><Key>Static Tags\Is Boolean</Key></IsInTypeBooleanKey><IsInTypeNumberKey><Key>Static Tags\Is Number</Key></IsInTypeNumberKey><IsInTypeTextKey><Key>Static Tags\Is Text</Key></IsInTypeTextKey><IsInTypeTimeKey><Key>Static Tags\Is Time</Key></IsInTypeTimeKey><IsSortAscendingTagKey><Key>Static Tags\Is Sorted Ascending</Key></IsSortAscendingTagKey><IsSortDescendingTagKey><Key>Static Tags\Is Sorted Descending</Key></IsSortDescendingTagKey><IsSortableTagKey><Key>Static Tags\can be sorted</Key></IsSortableTagKey></DisplayContext><DisplayType>TableWidgetPanel</DisplayType><Key i:type="SandboxEditorTableWidgetViewModelKey"><TableName>Query_Audit_Exceptions</TableName></Key><Maintainer i:type="TableWidgetViewModel.TableWidgetViewModelMaintainer"/><ViewStateFactoryType>Microsoft.AnalysisServices.Common.TableWidgetViewStateFactory</ViewStateFactoryType><ViewStates xmlns:a="http://schemas.microsoft.com/2003/10/Serialization/Arrays"><a:KeyValueOfDiagramObjectKeyanyTypezbwNTnLX><a:Key><Key>TableWidgetGrid Model</Key></a:Key><a:Value i:type="TableWidgetBaseViewState"/></a:KeyValueOfDiagramObjectKeyanyTypezbwNTnLX><a:KeyValueOfDiagramObjectKeyanyTypezbwNTnLX><a:Key><Key>Actions\Sort Ascending</Key></a:Key><a:Value i:type="TableWidgetBaseViewState"/></a:KeyValueOfDiagramObjectKeyanyTypezbwNTnLX><a:KeyValueOfDiagramObjectKeyanyTypezbwNTnLX><a:Key><Key>Actions\Sort Descending</Key></a:Key><a:Value i:type="TableWidgetBaseViewState"/></a:KeyValueOfDiagramObjectKeyanyTypezbwNTnLX><a:KeyValueOfDiagramObjectKeyanyTypezbwNTnLX><a:Key><Key>Actions\Clear Sort from this Column</Key></a:Key><a:Value i:type="TableWidgetBaseViewState"/></a:KeyValueOfDiagramObjectKeyanyTypezbwNTnLX><a:KeyValueOfDiagramObjectKeyanyTypezbwNTnLX><a:Key><Key>Actions\Clear Sort from this Table</Key></a:Key><a:Value i:type="TableWidgetBaseViewState"/></a:KeyValueOfDiagramObjectKeyanyTypezbwNTnLX><a:KeyValueOfDiagramObjectKeyanyTypezbwNTnLX><a:Key><Key>Actions\Load Top N Distinct Values</Key></a:Key><a:Value i:type="TableWidgetBaseViewState"/></a:KeyValueOfDiagramObjectKeyanyTypezbwNTnLX><a:KeyValueOfDiagramObjectKeyanyTypezbwNTnLX><a:Key><Key>TagGroups\Node Types</Key></a:Key><a:Value i:type="TableWidgetBaseViewState"/></a:KeyValueOfDiagramObjectKeyanyTypezbwNTnLX><a:KeyValueOfDiagramObjectKeyanyTypezbwNTnLX><a:Key><Key>TagGroups\Data Type</Key></a:Key><a:Value i:type="TableWidgetBaseViewState"/></a:KeyValueOfDiagramObjectKeyanyTypezbwNTnLX><a:KeyValueOfDiagramObjectKeyanyTypezbwNTnLX><a:Key><Key>TagGroups\State</Key></a:Key><a:Value i:type="TableWidgetBaseViewState"/></a:KeyValueOfDiagramObjectKeyanyTypezbwNTnLX><a:KeyValueOfDiagramObjectKeyanyTypezbwNTnLX><a:Key><Key>Static Tags\Column</Key></a:Key><a:Value i:type="TableWidgetBaseViewState"/></a:KeyValueOfDiagramObjectKeyanyTypezbwNTnLX><a:KeyValueOfDiagramObjectKeyanyTypezbwNTnLX><a:Key><Key>Static Tags\Is Boolean</Key></a:Key><a:Value i:type="TableWidgetBaseViewState"/></a:KeyValueOfDiagramObjectKeyanyTypezbwNTnLX><a:KeyValueOfDiagramObjectKeyanyTypezbwNTnLX><a:Key><Key>Static Tags\Is Number</Key></a:Key><a:Value i:type="TableWidgetBaseViewState"/></a:KeyValueOfDiagramObjectKeyanyTypezbwNTnLX><a:KeyValueOfDiagramObjectKeyanyTypezbwNTnLX><a:Key><Key>Static Tags\Is Text</Key></a:Key><a:Value i:type="TableWidgetBaseViewState"/></a:KeyValueOfDiagramObjectKeyanyTypezbwNTnLX><a:KeyValueOfDiagramObjectKeyanyTypezbwNTnLX><a:Key><Key>Static Tags\Is Time</Key></a:Key><a:Value i:type="TableWidgetBaseViewState"/></a:KeyValueOfDiagramObjectKeyanyTypezbwNTnLX><a:KeyValueOfDiagramObjectKeyanyTypezbwNTnLX><a:Key><Key>Static Tags\can be sorted</Key></a:Key><a:Value i:type="TableWidgetBaseViewState"/></a:KeyValueOfDiagramObjectKeyanyTypezbwNTnLX><a:KeyValueOfDiagramObjectKeyanyTypezbwNTnLX><a:Key><Key>Static Tags\Is Sorted Ascending</Key></a:Key><a:Value i:type="TableWidgetBaseViewState"/></a:KeyValueOfDiagramObjectKeyanyTypezbwNTnLX><a:KeyValueOfDiagramObjectKeyanyTypezbwNTnLX><a:Key><Key>Static Tags\Is Sorted Descending</Key></a:Key><a:Value i:type="TableWidgetBaseViewState"/></a:KeyValueOfDiagramObjectKeyanyTypezbwNTnLX><a:KeyValueOfDiagramObjectKeyanyTypezbwNTnLX><a:Key><Key>Static Tags\Has Filter</Key></a:Key><a:Value i:type="TableWidgetBaseViewState"/></a:KeyValueOfDiagramObjectKeyanyTypezbwNTnLX><a:KeyValueOfDiagramObjectKeyanyTypezbwNTnLX><a:Key><Key>Static Tags\  </Key></a:Key><a:Value i:type="TableWidgetBaseViewState"/></a:KeyValueOfDiagramObjectKeyanyTypezbwNTnLX><a:KeyValueOfDiagramObjectKeyanyTypezbwNTnLX><a:Key><Key>Static Tags\Is Private</Key></a:Key><a:Value i:type="TableWidgetBaseViewState"/></a:KeyValueOfDiagramObjectKeyanyTypezbwNTnLX><a:KeyValueOfDiagramObjectKeyanyTypezbwNTnLX><a:Key><Key>Columns\Employee ID</Key></a:Key><a:Value i:type="TableWidgetBaseViewState"/></a:KeyValueOfDiagramObjectKeyanyTypezbwNTnLX><a:KeyValueOfDiagramObjectKeyanyTypezbwNTnLX><a:Key><Key>Columns\Full Name</Key></a:Key><a:Value i:type="TableWidgetBaseViewState"/></a:KeyValueOfDiagramObjectKeyanyTypezbwNTnLX><a:KeyValueOfDiagramObjectKeyanyTypezbwNTnLX><a:Key><Key>Columns\Gender</Key></a:Key><a:Value i:type="TableWidgetBaseViewState"/></a:KeyValueOfDiagramObjectKeyanyTypezbwNTnLX><a:KeyValueOfDiagramObjectKeyanyTypezbwNTnLX><a:Key><Key>Columns\Department</Key></a:Key><a:Value i:type="TableWidgetBaseViewState"/></a:KeyValueOfDiagramObjectKeyanyTypezbwNTnLX><a:KeyValueOfDiagramObjectKeyanyTypezbwNTnLX><a:Key><Key>Columns\Location</Key></a:Key><a:Value i:type="TableWidgetBaseViewState"/></a:KeyValueOfDiagramObjectKeyanyTypezbwNTnLX><a:KeyValueOfDiagramObjectKeyanyTypezbwNTnLX><a:Key><Key>Columns\Monthly Base Salary (INR)</Key></a:Key><a:Value i:type="TableWidgetBaseViewState"/></a:KeyValueOfDiagramObjectKeyanyTypezbwNTnLX><a:KeyValueOfDiagramObjectKeyanyTypezbwNTnLX><a:Key><Key>Columns\Corporate Benefit Plan</Key></a:Key><a:Value i:type="TableWidgetBaseViewState"/></a:KeyValueOfDiagramObjectKeyanyTypezbwNTnLX><a:KeyValueOfDiagramObjectKeyanyTypezbwNTnLX><a:Key><Key>Columns\Insurance tier</Key></a:Key><a:Value i:type="TableWidgetBaseViewState"/></a:KeyValueOfDiagramObjectKeyanyTypezbwNTnLX><a:KeyValueOfDiagramObjectKeyanyTypezbwNTnLX><a:Key><Key>Columns\Monthly Premiums</Key></a:Key><a:Value i:type="TableWidgetBaseViewState"/></a:KeyValueOfDiagramObjectKeyanyTypezbwNTnLX><a:KeyValueOfDiagramObjectKeyanyTypezbwNTnLX><a:Key><Key>Columns\Salary Bracket</Key></a:Key><a:Value i:type="TableWidgetBaseViewState"/></a:KeyValueOfDiagramObjectKeyanyTypezbwNTnLX><a:KeyValueOfDiagramObjectKeyanyTypezbwNTnLX><a:Key><Key>Columns\Salary Tier</Key></a:Key><a:Value i:type="TableWidgetBaseViewState"/></a:KeyValueOfDiagramObjectKeyanyTypezbwNTnLX><a:KeyValueOfDiagramObjectKeyanyTypezbwNTnLX><a:Key><Key>Columns\Vendor Survey Job Code</Key></a:Key><a:Value i:type="TableWidgetBaseViewState"/></a:KeyValueOfDiagramObjectKeyanyTypezbwNTnLX><a:KeyValueOfDiagramObjectKeyanyTypezbwNTnLX><a:Key><Key>Columns\Vendor Global Group Name</Key></a:Key><a:Value i:type="TableWidgetBaseViewState"/></a:KeyValueOfDiagramObjectKeyanyTypezbwNTnLX><a:KeyValueOfDiagramObjectKeyanyTypezbwNTnLX><a:Key><Key>Columns\  </Key></a:Key><a:Value i:type="TableWidgetBaseViewState"/></a:KeyValueOfDiagramObjectKeyanyTypezbwNTnLX></ViewStates></DiagramManager.SerializableDiagram><DiagramManager.SerializableDiagram><Adapter i:type="TableWidgetViewModelSandboxAdapter"><TableName>Query_Audit_Exceptions 1</TableName></Adapter><DiagramType>TableWidgetViewModel</DiagramType><DisplayContext i:type="TableWidgetDisplayContext"><IsFilteredTagKey><Key>Static Tags\Has Filter</Key></IsFilteredTagKey><IsInTypeBooleanKey><Key>Static Tags\Is Boolean</Key></IsInTypeBooleanKey><IsInTypeNumberKey><Key>Static Tags\Is Number</Key></IsInTypeNumberKey><IsInTypeTextKey><Key>Static Tags\Is Text</Key></IsInTypeTextKey><IsInTypeTimeKey><Key>Static Tags\Is Time</Key></IsInTypeTimeKey><IsSortAscendingTagKey><Key>Static Tags\Is Sorted Ascending</Key></IsSortAscendingTagKey><IsSortDescendingTagKey><Key>Static Tags\Is Sorted Descending</Key></IsSortDescendingTagKey><IsSortableTagKey><Key>Static Tags\can be sorted</Key></IsSortableTagKey></DisplayContext><DisplayType>TableWidgetPanel</DisplayType><Key i:type="SandboxEditorTableWidgetViewModelKey"><TableName>Query_Audit_Exceptions 1</TableName></Key><Maintainer i:type="TableWidgetViewModel.TableWidgetViewModelMaintainer"/><ViewStateFactoryType>Microsoft.AnalysisServices.Common.TableWidgetViewStateFactory</ViewStateFactoryType><ViewStates xmlns:a="http://schemas.microsoft.com/2003/10/Serialization/Arrays"><a:KeyValueOfDiagramObjectKeyanyTypezbwNTnLX><a:Key><Key>TableWidgetGrid Model</Key></a:Key><a:Value i:type="TableWidgetBaseViewState"/></a:KeyValueOfDiagramObjectKeyanyTypezbwNTnLX><a:KeyValueOfDiagramObjectKeyanyTypezbwNTnLX><a:Key><Key>Actions\Sort Ascending</Key></a:Key><a:Value i:type="TableWidgetBaseViewState"/></a:KeyValueOfDiagramObjectKeyanyTypezbwNTnLX><a:KeyValueOfDiagramObjectKeyanyTypezbwNTnLX><a:Key><Key>Actions\Sort Descending</Key></a:Key><a:Value i:type="TableWidgetBaseViewState"/></a:KeyValueOfDiagramObjectKeyanyTypezbwNTnLX><a:KeyValueOfDiagramObjectKeyanyTypezbwNTnLX><a:Key><Key>Actions\Clear Sort from this Column</Key></a:Key><a:Value i:type="TableWidgetBaseViewState"/></a:KeyValueOfDiagramObjectKeyanyTypezbwNTnLX><a:KeyValueOfDiagramObjectKeyanyTypezbwNTnLX><a:Key><Key>Actions\Clear Sort from this Table</Key></a:Key><a:Value i:type="TableWidgetBaseViewState"/></a:KeyValueOfDiagramObjectKeyanyTypezbwNTnLX><a:KeyValueOfDiagramObjectKeyanyTypezbwNTnLX><a:Key><Key>Actions\Load Top N Distinct Values</Key></a:Key><a:Value i:type="TableWidgetBaseViewState"/></a:KeyValueOfDiagramObjectKeyanyTypezbwNTnLX><a:KeyValueOfDiagramObjectKeyanyTypezbwNTnLX><a:Key><Key>TagGroups\Node Types</Key></a:Key><a:Value i:type="TableWidgetBaseViewState"/></a:KeyValueOfDiagramObjectKeyanyTypezbwNTnLX><a:KeyValueOfDiagramObjectKeyanyTypezbwNTnLX><a:Key><Key>TagGroups\Data Type</Key></a:Key><a:Value i:type="TableWidgetBaseViewState"/></a:KeyValueOfDiagramObjectKeyanyTypezbwNTnLX><a:KeyValueOfDiagramObjectKeyanyTypezbwNTnLX><a:Key><Key>TagGroups\State</Key></a:Key><a:Value i:type="TableWidgetBaseViewState"/></a:KeyValueOfDiagramObjectKeyanyTypezbwNTnLX><a:KeyValueOfDiagramObjectKeyanyTypezbwNTnLX><a:Key><Key>Static Tags\Column</Key></a:Key><a:Value i:type="TableWidgetBaseViewState"/></a:KeyValueOfDiagramObjectKeyanyTypezbwNTnLX><a:KeyValueOfDiagramObjectKeyanyTypezbwNTnLX><a:Key><Key>Static Tags\Is Boolean</Key></a:Key><a:Value i:type="TableWidgetBaseViewState"/></a:KeyValueOfDiagramObjectKeyanyTypezbwNTnLX><a:KeyValueOfDiagramObjectKeyanyTypezbwNTnLX><a:Key><Key>Static Tags\Is Number</Key></a:Key><a:Value i:type="TableWidgetBaseViewState"/></a:KeyValueOfDiagramObjectKeyanyTypezbwNTnLX><a:KeyValueOfDiagramObjectKeyanyTypezbwNTnLX><a:Key><Key>Static Tags\Is Text</Key></a:Key><a:Value i:type="TableWidgetBaseViewState"/></a:KeyValueOfDiagramObjectKeyanyTypezbwNTnLX><a:KeyValueOfDiagramObjectKeyanyTypezbwNTnLX><a:Key><Key>Static Tags\Is Time</Key></a:Key><a:Value i:type="TableWidgetBaseViewState"/></a:KeyValueOfDiagramObjectKeyanyTypezbwNTnLX><a:KeyValueOfDiagramObjectKeyanyTypezbwNTnLX><a:Key><Key>Static Tags\can be sorted</Key></a:Key><a:Value i:type="TableWidgetBaseViewState"/></a:KeyValueOfDiagramObjectKeyanyTypezbwNTnLX><a:KeyValueOfDiagramObjectKeyanyTypezbwNTnLX><a:Key><Key>Static Tags\Is Sorted Ascending</Key></a:Key><a:Value i:type="TableWidgetBaseViewState"/></a:KeyValueOfDiagramObjectKeyanyTypezbwNTnLX><a:KeyValueOfDiagramObjectKeyanyTypezbwNTnLX><a:Key><Key>Static Tags\Is Sorted Descending</Key></a:Key><a:Value i:type="TableWidgetBaseViewState"/></a:KeyValueOfDiagramObjectKeyanyTypezbwNTnLX><a:KeyValueOfDiagramObjectKeyanyTypezbwNTnLX><a:Key><Key>Static Tags\Has Filter</Key></a:Key><a:Value i:type="TableWidgetBaseViewState"/></a:KeyValueOfDiagramObjectKeyanyTypezbwNTnLX><a:KeyValueOfDiagramObjectKeyanyTypezbwNTnLX><a:Key><Key>Static Tags\  </Key></a:Key><a:Value i:type="TableWidgetBaseViewState"/></a:KeyValueOfDiagramObjectKeyanyTypezbwNTnLX><a:KeyValueOfDiagramObjectKeyanyTypezbwNTnLX><a:Key><Key>Static Tags\Is Private</Key></a:Key><a:Value i:type="TableWidgetBaseViewState"/></a:KeyValueOfDiagramObjectKeyanyTypezbwNTnLX><a:KeyValueOfDiagramObjectKeyanyTypezbwNTnLX><a:Key><Key>Columns\Employee ID</Key></a:Key><a:Value i:type="TableWidgetBaseViewState"/></a:KeyValueOfDiagramObjectKeyanyTypezbwNTnLX><a:KeyValueOfDiagramObjectKeyanyTypezbwNTnLX><a:Key><Key>Columns\Full Name</Key></a:Key><a:Value i:type="TableWidgetBaseViewState"/></a:KeyValueOfDiagramObjectKeyanyTypezbwNTnLX><a:KeyValueOfDiagramObjectKeyanyTypezbwNTnLX><a:Key><Key>Columns\Gender</Key></a:Key><a:Value i:type="TableWidgetBaseViewState"/></a:KeyValueOfDiagramObjectKeyanyTypezbwNTnLX><a:KeyValueOfDiagramObjectKeyanyTypezbwNTnLX><a:Key><Key>Columns\Department</Key></a:Key><a:Value i:type="TableWidgetBaseViewState"/></a:KeyValueOfDiagramObjectKeyanyTypezbwNTnLX><a:KeyValueOfDiagramObjectKeyanyTypezbwNTnLX><a:Key><Key>Columns\Location</Key></a:Key><a:Value i:type="TableWidgetBaseViewState"/></a:KeyValueOfDiagramObjectKeyanyTypezbwNTnLX><a:KeyValueOfDiagramObjectKeyanyTypezbwNTnLX><a:Key><Key>Columns\Monthly Base Salary (INR)</Key></a:Key><a:Value i:type="TableWidgetBaseViewState"/></a:KeyValueOfDiagramObjectKeyanyTypezbwNTnLX><a:KeyValueOfDiagramObjectKeyanyTypezbwNTnLX><a:Key><Key>Columns\Corporate Benefit Plan</Key></a:Key><a:Value i:type="TableWidgetBaseViewState"/></a:KeyValueOfDiagramObjectKeyanyTypezbwNTnLX><a:KeyValueOfDiagramObjectKeyanyTypezbwNTnLX><a:Key><Key>Columns\Insurance tier</Key></a:Key><a:Value i:type="TableWidgetBaseViewState"/></a:KeyValueOfDiagramObjectKeyanyTypezbwNTnLX><a:KeyValueOfDiagramObjectKeyanyTypezbwNTnLX><a:Key><Key>Columns\Monthly Premiums</Key></a:Key><a:Value i:type="TableWidgetBaseViewState"/></a:KeyValueOfDiagramObjectKeyanyTypezbwNTnLX><a:KeyValueOfDiagramObjectKeyanyTypezbwNTnLX><a:Key><Key>Columns\Salary Bracket</Key></a:Key><a:Value i:type="TableWidgetBaseViewState"/></a:KeyValueOfDiagramObjectKeyanyTypezbwNTnLX><a:KeyValueOfDiagramObjectKeyanyTypezbwNTnLX><a:Key><Key>Columns\Salary Tier</Key></a:Key><a:Value i:type="TableWidgetBaseViewState"/></a:KeyValueOfDiagramObjectKeyanyTypezbwNTnLX><a:KeyValueOfDiagramObjectKeyanyTypezbwNTnLX><a:Key><Key>Columns\Vendor Survey Job Code</Key></a:Key><a:Value i:type="TableWidgetBaseViewState"/></a:KeyValueOfDiagramObjectKeyanyTypezbwNTnLX><a:KeyValueOfDiagramObjectKeyanyTypezbwNTnLX><a:Key><Key>Columns\Vendor Global Group Name</Key></a:Key><a:Value i:type="TableWidgetBaseViewState"/></a:KeyValueOfDiagramObjectKeyanyTypezbwNTnLX><a:KeyValueOfDiagramObjectKeyanyTypezbwNTnLX><a:Key><Key>Columns\  </Key></a:Key><a:Value i:type="TableWidgetBaseViewState"/></a:KeyValueOfDiagramObjectKeyanyTypezbwNTnLX></ViewStates></DiagramManager.SerializableDiagram><DiagramManager.SerializableDiagram><Adapter i:type="TableWidgetViewModelSandboxAdapter"><TableName>Indian_Corporate_Workforce_Dataset  3</TableName></Adapter><DiagramType>TableWidgetViewModel</DiagramType><DisplayContext i:type="TableWidgetDisplayContext"><IsFilteredTagKey><Key>Static Tags\Has Filter</Key></IsFilteredTagKey><IsInTypeBooleanKey><Key>Static Tags\Is Boolean</Key></IsInTypeBooleanKey><IsInTypeNumberKey><Key>Static Tags\Is Number</Key></IsInTypeNumberKey><IsInTypeTextKey><Key>Static Tags\Is Text</Key></IsInTypeTextKey><IsInTypeTimeKey><Key>Static Tags\Is Time</Key></IsInTypeTimeKey><IsSortAscendingTagKey><Key>Static Tags\Is Sorted Ascending</Key></IsSortAscendingTagKey><IsSortDescendingTagKey><Key>Static Tags\Is Sorted Descending</Key></IsSortDescendingTagKey><IsSortableTagKey><Key>Static Tags\can be sorted</Key></IsSortableTagKey></DisplayContext><DisplayType>TableWidgetPanel</DisplayType><Key i:type="SandboxEditorTableWidgetViewModelKey"><TableName>Indian_Corporate_Workforce_Dataset  3</TableName></Key><Maintainer i:type="TableWidgetViewModel.TableWidgetViewModelMaintainer"/><ViewStateFactoryType>Microsoft.AnalysisServices.Common.TableWidgetViewStateFactory</ViewStateFactoryType><ViewStates xmlns:a="http://schemas.microsoft.com/2003/10/Serialization/Arrays"><a:KeyValueOfDiagramObjectKeyanyTypezbwNTnLX><a:Key><Key>TableWidgetGrid Model</Key></a:Key><a:Value i:type="TableWidgetBaseViewState"/></a:KeyValueOfDiagramObjectKeyanyTypezbwNTnLX><a:KeyValueOfDiagramObjectKeyanyTypezbwNTnLX><a:Key><Key>Actions\Sort Ascending</Key></a:Key><a:Value i:type="TableWidgetBaseViewState"/></a:KeyValueOfDiagramObjectKeyanyTypezbwNTnLX><a:KeyValueOfDiagramObjectKeyanyTypezbwNTnLX><a:Key><Key>Actions\Sort Descending</Key></a:Key><a:Value i:type="TableWidgetBaseViewState"/></a:KeyValueOfDiagramObjectKeyanyTypezbwNTnLX><a:KeyValueOfDiagramObjectKeyanyTypezbwNTnLX><a:Key><Key>Actions\Clear Sort from this Column</Key></a:Key><a:Value i:type="TableWidgetBaseViewState"/></a:KeyValueOfDiagramObjectKeyanyTypezbwNTnLX><a:KeyValueOfDiagramObjectKeyanyTypezbwNTnLX><a:Key><Key>Actions\Clear Sort from this Table</Key></a:Key><a:Value i:type="TableWidgetBaseViewState"/></a:KeyValueOfDiagramObjectKeyanyTypezbwNTnLX><a:KeyValueOfDiagramObjectKeyanyTypezbwNTnLX><a:Key><Key>Actions\Load Top N Distinct Values</Key></a:Key><a:Value i:type="TableWidgetBaseViewState"/></a:KeyValueOfDiagramObjectKeyanyTypezbwNTnLX><a:KeyValueOfDiagramObjectKeyanyTypezbwNTnLX><a:Key><Key>TagGroups\Node Types</Key></a:Key><a:Value i:type="TableWidgetBaseViewState"/></a:KeyValueOfDiagramObjectKeyanyTypezbwNTnLX><a:KeyValueOfDiagramObjectKeyanyTypezbwNTnLX><a:Key><Key>TagGroups\Data Type</Key></a:Key><a:Value i:type="TableWidgetBaseViewState"/></a:KeyValueOfDiagramObjectKeyanyTypezbwNTnLX><a:KeyValueOfDiagramObjectKeyanyTypezbwNTnLX><a:Key><Key>TagGroups\State</Key></a:Key><a:Value i:type="TableWidgetBaseViewState"/></a:KeyValueOfDiagramObjectKeyanyTypezbwNTnLX><a:KeyValueOfDiagramObjectKeyanyTypezbwNTnLX><a:Key><Key>Static Tags\Column</Key></a:Key><a:Value i:type="TableWidgetBaseViewState"/></a:KeyValueOfDiagramObjectKeyanyTypezbwNTnLX><a:KeyValueOfDiagramObjectKeyanyTypezbwNTnLX><a:Key><Key>Static Tags\Is Boolean</Key></a:Key><a:Value i:type="TableWidgetBaseViewState"/></a:KeyValueOfDiagramObjectKeyanyTypezbwNTnLX><a:KeyValueOfDiagramObjectKeyanyTypezbwNTnLX><a:Key><Key>Static Tags\Is Number</Key></a:Key><a:Value i:type="TableWidgetBaseViewState"/></a:KeyValueOfDiagramObjectKeyanyTypezbwNTnLX><a:KeyValueOfDiagramObjectKeyanyTypezbwNTnLX><a:Key><Key>Static Tags\Is Text</Key></a:Key><a:Value i:type="TableWidgetBaseViewState"/></a:KeyValueOfDiagramObjectKeyanyTypezbwNTnLX><a:KeyValueOfDiagramObjectKeyanyTypezbwNTnLX><a:Key><Key>Static Tags\Is Time</Key></a:Key><a:Value i:type="TableWidgetBaseViewState"/></a:KeyValueOfDiagramObjectKeyanyTypezbwNTnLX><a:KeyValueOfDiagramObjectKeyanyTypezbwNTnLX><a:Key><Key>Static Tags\can be sorted</Key></a:Key><a:Value i:type="TableWidgetBaseViewState"/></a:KeyValueOfDiagramObjectKeyanyTypezbwNTnLX><a:KeyValueOfDiagramObjectKeyanyTypezbwNTnLX><a:Key><Key>Static Tags\Is Sorted Ascending</Key></a:Key><a:Value i:type="TableWidgetBaseViewState"/></a:KeyValueOfDiagramObjectKeyanyTypezbwNTnLX><a:KeyValueOfDiagramObjectKeyanyTypezbwNTnLX><a:Key><Key>Static Tags\Is Sorted Descending</Key></a:Key><a:Value i:type="TableWidgetBaseViewState"/></a:KeyValueOfDiagramObjectKeyanyTypezbwNTnLX><a:KeyValueOfDiagramObjectKeyanyTypezbwNTnLX><a:Key><Key>Static Tags\Has Filter</Key></a:Key><a:Value i:type="TableWidgetBaseViewState"/></a:KeyValueOfDiagramObjectKeyanyTypezbwNTnLX><a:KeyValueOfDiagramObjectKeyanyTypezbwNTnLX><a:Key><Key>Static Tags\  </Key></a:Key><a:Value i:type="TableWidgetBaseViewState"/></a:KeyValueOfDiagramObjectKeyanyTypezbwNTnLX><a:KeyValueOfDiagramObjectKeyanyTypezbwNTnLX><a:Key><Key>Static Tags\Is Private</Key></a:Key><a:Value i:type="TableWidgetBaseViewState"/></a:KeyValueOfDiagramObjectKeyanyTypezbwNTnLX><a:KeyValueOfDiagramObjectKeyanyTypezbwNTnLX><a:Key><Key>Columns\Employee ID</Key></a:Key><a:Value i:type="TableWidgetBaseViewState"/></a:KeyValueOfDiagramObjectKeyanyTypezbwNTnLX><a:KeyValueOfDiagramObjectKeyanyTypezbwNTnLX><a:Key><Key>Columns\Full Name</Key></a:Key><a:Value i:type="TableWidgetBaseViewState"/></a:KeyValueOfDiagramObjectKeyanyTypezbwNTnLX><a:KeyValueOfDiagramObjectKeyanyTypezbwNTnLX><a:Key><Key>Columns\Department</Key></a:Key><a:Value i:type="TableWidgetBaseViewState"/></a:KeyValueOfDiagramObjectKeyanyTypezbwNTnLX><a:KeyValueOfDiagramObjectKeyanyTypezbwNTnLX><a:Key><Key>Columns\Location</Key></a:Key><a:Value i:type="TableWidgetBaseViewState"/></a:KeyValueOfDiagramObjectKeyanyTypezbwNTnLX><a:KeyValueOfDiagramObjectKeyanyTypezbwNTnLX><a:Key><Key>Columns\Monthly Base Salary (INR)</Key></a:Key><a:Value i:type="TableWidgetBaseViewState"/></a:KeyValueOfDiagramObjectKeyanyTypezbwNTnLX><a:KeyValueOfDiagramObjectKeyanyTypezbwNTnLX><a:Key><Key>Columns\Corporate Benefit Plan</Key></a:Key><a:Value i:type="TableWidgetBaseViewState"/></a:KeyValueOfDiagramObjectKeyanyTypezbwNTnLX><a:KeyValueOfDiagramObjectKeyanyTypezbwNTnLX><a:Key><Key>Columns\Insurance tier</Key></a:Key><a:Value i:type="TableWidgetBaseViewState"/></a:KeyValueOfDiagramObjectKeyanyTypezbwNTnLX><a:KeyValueOfDiagramObjectKeyanyTypezbwNTnLX><a:Key><Key>Columns\Monthly Premiums</Key></a:Key><a:Value i:type="TableWidgetBaseViewState"/></a:KeyValueOfDiagramObjectKeyanyTypezbwNTnLX><a:KeyValueOfDiagramObjectKeyanyTypezbwNTnLX><a:Key><Key>Columns\Salary Bracket</Key></a:Key><a:Value i:type="TableWidgetBaseViewState"/></a:KeyValueOfDiagramObjectKeyanyTypezbwNTnLX><a:KeyValueOfDiagramObjectKeyanyTypezbwNTnLX><a:Key><Key>Columns\  </Key></a:Key><a:Value i:type="TableWidgetBaseViewState"/></a:KeyValueOfDiagramObjectKeyanyTypezbwNTnLX></ViewStates></DiagramManager.SerializableDiagram><DiagramManager.SerializableDiagram><Adapter i:type="TableWidgetViewModelSandboxAdapter"><TableName>Indian_Corporate_Workforce_Dataset  2</TableName></Adapter><DiagramType>TableWidgetViewModel</DiagramType><DisplayContext i:type="TableWidgetDisplayContext"><IsFilteredTagKey><Key>Static Tags\Has Filter</Key></IsFilteredTagKey><IsInTypeBooleanKey><Key>Static Tags\Is Boolean</Key></IsInTypeBooleanKey><IsInTypeNumberKey><Key>Static Tags\Is Number</Key></IsInTypeNumberKey><IsInTypeTextKey><Key>Static Tags\Is Text</Key></IsInTypeTextKey><IsInTypeTimeKey><Key>Static Tags\Is Time</Key></IsInTypeTimeKey><IsSortAscendingTagKey><Key>Static Tags\Is Sorted Ascending</Key></IsSortAscendingTagKey><IsSortDescendingTagKey><Key>Static Tags\Is Sorted Descending</Key></IsSortDescendingTagKey><IsSortableTagKey><Key>Static Tags\can be sorted</Key></IsSortableTagKey></DisplayContext><DisplayType>TableWidgetPanel</DisplayType><Key i:type="SandboxEditorTableWidgetViewModelKey"><TableName>Indian_Corporate_Workforce_Dataset  2</TableName></Key><Maintainer i:type="TableWidgetViewModel.TableWidgetViewModelMaintainer"/><ViewStateFactoryType>Microsoft.AnalysisServices.Common.TableWidgetViewStateFactory</ViewStateFactoryType><ViewStates xmlns:a="http://schemas.microsoft.com/2003/10/Serialization/Arrays"><a:KeyValueOfDiagramObjectKeyanyTypezbwNTnLX><a:Key><Key>TableWidgetGrid Model</Key></a:Key><a:Value i:type="TableWidgetBaseViewState"/></a:KeyValueOfDiagramObjectKeyanyTypezbwNTnLX><a:KeyValueOfDiagramObjectKeyanyTypezbwNTnLX><a:Key><Key>Actions\Sort Ascending</Key></a:Key><a:Value i:type="TableWidgetBaseViewState"/></a:KeyValueOfDiagramObjectKeyanyTypezbwNTnLX><a:KeyValueOfDiagramObjectKeyanyTypezbwNTnLX><a:Key><Key>Actions\Sort Descending</Key></a:Key><a:Value i:type="TableWidgetBaseViewState"/></a:KeyValueOfDiagramObjectKeyanyTypezbwNTnLX><a:KeyValueOfDiagramObjectKeyanyTypezbwNTnLX><a:Key><Key>Actions\Clear Sort from this Column</Key></a:Key><a:Value i:type="TableWidgetBaseViewState"/></a:KeyValueOfDiagramObjectKeyanyTypezbwNTnLX><a:KeyValueOfDiagramObjectKeyanyTypezbwNTnLX><a:Key><Key>Actions\Clear Sort from this Table</Key></a:Key><a:Value i:type="TableWidgetBaseViewState"/></a:KeyValueOfDiagramObjectKeyanyTypezbwNTnLX><a:KeyValueOfDiagramObjectKeyanyTypezbwNTnLX><a:Key><Key>Actions\Load Top N Distinct Values</Key></a:Key><a:Value i:type="TableWidgetBaseViewState"/></a:KeyValueOfDiagramObjectKeyanyTypezbwNTnLX><a:KeyValueOfDiagramObjectKeyanyTypezbwNTnLX><a:Key><Key>TagGroups\Node Types</Key></a:Key><a:Value i:type="TableWidgetBaseViewState"/></a:KeyValueOfDiagramObjectKeyanyTypezbwNTnLX><a:KeyValueOfDiagramObjectKeyanyTypezbwNTnLX><a:Key><Key>TagGroups\Data Type</Key></a:Key><a:Value i:type="TableWidgetBaseViewState"/></a:KeyValueOfDiagramObjectKeyanyTypezbwNTnLX><a:KeyValueOfDiagramObjectKeyanyTypezbwNTnLX><a:Key><Key>TagGroups\State</Key></a:Key><a:Value i:type="TableWidgetBaseViewState"/></a:KeyValueOfDiagramObjectKeyanyTypezbwNTnLX><a:KeyValueOfDiagramObjectKeyanyTypezbwNTnLX><a:Key><Key>Static Tags\Column</Key></a:Key><a:Value i:type="TableWidgetBaseViewState"/></a:KeyValueOfDiagramObjectKeyanyTypezbwNTnLX><a:KeyValueOfDiagramObjectKeyanyTypezbwNTnLX><a:Key><Key>Static Tags\Is Boolean</Key></a:Key><a:Value i:type="TableWidgetBaseViewState"/></a:KeyValueOfDiagramObjectKeyanyTypezbwNTnLX><a:KeyValueOfDiagramObjectKeyanyTypezbwNTnLX><a:Key><Key>Static Tags\Is Number</Key></a:Key><a:Value i:type="TableWidgetBaseViewState"/></a:KeyValueOfDiagramObjectKeyanyTypezbwNTnLX><a:KeyValueOfDiagramObjectKeyanyTypezbwNTnLX><a:Key><Key>Static Tags\Is Text</Key></a:Key><a:Value i:type="TableWidgetBaseViewState"/></a:KeyValueOfDiagramObjectKeyanyTypezbwNTnLX><a:KeyValueOfDiagramObjectKeyanyTypezbwNTnLX><a:Key><Key>Static Tags\Is Time</Key></a:Key><a:Value i:type="TableWidgetBaseViewState"/></a:KeyValueOfDiagramObjectKeyanyTypezbwNTnLX><a:KeyValueOfDiagramObjectKeyanyTypezbwNTnLX><a:Key><Key>Static Tags\can be sorted</Key></a:Key><a:Value i:type="TableWidgetBaseViewState"/></a:KeyValueOfDiagramObjectKeyanyTypezbwNTnLX><a:KeyValueOfDiagramObjectKeyanyTypezbwNTnLX><a:Key><Key>Static Tags\Is Sorted Ascending</Key></a:Key><a:Value i:type="TableWidgetBaseViewState"/></a:KeyValueOfDiagramObjectKeyanyTypezbwNTnLX><a:KeyValueOfDiagramObjectKeyanyTypezbwNTnLX><a:Key><Key>Static Tags\Is Sorted Descending</Key></a:Key><a:Value i:type="TableWidgetBaseViewState"/></a:KeyValueOfDiagramObjectKeyanyTypezbwNTnLX><a:KeyValueOfDiagramObjectKeyanyTypezbwNTnLX><a:Key><Key>Static Tags\Has Filter</Key></a:Key><a:Value i:type="TableWidgetBaseViewState"/></a:KeyValueOfDiagramObjectKeyanyTypezbwNTnLX><a:KeyValueOfDiagramObjectKeyanyTypezbwNTnLX><a:Key><Key>Static Tags\  </Key></a:Key><a:Value i:type="TableWidgetBaseViewState"/></a:KeyValueOfDiagramObjectKeyanyTypezbwNTnLX><a:KeyValueOfDiagramObjectKeyanyTypezbwNTnLX><a:Key><Key>Static Tags\Is Private</Key></a:Key><a:Value i:type="TableWidgetBaseViewState"/></a:KeyValueOfDiagramObjectKeyanyTypezbwNTnLX><a:KeyValueOfDiagramObjectKeyanyTypezbwNTnLX><a:Key><Key>Columns\Employee ID</Key></a:Key><a:Value i:type="TableWidgetBaseViewState"/></a:KeyValueOfDiagramObjectKeyanyTypezbwNTnLX><a:KeyValueOfDiagramObjectKeyanyTypezbwNTnLX><a:Key><Key>Columns\Full Name</Key></a:Key><a:Value i:type="TableWidgetBaseViewState"/></a:KeyValueOfDiagramObjectKeyanyTypezbwNTnLX><a:KeyValueOfDiagramObjectKeyanyTypezbwNTnLX><a:Key><Key>Columns\Gender</Key></a:Key><a:Value i:type="TableWidgetBaseViewState"/></a:KeyValueOfDiagramObjectKeyanyTypezbwNTnLX><a:KeyValueOfDiagramObjectKeyanyTypezbwNTnLX><a:Key><Key>Columns\Department</Key></a:Key><a:Value i:type="TableWidgetBaseViewState"/></a:KeyValueOfDiagramObjectKeyanyTypezbwNTnLX><a:KeyValueOfDiagramObjectKeyanyTypezbwNTnLX><a:Key><Key>Columns\Location</Key></a:Key><a:Value i:type="TableWidgetBaseViewState"/></a:KeyValueOfDiagramObjectKeyanyTypezbwNTnLX><a:KeyValueOfDiagramObjectKeyanyTypezbwNTnLX><a:Key><Key>Columns\Monthly Base Salary (INR)</Key></a:Key><a:Value i:type="TableWidgetBaseViewState"/></a:KeyValueOfDiagramObjectKeyanyTypezbwNTnLX><a:KeyValueOfDiagramObjectKeyanyTypezbwNTnLX><a:Key><Key>Columns\Corporate Benefit Plan</Key></a:Key><a:Value i:type="TableWidgetBaseViewState"/></a:KeyValueOfDiagramObjectKeyanyTypezbwNTnLX><a:KeyValueOfDiagramObjectKeyanyTypezbwNTnLX><a:Key><Key>Columns\Insurance tier</Key></a:Key><a:Value i:type="TableWidgetBaseViewState"/></a:KeyValueOfDiagramObjectKeyanyTypezbwNTnLX><a:KeyValueOfDiagramObjectKeyanyTypezbwNTnLX><a:Key><Key>Columns\Monthly Premiums</Key></a:Key><a:Value i:type="TableWidgetBaseViewState"/></a:KeyValueOfDiagramObjectKeyanyTypezbwNTnLX><a:KeyValueOfDiagramObjectKeyanyTypezbwNTnLX><a:Key><Key>Columns\Salary Bracket</Key></a:Key><a:Value i:type="TableWidgetBaseViewState"/></a:KeyValueOfDiagramObjectKeyanyTypezbwNTnLX><a:KeyValueOfDiagramObjectKeyanyTypezbwNTnLX><a:Key><Key>Columns\  </Key></a:Key><a:Value i:type="TableWidgetBaseViewState"/></a:KeyValueOfDiagramObjectKeyanyTypezbwNTnLX></ViewStates></DiagramManager.SerializableDiagram><DiagramManager.SerializableDiagram><Adapter i:type="TableWidgetViewModelSandboxAdapter"><TableName>Indian_Corporate_Workforce_Dataset__2</TableName></Adapter><DiagramType>TableWidgetViewModel</DiagramType><DisplayContext i:type="TableWidgetDisplayContext"><IsFilteredTagKey><Key>Static Tags\Has Filter</Key></IsFilteredTagKey><IsInTypeBooleanKey><Key>Static Tags\Is Boolean</Key></IsInTypeBooleanKey><IsInTypeNumberKey><Key>Static Tags\Is Number</Key></IsInTypeNumberKey><IsInTypeTextKey><Key>Static Tags\Is Text</Key></IsInTypeTextKey><IsInTypeTimeKey><Key>Static Tags\Is Time</Key></IsInTypeTimeKey><IsSortAscendingTagKey><Key>Static Tags\Is Sorted Ascending</Key></IsSortAscendingTagKey><IsSortDescendingTagKey><Key>Static Tags\Is Sorted Descending</Key></IsSortDescendingTagKey><IsSortableTagKey><Key>Static Tags\can be sorted</Key></IsSortableTagKey></DisplayContext><DisplayType>TableWidgetPanel</DisplayType><Key i:type="SandboxEditorTableWidgetViewModelKey"><TableName>Indian_Corporate_Workforce_Dataset__2</TableName></Key><Maintainer i:type="TableWidgetViewModel.TableWidgetViewModelMaintainer"/><ViewStateFactoryType>Microsoft.AnalysisServices.Common.TableWidgetViewStateFactory</ViewStateFactoryType><ViewStates xmlns:a="http://schemas.microsoft.com/2003/10/Serialization/Arrays"><a:KeyValueOfDiagramObjectKeyanyTypezbwNTnLX><a:Key><Key>TableWidgetGrid Model</Key></a:Key><a:Value i:type="TableWidgetBaseViewState"/></a:KeyValueOfDiagramObjectKeyanyTypezbwNTnLX><a:KeyValueOfDiagramObjectKeyanyTypezbwNTnLX><a:Key><Key>Actions\Sort Ascending</Key></a:Key><a:Value i:type="TableWidgetBaseViewState"/></a:KeyValueOfDiagramObjectKeyanyTypezbwNTnLX><a:KeyValueOfDiagramObjectKeyanyTypezbwNTnLX><a:Key><Key>Actions\Sort Descending</Key></a:Key><a:Value i:type="TableWidgetBaseViewState"/></a:KeyValueOfDiagramObjectKeyanyTypezbwNTnLX><a:KeyValueOfDiagramObjectKeyanyTypezbwNTnLX><a:Key><Key>Actions\Clear Sort from this Column</Key></a:Key><a:Value i:type="TableWidgetBaseViewState"/></a:KeyValueOfDiagramObjectKeyanyTypezbwNTnLX><a:KeyValueOfDiagramObjectKeyanyTypezbwNTnLX><a:Key><Key>Actions\Clear Sort from this Table</Key></a:Key><a:Value i:type="TableWidgetBaseViewState"/></a:KeyValueOfDiagramObjectKeyanyTypezbwNTnLX><a:KeyValueOfDiagramObjectKeyanyTypezbwNTnLX><a:Key><Key>Actions\Load Top N Distinct Values</Key></a:Key><a:Value i:type="TableWidgetBaseViewState"/></a:KeyValueOfDiagramObjectKeyanyTypezbwNTnLX><a:KeyValueOfDiagramObjectKeyanyTypezbwNTnLX><a:Key><Key>TagGroups\Node Types</Key></a:Key><a:Value i:type="TableWidgetBaseViewState"/></a:KeyValueOfDiagramObjectKeyanyTypezbwNTnLX><a:KeyValueOfDiagramObjectKeyanyTypezbwNTnLX><a:Key><Key>TagGroups\Data Type</Key></a:Key><a:Value i:type="TableWidgetBaseViewState"/></a:KeyValueOfDiagramObjectKeyanyTypezbwNTnLX><a:KeyValueOfDiagramObjectKeyanyTypezbwNTnLX><a:Key><Key>TagGroups\State</Key></a:Key><a:Value i:type="TableWidgetBaseViewState"/></a:KeyValueOfDiagramObjectKeyanyTypezbwNTnLX><a:KeyValueOfDiagramObjectKeyanyTypezbwNTnLX><a:Key><Key>Static Tags\Column</Key></a:Key><a:Value i:type="TableWidgetBaseViewState"/></a:KeyValueOfDiagramObjectKeyanyTypezbwNTnLX><a:KeyValueOfDiagramObjectKeyanyTypezbwNTnLX><a:Key><Key>Static Tags\Is Boolean</Key></a:Key><a:Value i:type="TableWidgetBaseViewState"/></a:KeyValueOfDiagramObjectKeyanyTypezbwNTnLX><a:KeyValueOfDiagramObjectKeyanyTypezbwNTnLX><a:Key><Key>Static Tags\Is Number</Key></a:Key><a:Value i:type="TableWidgetBaseViewState"/></a:KeyValueOfDiagramObjectKeyanyTypezbwNTnLX><a:KeyValueOfDiagramObjectKeyanyTypezbwNTnLX><a:Key><Key>Static Tags\Is Text</Key></a:Key><a:Value i:type="TableWidgetBaseViewState"/></a:KeyValueOfDiagramObjectKeyanyTypezbwNTnLX><a:KeyValueOfDiagramObjectKeyanyTypezbwNTnLX><a:Key><Key>Static Tags\Is Time</Key></a:Key><a:Value i:type="TableWidgetBaseViewState"/></a:KeyValueOfDiagramObjectKeyanyTypezbwNTnLX><a:KeyValueOfDiagramObjectKeyanyTypezbwNTnLX><a:Key><Key>Static Tags\can be sorted</Key></a:Key><a:Value i:type="TableWidgetBaseViewState"/></a:KeyValueOfDiagramObjectKeyanyTypezbwNTnLX><a:KeyValueOfDiagramObjectKeyanyTypezbwNTnLX><a:Key><Key>Static Tags\Is Sorted Ascending</Key></a:Key><a:Value i:type="TableWidgetBaseViewState"/></a:KeyValueOfDiagramObjectKeyanyTypezbwNTnLX><a:KeyValueOfDiagramObjectKeyanyTypezbwNTnLX><a:Key><Key>Static Tags\Is Sorted Descending</Key></a:Key><a:Value i:type="TableWidgetBaseViewState"/></a:KeyValueOfDiagramObjectKeyanyTypezbwNTnLX><a:KeyValueOfDiagramObjectKeyanyTypezbwNTnLX><a:Key><Key>Static Tags\Has Filter</Key></a:Key><a:Value i:type="TableWidgetBaseViewState"/></a:KeyValueOfDiagramObjectKeyanyTypezbwNTnLX><a:KeyValueOfDiagramObjectKeyanyTypezbwNTnLX><a:Key><Key>Static Tags\  </Key></a:Key><a:Value i:type="TableWidgetBaseViewState"/></a:KeyValueOfDiagramObjectKeyanyTypezbwNTnLX><a:KeyValueOfDiagramObjectKeyanyTypezbwNTnLX><a:Key><Key>Static Tags\Is Private</Key></a:Key><a:Value i:type="TableWidgetBaseViewState"/></a:KeyValueOfDiagramObjectKeyanyTypezbwNTnLX><a:KeyValueOfDiagramObjectKeyanyTypezbwNTnLX><a:Key><Key>Columns\Employee ID</Key></a:Key><a:Value i:type="TableWidgetBaseViewState"/></a:KeyValueOfDiagramObjectKeyanyTypezbwNTnLX><a:KeyValueOfDiagramObjectKeyanyTypezbwNTnLX><a:Key><Key>Columns\Full Name</Key></a:Key><a:Value i:type="TableWidgetBaseViewState"/></a:KeyValueOfDiagramObjectKeyanyTypezbwNTnLX><a:KeyValueOfDiagramObjectKeyanyTypezbwNTnLX><a:Key><Key>Columns\Gender</Key></a:Key><a:Value i:type="TableWidgetBaseViewState"/></a:KeyValueOfDiagramObjectKeyanyTypezbwNTnLX><a:KeyValueOfDiagramObjectKeyanyTypezbwNTnLX><a:Key><Key>Columns\Department</Key></a:Key><a:Value i:type="TableWidgetBaseViewState"/></a:KeyValueOfDiagramObjectKeyanyTypezbwNTnLX><a:KeyValueOfDiagramObjectKeyanyTypezbwNTnLX><a:Key><Key>Columns\Location</Key></a:Key><a:Value i:type="TableWidgetBaseViewState"/></a:KeyValueOfDiagramObjectKeyanyTypezbwNTnLX><a:KeyValueOfDiagramObjectKeyanyTypezbwNTnLX><a:Key><Key>Columns\Monthly Base Salary (INR)</Key></a:Key><a:Value i:type="TableWidgetBaseViewState"/></a:KeyValueOfDiagramObjectKeyanyTypezbwNTnLX><a:KeyValueOfDiagramObjectKeyanyTypezbwNTnLX><a:Key><Key>Columns\Corporate Benefit Plan</Key></a:Key><a:Value i:type="TableWidgetBaseViewState"/></a:KeyValueOfDiagramObjectKeyanyTypezbwNTnLX><a:KeyValueOfDiagramObjectKeyanyTypezbwNTnLX><a:Key><Key>Columns\Insurance tier</Key></a:Key><a:Value i:type="TableWidgetBaseViewState"/></a:KeyValueOfDiagramObjectKeyanyTypezbwNTnLX><a:KeyValueOfDiagramObjectKeyanyTypezbwNTnLX><a:Key><Key>Columns\Monthly Premiums</Key></a:Key><a:Value i:type="TableWidgetBaseViewState"/></a:KeyValueOfDiagramObjectKeyanyTypezbwNTnLX><a:KeyValueOfDiagramObjectKeyanyTypezbwNTnLX><a:Key><Key>Columns\Salary Bracket</Key></a:Key><a:Value i:type="TableWidgetBaseViewState"/></a:KeyValueOfDiagramObjectKeyanyTypezbwNTnLX><a:KeyValueOfDiagramObjectKeyanyTypezbwNTnLX><a:Key><Key>Columns\  </Key></a:Key><a:Value i:type="TableWidgetBaseViewState"/></a:KeyValueOfDiagramObjectKeyanyTypezbwNTnLX></ViewStates></DiagramManager.SerializableDiagram><DiagramManager.SerializableDiagram><Adapter i:type="TableWidgetViewModelSandboxAdapter"><TableName>Indian_Employee_Data</TableName></Adapter><DiagramType>TableWidgetViewModel</DiagramType><DisplayContext i:type="TableWidgetDisplayContext"><IsFilteredTagKey><Key>Static Tags\Has Filter</Key></IsFilteredTagKey><IsInTypeBooleanKey><Key>Static Tags\Is Boolean</Key></IsInTypeBooleanKey><IsInTypeNumberKey><Key>Static Tags\Is Number</Key></IsInTypeNumberKey><IsInTypeTextKey><Key>Static Tags\Is Text</Key></IsInTypeTextKey><IsInTypeTimeKey><Key>Static Tags\Is Time</Key></IsInTypeTimeKey><IsSortAscendingTagKey><Key>Static Tags\Is Sorted Ascending</Key></IsSortAscendingTagKey><IsSortDescendingTagKey><Key>Static Tags\Is Sorted Descending</Key></IsSortDescendingTagKey><IsSortableTagKey><Key>Static Tags\can be sorted</Key></IsSortableTagKey></DisplayContext><DisplayType>TableWidgetPanel</DisplayType><Key i:type="SandboxEditorTableWidgetViewModelKey"><TableName>Indian_Employee_Data</TableName></Key><Maintainer i:type="TableWidgetViewModel.TableWidgetViewModelMaintainer"/><ViewStateFactoryType>Microsoft.AnalysisServices.Common.TableWidgetViewStateFactory</ViewStateFactoryType><ViewStates xmlns:a="http://schemas.microsoft.com/2003/10/Serialization/Arrays"><a:KeyValueOfDiagramObjectKeyanyTypezbwNTnLX><a:Key><Key>TableWidgetGrid Model</Key></a:Key><a:Value i:type="TableWidgetBaseViewState"/></a:KeyValueOfDiagramObjectKeyanyTypezbwNTnLX><a:KeyValueOfDiagramObjectKeyanyTypezbwNTnLX><a:Key><Key>Actions\Sort Ascending</Key></a:Key><a:Value i:type="TableWidgetBaseViewState"/></a:KeyValueOfDiagramObjectKeyanyTypezbwNTnLX><a:KeyValueOfDiagramObjectKeyanyTypezbwNTnLX><a:Key><Key>Actions\Sort Descending</Key></a:Key><a:Value i:type="TableWidgetBaseViewState"/></a:KeyValueOfDiagramObjectKeyanyTypezbwNTnLX><a:KeyValueOfDiagramObjectKeyanyTypezbwNTnLX><a:Key><Key>Actions\Clear Sort from this Column</Key></a:Key><a:Value i:type="TableWidgetBaseViewState"/></a:KeyValueOfDiagramObjectKeyanyTypezbwNTnLX><a:KeyValueOfDiagramObjectKeyanyTypezbwNTnLX><a:Key><Key>Actions\Clear Sort from this Table</Key></a:Key><a:Value i:type="TableWidgetBaseViewState"/></a:KeyValueOfDiagramObjectKeyanyTypezbwNTnLX><a:KeyValueOfDiagramObjectKeyanyTypezbwNTnLX><a:Key><Key>Actions\Load Top N Distinct Values</Key></a:Key><a:Value i:type="TableWidgetBaseViewState"/></a:KeyValueOfDiagramObjectKeyanyTypezbwNTnLX><a:KeyValueOfDiagramObjectKeyanyTypezbwNTnLX><a:Key><Key>TagGroups\Node Types</Key></a:Key><a:Value i:type="TableWidgetBaseViewState"/></a:KeyValueOfDiagramObjectKeyanyTypezbwNTnLX><a:KeyValueOfDiagramObjectKeyanyTypezbwNTnLX><a:Key><Key>TagGroups\Data Type</Key></a:Key><a:Value i:type="TableWidgetBaseViewState"/></a:KeyValueOfDiagramObjectKeyanyTypezbwNTnLX><a:KeyValueOfDiagramObjectKeyanyTypezbwNTnLX><a:Key><Key>TagGroups\State</Key></a:Key><a:Value i:type="TableWidgetBaseViewState"/></a:KeyValueOfDiagramObjectKeyanyTypezbwNTnLX><a:KeyValueOfDiagramObjectKeyanyTypezbwNTnLX><a:Key><Key>Static Tags\Column</Key></a:Key><a:Value i:type="TableWidgetBaseViewState"/></a:KeyValueOfDiagramObjectKeyanyTypezbwNTnLX><a:KeyValueOfDiagramObjectKeyanyTypezbwNTnLX><a:Key><Key>Static Tags\Is Boolean</Key></a:Key><a:Value i:type="TableWidgetBaseViewState"/></a:KeyValueOfDiagramObjectKeyanyTypezbwNTnLX><a:KeyValueOfDiagramObjectKeyanyTypezbwNTnLX><a:Key><Key>Static Tags\Is Number</Key></a:Key><a:Value i:type="TableWidgetBaseViewState"/></a:KeyValueOfDiagramObjectKeyanyTypezbwNTnLX><a:KeyValueOfDiagramObjectKeyanyTypezbwNTnLX><a:Key><Key>Static Tags\Is Text</Key></a:Key><a:Value i:type="TableWidgetBaseViewState"/></a:KeyValueOfDiagramObjectKeyanyTypezbwNTnLX><a:KeyValueOfDiagramObjectKeyanyTypezbwNTnLX><a:Key><Key>Static Tags\Is Time</Key></a:Key><a:Value i:type="TableWidgetBaseViewState"/></a:KeyValueOfDiagramObjectKeyanyTypezbwNTnLX><a:KeyValueOfDiagramObjectKeyanyTypezbwNTnLX><a:Key><Key>Static Tags\can be sorted</Key></a:Key><a:Value i:type="TableWidgetBaseViewState"/></a:KeyValueOfDiagramObjectKeyanyTypezbwNTnLX><a:KeyValueOfDiagramObjectKeyanyTypezbwNTnLX><a:Key><Key>Static Tags\Is Sorted Ascending</Key></a:Key><a:Value i:type="TableWidgetBaseViewState"/></a:KeyValueOfDiagramObjectKeyanyTypezbwNTnLX><a:KeyValueOfDiagramObjectKeyanyTypezbwNTnLX><a:Key><Key>Static Tags\Is Sorted Descending</Key></a:Key><a:Value i:type="TableWidgetBaseViewState"/></a:KeyValueOfDiagramObjectKeyanyTypezbwNTnLX><a:KeyValueOfDiagramObjectKeyanyTypezbwNTnLX><a:Key><Key>Static Tags\Has Filter</Key></a:Key><a:Value i:type="TableWidgetBaseViewState"/></a:KeyValueOfDiagramObjectKeyanyTypezbwNTnLX><a:KeyValueOfDiagramObjectKeyanyTypezbwNTnLX><a:Key><Key>Static Tags\  </Key></a:Key><a:Value i:type="TableWidgetBaseViewState"/></a:KeyValueOfDiagramObjectKeyanyTypezbwNTnLX><a:KeyValueOfDiagramObjectKeyanyTypezbwNTnLX><a:Key><Key>Static Tags\Is Private</Key></a:Key><a:Value i:type="TableWidgetBaseViewState"/></a:KeyValueOfDiagramObjectKeyanyTypezbwNTnLX><a:KeyValueOfDiagramObjectKeyanyTypezbwNTnLX><a:Key><Key>Columns\Employee ID</Key></a:Key><a:Value i:type="TableWidgetBaseViewState"/></a:KeyValueOfDiagramObjectKeyanyTypezbwNTnLX><a:KeyValueOfDiagramObjectKeyanyTypezbwNTnLX><a:Key><Key>Columns\Full Name</Key></a:Key><a:Value i:type="TableWidgetBaseViewState"/></a:KeyValueOfDiagramObjectKeyanyTypezbwNTnLX><a:KeyValueOfDiagramObjectKeyanyTypezbwNTnLX><a:Key><Key>Columns\Gender</Key></a:Key><a:Value i:type="TableWidgetBaseViewState"/></a:KeyValueOfDiagramObjectKeyanyTypezbwNTnLX><a:KeyValueOfDiagramObjectKeyanyTypezbwNTnLX><a:Key><Key>Columns\Department</Key></a:Key><a:Value i:type="TableWidgetBaseViewState"/></a:KeyValueOfDiagramObjectKeyanyTypezbwNTnLX><a:KeyValueOfDiagramObjectKeyanyTypezbwNTnLX><a:Key><Key>Columns\Location</Key></a:Key><a:Value i:type="TableWidgetBaseViewState"/></a:KeyValueOfDiagramObjectKeyanyTypezbwNTnLX><a:KeyValueOfDiagramObjectKeyanyTypezbwNTnLX><a:Key><Key>Columns\Monthly Base Salary (INR)</Key></a:Key><a:Value i:type="TableWidgetBaseViewState"/></a:KeyValueOfDiagramObjectKeyanyTypezbwNTnLX><a:KeyValueOfDiagramObjectKeyanyTypezbwNTnLX><a:Key><Key>Columns\Corporate Benefit Plan</Key></a:Key><a:Value i:type="TableWidgetBaseViewState"/></a:KeyValueOfDiagramObjectKeyanyTypezbwNTnLX><a:KeyValueOfDiagramObjectKeyanyTypezbwNTnLX><a:Key><Key>Columns\Insurance tier</Key></a:Key><a:Value i:type="TableWidgetBaseViewState"/></a:KeyValueOfDiagramObjectKeyanyTypezbwNTnLX><a:KeyValueOfDiagramObjectKeyanyTypezbwNTnLX><a:Key><Key>Columns\Monthly Premiums</Key></a:Key><a:Value i:type="TableWidgetBaseViewState"/></a:KeyValueOfDiagramObjectKeyanyTypezbwNTnLX><a:KeyValueOfDiagramObjectKeyanyTypezbwNTnLX><a:Key><Key>Columns\Salary Bracket</Key></a:Key><a:Value i:type="TableWidgetBaseViewState"/></a:KeyValueOfDiagramObjectKeyanyTypezbwNTnLX><a:KeyValueOfDiagramObjectKeyanyTypezbwNTnLX><a:Key><Key>Columns\Salary Tier</Key></a:Key><a:Value i:type="TableWidgetBaseViewState"/></a:KeyValueOfDiagramObjectKeyanyTypezbwNTnLX><a:KeyValueOfDiagramObjectKeyanyTypezbwNTnLX><a:Key><Key>Columns\Vendor Survey Job Code</Key></a:Key><a:Value i:type="TableWidgetBaseViewState"/></a:KeyValueOfDiagramObjectKeyanyTypezbwNTnLX><a:KeyValueOfDiagramObjectKeyanyTypezbwNTnLX><a:Key><Key>Columns\Vendor Global Group Name</Key></a:Key><a:Value i:type="TableWidgetBaseViewState"/></a:KeyValueOfDiagramObjectKeyanyTypezbwNTnLX><a:KeyValueOfDiagramObjectKeyanyTypezbwNTnLX><a:Key><Key>Columns\  </Key></a:Key><a:Value i:type="TableWidgetBaseViewState"/></a:KeyValueOfDiagramObjectKeyanyTypezbwNTnLX></ViewStates></DiagramManager.SerializableDiagram></ArrayOfDiagramManager.SerializableDiagram>]]></CustomContent>
</Gemini>
</file>

<file path=customXml/item62.xml><?xml version="1.0" encoding="utf-8"?>
<Gemini xmlns="http://gemini/pivotcustomization/d2454189-bd5e-40b1-968f-259b85a283ed">
  <CustomContent><![CDATA[<?xml version="1.0" encoding="utf-16"?><Settings><CalculatedFields><item><MeasureName>Gender Pay Gap</MeasureName><DisplayName>Gender Pay Gap</DisplayName><Visible>False</Visible></item><item><MeasureName>Salary Spread within Tier</MeasureName><DisplayName>Salary Spread within Tier</DisplayName><Visible>False</Visible></item></CalculatedFields><SAHostHash>0</SAHostHash><GeminiFieldListVisible>True</GeminiFieldListVisible></Settings>]]></CustomContent>
</Gemini>
</file>

<file path=customXml/item63.xml><?xml version="1.0" encoding="UTF-8"?>
<Gemini xmlns="http://gemini/pivotcustomization/TableXML_Indian_Corporate_Workforce_Dataset  3_6e343527-973f-4441-bfc8-4e2b98543b0d"><CustomContent xmlns="http://gemini/pivotcustomization/TableXML_Indian_Corporate_Workforce_Dataset 3_6e343527-973f-4441-bfc8-4e2b98543b0d"><![CDATA[<TableWidgetGridSerialization xmlns:xsd="http://www.w3.org/2001/XMLSchema" xmlns:xsi="http://www.w3.org/2001/XMLSchema-instance"><ColumnSuggestedType /><ColumnFormat /><ColumnAccuracy /><ColumnCurrencySymbol /><ColumnPositivePattern /><ColumnNegativePattern /><ColumnWidths><item><key><string>Employee ID</string></key><value><int>119</int></value></item><item><key><string>Full Name</string></key><value><int>102</int></value></item><item><key><string>Department</string></key><value><int>112</int></value></item><item><key><string>Location</string></key><value><int>92</int></value></item><item><key><string>Monthly Base Salary (INR)</string></key><value><int>209</int></value></item><item><key><string>Corporate Benefit Plan</string></key><value><int>184</int></value></item><item><key><string>Insurance tier</string></key><value><int>123</int></value></item><item><key><string>Monthly Premiums</string></key><value><int>159</int></value></item><item><key><string>Salary Bracket</string></key><value><int>131</int></value></item></ColumnWidths><ColumnDisplayIndex><item><key><string>Employee ID</string></key><value><int>0</int></value></item><item><key><string>Full Name</string></key><value><int>1</int></value></item><item><key><string>Department</string></key><value><int>2</int></value></item><item><key><string>Location</string></key><value><int>3</int></value></item><item><key><string>Monthly Base Salary (INR)</string></key><value><int>4</int></value></item><item><key><string>Corporate Benefit Plan</string></key><value><int>5</int></value></item><item><key><string>Insurance tier</string></key><value><int>6</int></value></item><item><key><string>Monthly Premiums</string></key><value><int>7</int></value></item><item><key><string>Salary Bracket</string></key><value><int>8</int></value></item></ColumnDisplayIndex><ColumnFrozen /><ColumnChecked /><ColumnFilter /><SelectionFilter /><FilterParameters /><IsSortDescending>false</IsSortDescending></TableWidgetGridSerialization>]]></CustomContent></Gemini>
</file>

<file path=customXml/item64.xml><?xml version="1.0" encoding="utf-8"?>
<Gemini xmlns="http://gemini/pivotcustomization/eecaf361-6cfb-4231-b7f7-9dea123a7fa8">
  <CustomContent><![CDATA[<?xml version="1.0" encoding="utf-16"?><Settings><CalculatedFields><item><MeasureName>Gender Pay Gap</MeasureName><DisplayName>Gender Pay Gap</DisplayName><Visible>False</Visible></item><item><MeasureName>Salary Spread within Tier</MeasureName><DisplayName>Salary Spread within Tier</DisplayName><Visible>False</Visible></item><item><MeasureName>Headcount</MeasureName><DisplayName>Headcount</DisplayName><Visible>False</Visible></item><item><MeasureName>Total Monthly Premium Cost</MeasureName><DisplayName>Total Monthly Premium Cost</DisplayName><Visible>False</Visible></item><item><MeasureName>Average Salary</MeasureName><DisplayName>Average Salary</DisplayName><Visible>False</Visible></item><item><MeasureName>High-Cost Employee %</MeasureName><DisplayName>High-Cost Employee %</DisplayName><Visible>False</Visible></item></CalculatedFields><SAHostHash>0</SAHostHash><GeminiFieldListVisible>True</GeminiFieldListVisible></Settings>]]></CustomContent>
</Gemini>
</file>

<file path=customXml/item65.xml><?xml version="1.0" encoding="utf-8"?>
<Gemini xmlns="http://gemini/pivotcustomization/c45532a4-f8e0-4e45-a539-e26d27a359b6">
  <CustomContent><![CDATA[<?xml version="1.0" encoding="utf-16"?><Settings><CalculatedFields><item><MeasureName>Gender Pay Gap</MeasureName><DisplayName>Gender Pay Gap</DisplayName><Visible>False</Visible></item><item><MeasureName>Salary Spread within Tier</MeasureName><DisplayName>Salary Spread within Tier</DisplayName><Visible>False</Visible></item></CalculatedFields><SAHostHash>0</SAHostHash><GeminiFieldListVisible>True</GeminiFieldListVisible></Settings>]]></CustomContent>
</Gemini>
</file>

<file path=customXml/item66.xml><?xml version="1.0" encoding="utf-8"?>
<Gemini xmlns="http://gemini/pivotcustomization/9c1a281f-3747-467f-bbd0-3e41985e8ff2">
  <CustomContent><![CDATA[<?xml version="1.0" encoding="utf-16"?><Settings><CalculatedFields><item><MeasureName>Gender Pay Gap</MeasureName><DisplayName>Gender Pay Gap</DisplayName><Visible>False</Visible></item><item><MeasureName>Salary Spread within Tier</MeasureName><DisplayName>Salary Spread within Tier</DisplayName><Visible>False</Visible></item><item><MeasureName>Headcount</MeasureName><DisplayName>Headcount</DisplayName><Visible>False</Visible></item><item><MeasureName>Total Monthly Premium Cost</MeasureName><DisplayName>Total Monthly Premium Cost</DisplayName><Visible>False</Visible></item><item><MeasureName>Average Salary</MeasureName><DisplayName>Average Salary</DisplayName><Visible>False</Visible></item><item><MeasureName>High-Cost Employee %</MeasureName><DisplayName>High-Cost Employee %</DisplayName><Visible>False</Visible></item></CalculatedFields><SAHostHash>0</SAHostHash><GeminiFieldListVisible>True</GeminiFieldListVisible></Settings>]]></CustomContent>
</Gemini>
</file>

<file path=customXml/item67.xml><?xml version="1.0" encoding="utf-8"?>
<Gemini xmlns="http://gemini/pivotcustomization/4f2772b1-1086-4e13-aa11-ed6debe135b2">
  <CustomContent><![CDATA[<?xml version="1.0" encoding="utf-16"?><Settings><CalculatedFields><item><MeasureName>Gender Pay Gap</MeasureName><DisplayName>Gender Pay Gap</DisplayName><Visible>False</Visible></item><item><MeasureName>Salary Spread within Tier</MeasureName><DisplayName>Salary Spread within Tier</DisplayName><Visible>False</Visible></item><item><MeasureName>Headcount</MeasureName><DisplayName>Headcount</DisplayName><Visible>False</Visible></item><item><MeasureName>Total Monthly Premium Cost</MeasureName><DisplayName>Total Monthly Premium Cost</DisplayName><Visible>False</Visible></item><item><MeasureName>Average Salary</MeasureName><DisplayName>Average Salary</DisplayName><Visible>False</Visible></item><item><MeasureName>High-Cost Employee %</MeasureName><DisplayName>High-Cost Employee %</DisplayName><Visible>False</Visible></item></CalculatedFields><SAHostHash>0</SAHostHash><GeminiFieldListVisible>True</GeminiFieldListVisible></Settings>]]></CustomContent>
</Gemini>
</file>

<file path=customXml/item68.xml><?xml version="1.0" encoding="utf-8"?>
<Gemini xmlns="http://gemini/pivotcustomization/LinkedTableUpdateMode">
  <CustomContent><![CDATA[True]]></CustomContent>
</Gemini>
</file>

<file path=customXml/itemProps1.xml><?xml version="1.0" encoding="utf-8"?>
<ds:datastoreItem xmlns:ds="http://schemas.openxmlformats.org/officeDocument/2006/customXml" ds:itemID="{5DE24814-5428-475E-9EE2-6195C0FD2D15}">
  <ds:schemaRefs/>
</ds:datastoreItem>
</file>

<file path=customXml/itemProps2.xml><?xml version="1.0" encoding="utf-8"?>
<ds:datastoreItem xmlns:ds="http://schemas.openxmlformats.org/officeDocument/2006/customXml" ds:itemID="{76926D9C-E0E7-4E0D-80CC-01EB13E5063F}">
  <ds:schemaRefs/>
</ds:datastoreItem>
</file>

<file path=customXml/itemProps3.xml><?xml version="1.0" encoding="utf-8"?>
<ds:datastoreItem xmlns:ds="http://schemas.openxmlformats.org/officeDocument/2006/customXml" ds:itemID="{F6A63BC3-5774-43EE-9AD0-EA6EB325EF13}">
  <ds:schemaRefs/>
</ds:datastoreItem>
</file>

<file path=customXml/itemProps4.xml><?xml version="1.0" encoding="utf-8"?>
<ds:datastoreItem xmlns:ds="http://schemas.openxmlformats.org/officeDocument/2006/customXml" ds:itemID="{8355F6CD-D33C-466C-AA1E-D4544EEF74AC}">
  <ds:schemaRefs/>
</ds:datastoreItem>
</file>

<file path=customXml/itemProps5.xml><?xml version="1.0" encoding="utf-8"?>
<ds:datastoreItem xmlns:ds="http://schemas.openxmlformats.org/officeDocument/2006/customXml" ds:itemID="{838557B3-AD98-400A-9C02-954FCF268760}">
  <ds:schemaRefs/>
</ds:datastoreItem>
</file>

<file path=customXml/itemProps6.xml><?xml version="1.0" encoding="utf-8"?>
<ds:datastoreItem xmlns:ds="http://schemas.openxmlformats.org/officeDocument/2006/customXml" ds:itemID="{016989D7-54AA-4DE0-AA85-E0E13189F60E}">
  <ds:schemaRefs/>
</ds:datastoreItem>
</file>

<file path=customXml/itemProps7.xml><?xml version="1.0" encoding="utf-8"?>
<ds:datastoreItem xmlns:ds="http://schemas.openxmlformats.org/officeDocument/2006/customXml" ds:itemID="{7764790C-4DD4-4C8A-AEBC-09A0E68AE4FF}">
  <ds:schemaRefs/>
</ds:datastoreItem>
</file>

<file path=customXml/itemProps8.xml><?xml version="1.0" encoding="utf-8"?>
<ds:datastoreItem xmlns:ds="http://schemas.openxmlformats.org/officeDocument/2006/customXml" ds:itemID="{5C2CCA25-5BA3-40C0-8136-46B0EF76C12E}">
  <ds:schemaRefs/>
</ds:datastoreItem>
</file>

<file path=customXml/itemProps9.xml><?xml version="1.0" encoding="utf-8"?>
<ds:datastoreItem xmlns:ds="http://schemas.openxmlformats.org/officeDocument/2006/customXml" ds:itemID="{428FFF8A-96F4-49BC-A812-312138C67E2F}">
  <ds:schemaRefs/>
</ds:datastoreItem>
</file>

<file path=customXml/itemProps10.xml><?xml version="1.0" encoding="utf-8"?>
<ds:datastoreItem xmlns:ds="http://schemas.openxmlformats.org/officeDocument/2006/customXml" ds:itemID="{E0B529A3-55FE-41AD-AF95-9BFBB46BB416}">
  <ds:schemaRefs>
    <ds:schemaRef ds:uri="http://schemas.microsoft.com/DataMashup"/>
  </ds:schemaRefs>
</ds:datastoreItem>
</file>

<file path=customXml/itemProps11.xml><?xml version="1.0" encoding="utf-8"?>
<ds:datastoreItem xmlns:ds="http://schemas.openxmlformats.org/officeDocument/2006/customXml" ds:itemID="{90C0D46D-238F-4DE1-BFD4-CA1751E97F34}">
  <ds:schemaRefs/>
</ds:datastoreItem>
</file>

<file path=customXml/itemProps12.xml><?xml version="1.0" encoding="utf-8"?>
<ds:datastoreItem xmlns:ds="http://schemas.openxmlformats.org/officeDocument/2006/customXml" ds:itemID="{B9EDA071-18E8-4CC8-BFBF-B7EDB1862EC2}">
  <ds:schemaRefs/>
</ds:datastoreItem>
</file>

<file path=customXml/itemProps13.xml><?xml version="1.0" encoding="utf-8"?>
<ds:datastoreItem xmlns:ds="http://schemas.openxmlformats.org/officeDocument/2006/customXml" ds:itemID="{26479A7D-AB9E-4A8C-ABC1-5E4AEF70FA79}">
  <ds:schemaRefs/>
</ds:datastoreItem>
</file>

<file path=customXml/itemProps14.xml><?xml version="1.0" encoding="utf-8"?>
<ds:datastoreItem xmlns:ds="http://schemas.openxmlformats.org/officeDocument/2006/customXml" ds:itemID="{FA4FD192-F5EF-412A-A57F-6FD305A36214}">
  <ds:schemaRefs/>
</ds:datastoreItem>
</file>

<file path=customXml/itemProps15.xml><?xml version="1.0" encoding="utf-8"?>
<ds:datastoreItem xmlns:ds="http://schemas.openxmlformats.org/officeDocument/2006/customXml" ds:itemID="{879E0800-C6E4-4B0D-9DFA-7F41E0062081}">
  <ds:schemaRefs/>
</ds:datastoreItem>
</file>

<file path=customXml/itemProps16.xml><?xml version="1.0" encoding="utf-8"?>
<ds:datastoreItem xmlns:ds="http://schemas.openxmlformats.org/officeDocument/2006/customXml" ds:itemID="{F9A9F2F0-DDA6-414B-929D-7F6F8FD7348D}">
  <ds:schemaRefs/>
</ds:datastoreItem>
</file>

<file path=customXml/itemProps17.xml><?xml version="1.0" encoding="utf-8"?>
<ds:datastoreItem xmlns:ds="http://schemas.openxmlformats.org/officeDocument/2006/customXml" ds:itemID="{C811C35A-F8C6-4BF1-BE2F-79BA8F6DC696}">
  <ds:schemaRefs/>
</ds:datastoreItem>
</file>

<file path=customXml/itemProps18.xml><?xml version="1.0" encoding="utf-8"?>
<ds:datastoreItem xmlns:ds="http://schemas.openxmlformats.org/officeDocument/2006/customXml" ds:itemID="{660FE234-F726-433C-AB5C-ACBCB1C622DE}">
  <ds:schemaRefs/>
</ds:datastoreItem>
</file>

<file path=customXml/itemProps19.xml><?xml version="1.0" encoding="utf-8"?>
<ds:datastoreItem xmlns:ds="http://schemas.openxmlformats.org/officeDocument/2006/customXml" ds:itemID="{08ECDAAE-91C7-4008-A53F-15B3A8FCFE6E}">
  <ds:schemaRefs/>
</ds:datastoreItem>
</file>

<file path=customXml/itemProps20.xml><?xml version="1.0" encoding="utf-8"?>
<ds:datastoreItem xmlns:ds="http://schemas.openxmlformats.org/officeDocument/2006/customXml" ds:itemID="{650BF085-5E19-4C7C-AC20-67F9544D562F}">
  <ds:schemaRefs/>
</ds:datastoreItem>
</file>

<file path=customXml/itemProps21.xml><?xml version="1.0" encoding="utf-8"?>
<ds:datastoreItem xmlns:ds="http://schemas.openxmlformats.org/officeDocument/2006/customXml" ds:itemID="{F4D5C19D-3556-4138-9E7B-C0428856CAD9}">
  <ds:schemaRefs/>
</ds:datastoreItem>
</file>

<file path=customXml/itemProps22.xml><?xml version="1.0" encoding="utf-8"?>
<ds:datastoreItem xmlns:ds="http://schemas.openxmlformats.org/officeDocument/2006/customXml" ds:itemID="{E0F5A55F-D178-40BD-B7C9-6092EDFA1D15}">
  <ds:schemaRefs/>
</ds:datastoreItem>
</file>

<file path=customXml/itemProps23.xml><?xml version="1.0" encoding="utf-8"?>
<ds:datastoreItem xmlns:ds="http://schemas.openxmlformats.org/officeDocument/2006/customXml" ds:itemID="{7C3910BE-B124-416C-9C1D-663DE10464E0}">
  <ds:schemaRefs/>
</ds:datastoreItem>
</file>

<file path=customXml/itemProps24.xml><?xml version="1.0" encoding="utf-8"?>
<ds:datastoreItem xmlns:ds="http://schemas.openxmlformats.org/officeDocument/2006/customXml" ds:itemID="{9FEB3357-36DC-46F3-8007-A997D7956948}">
  <ds:schemaRefs/>
</ds:datastoreItem>
</file>

<file path=customXml/itemProps25.xml><?xml version="1.0" encoding="utf-8"?>
<ds:datastoreItem xmlns:ds="http://schemas.openxmlformats.org/officeDocument/2006/customXml" ds:itemID="{FAD609D7-263E-4812-9B5A-6730CD658C0D}">
  <ds:schemaRefs/>
</ds:datastoreItem>
</file>

<file path=customXml/itemProps26.xml><?xml version="1.0" encoding="utf-8"?>
<ds:datastoreItem xmlns:ds="http://schemas.openxmlformats.org/officeDocument/2006/customXml" ds:itemID="{5F6B9A84-D9A3-472D-944D-E8A2BAF196BB}">
  <ds:schemaRefs/>
</ds:datastoreItem>
</file>

<file path=customXml/itemProps27.xml><?xml version="1.0" encoding="utf-8"?>
<ds:datastoreItem xmlns:ds="http://schemas.openxmlformats.org/officeDocument/2006/customXml" ds:itemID="{36A4C387-29D6-4A32-AD43-88D7D4472F44}">
  <ds:schemaRefs/>
</ds:datastoreItem>
</file>

<file path=customXml/itemProps28.xml><?xml version="1.0" encoding="utf-8"?>
<ds:datastoreItem xmlns:ds="http://schemas.openxmlformats.org/officeDocument/2006/customXml" ds:itemID="{53C29A40-D6D4-4E3A-9E2A-871562B5FB16}">
  <ds:schemaRefs/>
</ds:datastoreItem>
</file>

<file path=customXml/itemProps29.xml><?xml version="1.0" encoding="utf-8"?>
<ds:datastoreItem xmlns:ds="http://schemas.openxmlformats.org/officeDocument/2006/customXml" ds:itemID="{D86D0F6D-5A3B-42D8-BBA1-65E1EB2AC496}">
  <ds:schemaRefs/>
</ds:datastoreItem>
</file>

<file path=customXml/itemProps30.xml><?xml version="1.0" encoding="utf-8"?>
<ds:datastoreItem xmlns:ds="http://schemas.openxmlformats.org/officeDocument/2006/customXml" ds:itemID="{AC700084-8B61-439E-B60D-B62DED4DE679}">
  <ds:schemaRefs/>
</ds:datastoreItem>
</file>

<file path=customXml/itemProps31.xml><?xml version="1.0" encoding="utf-8"?>
<ds:datastoreItem xmlns:ds="http://schemas.openxmlformats.org/officeDocument/2006/customXml" ds:itemID="{29807DD4-EE88-4F25-84BC-AAE431E86272}">
  <ds:schemaRefs/>
</ds:datastoreItem>
</file>

<file path=customXml/itemProps32.xml><?xml version="1.0" encoding="utf-8"?>
<ds:datastoreItem xmlns:ds="http://schemas.openxmlformats.org/officeDocument/2006/customXml" ds:itemID="{326DB761-CBC8-419E-9B24-9B5B744214F1}">
  <ds:schemaRefs/>
</ds:datastoreItem>
</file>

<file path=customXml/itemProps33.xml><?xml version="1.0" encoding="utf-8"?>
<ds:datastoreItem xmlns:ds="http://schemas.openxmlformats.org/officeDocument/2006/customXml" ds:itemID="{1819AD24-258A-4033-B325-BD46BC690425}">
  <ds:schemaRefs/>
</ds:datastoreItem>
</file>

<file path=customXml/itemProps34.xml><?xml version="1.0" encoding="utf-8"?>
<ds:datastoreItem xmlns:ds="http://schemas.openxmlformats.org/officeDocument/2006/customXml" ds:itemID="{4FEF0D45-6EF3-4C86-800C-95BE44A912AA}">
  <ds:schemaRefs/>
</ds:datastoreItem>
</file>

<file path=customXml/itemProps35.xml><?xml version="1.0" encoding="utf-8"?>
<ds:datastoreItem xmlns:ds="http://schemas.openxmlformats.org/officeDocument/2006/customXml" ds:itemID="{7337FD4E-25FE-49C8-8B77-234F82ED191C}">
  <ds:schemaRefs/>
</ds:datastoreItem>
</file>

<file path=customXml/itemProps36.xml><?xml version="1.0" encoding="utf-8"?>
<ds:datastoreItem xmlns:ds="http://schemas.openxmlformats.org/officeDocument/2006/customXml" ds:itemID="{799B3C97-B20C-4B82-84C7-EB13203A3542}">
  <ds:schemaRefs/>
</ds:datastoreItem>
</file>

<file path=customXml/itemProps37.xml><?xml version="1.0" encoding="utf-8"?>
<ds:datastoreItem xmlns:ds="http://schemas.openxmlformats.org/officeDocument/2006/customXml" ds:itemID="{57F510C0-A951-4584-A0B7-2A4423555CEB}">
  <ds:schemaRefs/>
</ds:datastoreItem>
</file>

<file path=customXml/itemProps38.xml><?xml version="1.0" encoding="utf-8"?>
<ds:datastoreItem xmlns:ds="http://schemas.openxmlformats.org/officeDocument/2006/customXml" ds:itemID="{AB84587D-5FE4-45E8-BE71-03E7F50CF498}">
  <ds:schemaRefs/>
</ds:datastoreItem>
</file>

<file path=customXml/itemProps39.xml><?xml version="1.0" encoding="utf-8"?>
<ds:datastoreItem xmlns:ds="http://schemas.openxmlformats.org/officeDocument/2006/customXml" ds:itemID="{2EF5FB7C-B29B-4BA8-8263-0EC5E8A77900}">
  <ds:schemaRefs/>
</ds:datastoreItem>
</file>

<file path=customXml/itemProps40.xml><?xml version="1.0" encoding="utf-8"?>
<ds:datastoreItem xmlns:ds="http://schemas.openxmlformats.org/officeDocument/2006/customXml" ds:itemID="{27D1E7E5-475F-4976-9EC1-2E4CA81F2C7A}">
  <ds:schemaRefs/>
</ds:datastoreItem>
</file>

<file path=customXml/itemProps41.xml><?xml version="1.0" encoding="utf-8"?>
<ds:datastoreItem xmlns:ds="http://schemas.openxmlformats.org/officeDocument/2006/customXml" ds:itemID="{5D97AAFE-CA5B-4C2D-BADC-AA306EF7D035}">
  <ds:schemaRefs/>
</ds:datastoreItem>
</file>

<file path=customXml/itemProps42.xml><?xml version="1.0" encoding="utf-8"?>
<ds:datastoreItem xmlns:ds="http://schemas.openxmlformats.org/officeDocument/2006/customXml" ds:itemID="{99300EC6-8350-43F7-884B-50150FF9CFE3}">
  <ds:schemaRefs/>
</ds:datastoreItem>
</file>

<file path=customXml/itemProps43.xml><?xml version="1.0" encoding="utf-8"?>
<ds:datastoreItem xmlns:ds="http://schemas.openxmlformats.org/officeDocument/2006/customXml" ds:itemID="{AD373D9F-1423-44FA-A33C-70400B98B742}">
  <ds:schemaRefs/>
</ds:datastoreItem>
</file>

<file path=customXml/itemProps44.xml><?xml version="1.0" encoding="utf-8"?>
<ds:datastoreItem xmlns:ds="http://schemas.openxmlformats.org/officeDocument/2006/customXml" ds:itemID="{C2E9E38E-1425-4334-947C-0EE11BD14D22}">
  <ds:schemaRefs/>
</ds:datastoreItem>
</file>

<file path=customXml/itemProps45.xml><?xml version="1.0" encoding="utf-8"?>
<ds:datastoreItem xmlns:ds="http://schemas.openxmlformats.org/officeDocument/2006/customXml" ds:itemID="{8042E48F-B362-4344-9B53-18A182982784}">
  <ds:schemaRefs/>
</ds:datastoreItem>
</file>

<file path=customXml/itemProps46.xml><?xml version="1.0" encoding="utf-8"?>
<ds:datastoreItem xmlns:ds="http://schemas.openxmlformats.org/officeDocument/2006/customXml" ds:itemID="{13CE3FA3-252C-4794-A196-3F1A09B3F06F}">
  <ds:schemaRefs/>
</ds:datastoreItem>
</file>

<file path=customXml/itemProps47.xml><?xml version="1.0" encoding="utf-8"?>
<ds:datastoreItem xmlns:ds="http://schemas.openxmlformats.org/officeDocument/2006/customXml" ds:itemID="{90CE222E-55FC-4CF0-954C-2F07AF6E42C9}">
  <ds:schemaRefs/>
</ds:datastoreItem>
</file>

<file path=customXml/itemProps48.xml><?xml version="1.0" encoding="utf-8"?>
<ds:datastoreItem xmlns:ds="http://schemas.openxmlformats.org/officeDocument/2006/customXml" ds:itemID="{5A6EC15A-B272-4952-B58B-CC1128921A24}">
  <ds:schemaRefs/>
</ds:datastoreItem>
</file>

<file path=customXml/itemProps49.xml><?xml version="1.0" encoding="utf-8"?>
<ds:datastoreItem xmlns:ds="http://schemas.openxmlformats.org/officeDocument/2006/customXml" ds:itemID="{CFD98E33-0C93-43D8-AD1B-17EC6ABA4917}">
  <ds:schemaRefs/>
</ds:datastoreItem>
</file>

<file path=customXml/itemProps50.xml><?xml version="1.0" encoding="utf-8"?>
<ds:datastoreItem xmlns:ds="http://schemas.openxmlformats.org/officeDocument/2006/customXml" ds:itemID="{062DD82D-3B4F-4D1B-BB2F-B4C2953C1E28}">
  <ds:schemaRefs/>
</ds:datastoreItem>
</file>

<file path=customXml/itemProps51.xml><?xml version="1.0" encoding="utf-8"?>
<ds:datastoreItem xmlns:ds="http://schemas.openxmlformats.org/officeDocument/2006/customXml" ds:itemID="{26C689D6-C0F5-46AE-9F9A-2CE0E673A427}">
  <ds:schemaRefs/>
</ds:datastoreItem>
</file>

<file path=customXml/itemProps52.xml><?xml version="1.0" encoding="utf-8"?>
<ds:datastoreItem xmlns:ds="http://schemas.openxmlformats.org/officeDocument/2006/customXml" ds:itemID="{9A2A0DF5-68BD-4F58-811F-3CC4DDFDBE82}">
  <ds:schemaRefs/>
</ds:datastoreItem>
</file>

<file path=customXml/itemProps53.xml><?xml version="1.0" encoding="utf-8"?>
<ds:datastoreItem xmlns:ds="http://schemas.openxmlformats.org/officeDocument/2006/customXml" ds:itemID="{74F83B2D-1E2B-45A9-9061-41FC33DF616A}">
  <ds:schemaRefs/>
</ds:datastoreItem>
</file>

<file path=customXml/itemProps54.xml><?xml version="1.0" encoding="utf-8"?>
<ds:datastoreItem xmlns:ds="http://schemas.openxmlformats.org/officeDocument/2006/customXml" ds:itemID="{BBBB2C8C-6F41-4B4D-8C4E-46FA5F146A76}">
  <ds:schemaRefs/>
</ds:datastoreItem>
</file>

<file path=customXml/itemProps55.xml><?xml version="1.0" encoding="utf-8"?>
<ds:datastoreItem xmlns:ds="http://schemas.openxmlformats.org/officeDocument/2006/customXml" ds:itemID="{58C52E1F-0D41-4768-986C-56DEBC56C650}">
  <ds:schemaRefs/>
</ds:datastoreItem>
</file>

<file path=customXml/itemProps56.xml><?xml version="1.0" encoding="utf-8"?>
<ds:datastoreItem xmlns:ds="http://schemas.openxmlformats.org/officeDocument/2006/customXml" ds:itemID="{9044E3E8-C0B7-4F6A-8989-1FC587904D33}">
  <ds:schemaRefs/>
</ds:datastoreItem>
</file>

<file path=customXml/itemProps57.xml><?xml version="1.0" encoding="utf-8"?>
<ds:datastoreItem xmlns:ds="http://schemas.openxmlformats.org/officeDocument/2006/customXml" ds:itemID="{C96251AE-D5E2-43F2-89D4-947B9F54D5F7}">
  <ds:schemaRefs/>
</ds:datastoreItem>
</file>

<file path=customXml/itemProps58.xml><?xml version="1.0" encoding="utf-8"?>
<ds:datastoreItem xmlns:ds="http://schemas.openxmlformats.org/officeDocument/2006/customXml" ds:itemID="{37869854-F2F1-46FF-A336-D8F4CF1F3B95}">
  <ds:schemaRefs/>
</ds:datastoreItem>
</file>

<file path=customXml/itemProps59.xml><?xml version="1.0" encoding="utf-8"?>
<ds:datastoreItem xmlns:ds="http://schemas.openxmlformats.org/officeDocument/2006/customXml" ds:itemID="{0B6D25B9-53E2-4A9E-8083-818942D313EF}">
  <ds:schemaRefs/>
</ds:datastoreItem>
</file>

<file path=customXml/itemProps60.xml><?xml version="1.0" encoding="utf-8"?>
<ds:datastoreItem xmlns:ds="http://schemas.openxmlformats.org/officeDocument/2006/customXml" ds:itemID="{7EFC84D7-E513-45B8-926D-1D683B6087E7}">
  <ds:schemaRefs/>
</ds:datastoreItem>
</file>

<file path=customXml/itemProps61.xml><?xml version="1.0" encoding="utf-8"?>
<ds:datastoreItem xmlns:ds="http://schemas.openxmlformats.org/officeDocument/2006/customXml" ds:itemID="{56747BE5-C5E8-4B0C-8A94-1C2B829C0E93}">
  <ds:schemaRefs/>
</ds:datastoreItem>
</file>

<file path=customXml/itemProps62.xml><?xml version="1.0" encoding="utf-8"?>
<ds:datastoreItem xmlns:ds="http://schemas.openxmlformats.org/officeDocument/2006/customXml" ds:itemID="{D04E38DE-D9E4-41EA-A45D-A4A8E69381B2}">
  <ds:schemaRefs/>
</ds:datastoreItem>
</file>

<file path=customXml/itemProps63.xml><?xml version="1.0" encoding="utf-8"?>
<ds:datastoreItem xmlns:ds="http://schemas.openxmlformats.org/officeDocument/2006/customXml" ds:itemID="{2D6765F3-A979-456C-8725-BE6D2D0890CD}">
  <ds:schemaRefs/>
</ds:datastoreItem>
</file>

<file path=customXml/itemProps64.xml><?xml version="1.0" encoding="utf-8"?>
<ds:datastoreItem xmlns:ds="http://schemas.openxmlformats.org/officeDocument/2006/customXml" ds:itemID="{E366E902-8D96-4B5A-8699-DF756E6218A9}">
  <ds:schemaRefs/>
</ds:datastoreItem>
</file>

<file path=customXml/itemProps65.xml><?xml version="1.0" encoding="utf-8"?>
<ds:datastoreItem xmlns:ds="http://schemas.openxmlformats.org/officeDocument/2006/customXml" ds:itemID="{2F832EB2-5D24-4D38-B284-C9C70A025AD2}">
  <ds:schemaRefs/>
</ds:datastoreItem>
</file>

<file path=customXml/itemProps66.xml><?xml version="1.0" encoding="utf-8"?>
<ds:datastoreItem xmlns:ds="http://schemas.openxmlformats.org/officeDocument/2006/customXml" ds:itemID="{C217C7B5-1B4E-4924-852C-8EDFAA2AE52F}">
  <ds:schemaRefs/>
</ds:datastoreItem>
</file>

<file path=customXml/itemProps67.xml><?xml version="1.0" encoding="utf-8"?>
<ds:datastoreItem xmlns:ds="http://schemas.openxmlformats.org/officeDocument/2006/customXml" ds:itemID="{CC0797B7-D68E-4370-A7CC-126172FE1B51}">
  <ds:schemaRefs/>
</ds:datastoreItem>
</file>

<file path=customXml/itemProps68.xml><?xml version="1.0" encoding="utf-8"?>
<ds:datastoreItem xmlns:ds="http://schemas.openxmlformats.org/officeDocument/2006/customXml" ds:itemID="{4F968180-2E84-4F85-9AE0-A1E22254F94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2026-07-11T13:12:35Z</dcterms:created>
  <dc:creator>aarya v</dc:creator>
  <dc:description/>
  <dc:language>en-US</dc:language>
  <cp:lastModifiedBy/>
  <dcterms:modified xsi:type="dcterms:W3CDTF">2026-07-21T11:56:09Z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