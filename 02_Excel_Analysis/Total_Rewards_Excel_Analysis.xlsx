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vaary\Downloads\Benefits &amp; Rewards Dashboard\"/>
    </mc:Choice>
  </mc:AlternateContent>
  <xr:revisionPtr revIDLastSave="0" documentId="13_ncr:1_{A57545B0-81FE-4F58-9439-AF56835E4B59}" xr6:coauthVersionLast="47" xr6:coauthVersionMax="47" xr10:uidLastSave="{00000000-0000-0000-0000-000000000000}"/>
  <bookViews>
    <workbookView xWindow="-120" yWindow="-120" windowWidth="20730" windowHeight="11040" tabRatio="664" xr2:uid="{B25200C2-1E3B-467E-9558-1FE839E4F902}"/>
  </bookViews>
  <sheets>
    <sheet name="Cover" sheetId="23" r:id="rId1"/>
    <sheet name="Rewards Dashboard" sheetId="24" r:id="rId2"/>
    <sheet name="Main Pivot Table Sheet" sheetId="29" r:id="rId3"/>
    <sheet name="Helper Sheet" sheetId="25" state="hidden" r:id="rId4"/>
    <sheet name="Basic Analysis" sheetId="10" r:id="rId5"/>
    <sheet name="Rewards &amp; Benefits Allocation" sheetId="22" r:id="rId6"/>
    <sheet name="Gender Pay Equity" sheetId="21" r:id="rId7"/>
    <sheet name="Vendor Map Data" sheetId="17" r:id="rId8"/>
    <sheet name="Query_Audit_Exceptions" sheetId="19" r:id="rId9"/>
    <sheet name="Employee Data" sheetId="12" r:id="rId10"/>
    <sheet name="Validation" sheetId="4" r:id="rId11"/>
  </sheets>
  <definedNames>
    <definedName name="ExternalData_1" localSheetId="9" hidden="1">'Employee Data'!$A$1:$M$493</definedName>
    <definedName name="ExternalData_3" localSheetId="7" hidden="1">'Vendor Map Data'!$A$1:$D$6</definedName>
    <definedName name="ExternalData_5" localSheetId="8" hidden="1">Query_Audit_Exceptions!$A$1:$M$2</definedName>
    <definedName name="Slicer_Department">#N/A</definedName>
    <definedName name="Slicer_Gender">#N/A</definedName>
    <definedName name="Slicer_Location">#N/A</definedName>
  </definedNames>
  <calcPr calcId="191029"/>
  <pivotCaches>
    <pivotCache cacheId="1" r:id="rId12"/>
    <pivotCache cacheId="10" r:id="rId13"/>
    <pivotCache cacheId="12" r:id="rId14"/>
    <pivotCache cacheId="13" r:id="rId15"/>
    <pivotCache cacheId="14" r:id="rId16"/>
    <pivotCache cacheId="15" r:id="rId17"/>
    <pivotCache cacheId="16" r:id="rId18"/>
    <pivotCache cacheId="17" r:id="rId19"/>
    <pivotCache cacheId="18" r:id="rId20"/>
    <pivotCache cacheId="19" r:id="rId21"/>
    <pivotCache cacheId="20" r:id="rId22"/>
    <pivotCache cacheId="21" r:id="rId23"/>
    <pivotCache cacheId="23" r:id="rId24"/>
    <pivotCache cacheId="78" r:id="rId25"/>
    <pivotCache cacheId="90" r:id="rId26"/>
    <pivotCache cacheId="117" r:id="rId27"/>
    <pivotCache cacheId="135" r:id="rId28"/>
  </pivotCaches>
  <extLst>
    <ext xmlns:x14="http://schemas.microsoft.com/office/spreadsheetml/2009/9/main" uri="{876F7934-8845-4945-9796-88D515C7AA90}">
      <x14:pivotCaches>
        <pivotCache cacheId="24"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ian_Employee_Data_3918fd26-4389-4336-bf2f-aff2a97afc30" name="Indian_Employee_Data" connection="Query - Indian_Employee_Data"/>
          <x15:modelTable id="Query_Audit_Exceptions_02543f7d-340f-41dd-a8bf-37506debecb1" name="Query_Audit_Exceptions" connection="Query - Query_Audit_Exceptions"/>
          <x15:modelTable id="Query_Audit_Exceptions 1_cb54789d-41ff-4e81-888b-b48d2eaa0960" name="Query_Audit_Exceptions 1" connection="Query - Query_Audit_Exceptions(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0" i="10" l="1"/>
  <c r="C41" i="10"/>
  <c r="C42" i="10"/>
  <c r="C39" i="10"/>
  <c r="C38" i="10"/>
  <c r="B42" i="10"/>
  <c r="B41" i="10"/>
  <c r="B40" i="10"/>
  <c r="B39" i="10"/>
  <c r="D13" i="29" l="1"/>
  <c r="D14" i="29"/>
  <c r="D15" i="29"/>
  <c r="D16" i="29"/>
  <c r="D12" i="29"/>
  <c r="A6" i="24"/>
  <c r="D6" i="24"/>
  <c r="J6" i="24"/>
  <c r="G6" i="24"/>
  <c r="C50" i="25" a="1"/>
  <c r="C50" i="25"/>
  <c r="D50" i="25" a="1"/>
  <c r="D50" i="25"/>
  <c r="E50" i="25" a="1"/>
  <c r="E50" i="25"/>
  <c r="C51" i="25" a="1"/>
  <c r="C51" i="25"/>
  <c r="D51" i="25" a="1"/>
  <c r="D51" i="25"/>
  <c r="E51" i="25" a="1"/>
  <c r="E51" i="25"/>
  <c r="F51" i="25" s="1" a="1"/>
  <c r="F51" i="25" s="1"/>
  <c r="C52" i="25" a="1"/>
  <c r="C52" i="25"/>
  <c r="D52" i="25" a="1"/>
  <c r="D52" i="25"/>
  <c r="E52" i="25" a="1"/>
  <c r="E52" i="25"/>
  <c r="F52" i="25" s="1" a="1"/>
  <c r="F52" i="25" s="1"/>
  <c r="C53" i="25" a="1"/>
  <c r="C53" i="25"/>
  <c r="D53" i="25" a="1"/>
  <c r="D53" i="25"/>
  <c r="E53" i="25" a="1"/>
  <c r="E53" i="25"/>
  <c r="F53" i="25" s="1" a="1"/>
  <c r="F53" i="25" s="1"/>
  <c r="C54" i="25" a="1"/>
  <c r="C54" i="25"/>
  <c r="D54" i="25" a="1"/>
  <c r="D54" i="25"/>
  <c r="E54" i="25" a="1"/>
  <c r="E54" i="25"/>
  <c r="F54" i="25" s="1" a="1"/>
  <c r="F54" i="25" s="1"/>
  <c r="C55" i="25" a="1"/>
  <c r="C55" i="25"/>
  <c r="D55" i="25" a="1"/>
  <c r="D55" i="25"/>
  <c r="E55" i="25" a="1"/>
  <c r="E55" i="25"/>
  <c r="F55" i="25" s="1" a="1"/>
  <c r="F55" i="25" s="1"/>
  <c r="C56" i="25" a="1"/>
  <c r="C56" i="25"/>
  <c r="D56" i="25" a="1"/>
  <c r="D56" i="25"/>
  <c r="E56" i="25" a="1"/>
  <c r="E56" i="25"/>
  <c r="F56" i="25" s="1" a="1"/>
  <c r="F56" i="25" s="1"/>
  <c r="C57" i="25" a="1"/>
  <c r="C57" i="25"/>
  <c r="D57" i="25" a="1"/>
  <c r="D57" i="25"/>
  <c r="E57" i="25" a="1"/>
  <c r="E57" i="25"/>
  <c r="F57" i="25" s="1" a="1"/>
  <c r="F57" i="25" s="1"/>
  <c r="C58" i="25" a="1"/>
  <c r="C58" i="25"/>
  <c r="D58" i="25" a="1"/>
  <c r="D58" i="25"/>
  <c r="E58" i="25" a="1"/>
  <c r="E58" i="25"/>
  <c r="F58" i="25" s="1" a="1"/>
  <c r="F58" i="25" s="1"/>
  <c r="C59" i="25" a="1"/>
  <c r="C59" i="25"/>
  <c r="D59" i="25" a="1"/>
  <c r="D59" i="25"/>
  <c r="E59" i="25" a="1"/>
  <c r="E59" i="25"/>
  <c r="F59" i="25" s="1" a="1"/>
  <c r="F59" i="25" s="1"/>
  <c r="C60" i="25" a="1"/>
  <c r="C60" i="25"/>
  <c r="D60" i="25" a="1"/>
  <c r="D60" i="25"/>
  <c r="E60" i="25" a="1"/>
  <c r="E60" i="25"/>
  <c r="F60" i="25" s="1" a="1"/>
  <c r="F60" i="25" s="1"/>
  <c r="C61" i="25" a="1"/>
  <c r="C61" i="25"/>
  <c r="D61" i="25" a="1"/>
  <c r="D61" i="25"/>
  <c r="E61" i="25" a="1"/>
  <c r="E61" i="25"/>
  <c r="F61" i="25" s="1" a="1"/>
  <c r="F61" i="25" s="1"/>
  <c r="C62" i="25" a="1"/>
  <c r="C62" i="25"/>
  <c r="D62" i="25" a="1"/>
  <c r="D62" i="25"/>
  <c r="E62" i="25" a="1"/>
  <c r="E62" i="25"/>
  <c r="F62" i="25" s="1" a="1"/>
  <c r="F62" i="25" s="1"/>
  <c r="C63" i="25" a="1"/>
  <c r="C63" i="25"/>
  <c r="D63" i="25" a="1"/>
  <c r="D63" i="25"/>
  <c r="E63" i="25" a="1"/>
  <c r="E63" i="25"/>
  <c r="F63" i="25" s="1" a="1"/>
  <c r="F63" i="25" s="1"/>
  <c r="C64" i="25" a="1"/>
  <c r="C64" i="25"/>
  <c r="D64" i="25" a="1"/>
  <c r="D64" i="25"/>
  <c r="E64" i="25" a="1"/>
  <c r="E64" i="25"/>
  <c r="F64" i="25" s="1" a="1"/>
  <c r="F64" i="25" s="1"/>
  <c r="C65" i="25" a="1"/>
  <c r="C65" i="25"/>
  <c r="D65" i="25" a="1"/>
  <c r="D65" i="25"/>
  <c r="E65" i="25" a="1"/>
  <c r="E65" i="25"/>
  <c r="F65" i="25" s="1" a="1"/>
  <c r="F65" i="25" s="1"/>
  <c r="C66" i="25" a="1"/>
  <c r="C66" i="25"/>
  <c r="D66" i="25" a="1"/>
  <c r="D66" i="25"/>
  <c r="E66" i="25" a="1"/>
  <c r="E66" i="25"/>
  <c r="F66" i="25" s="1" a="1"/>
  <c r="F66" i="25" s="1"/>
  <c r="C67" i="25" a="1"/>
  <c r="C67" i="25"/>
  <c r="D67" i="25" a="1"/>
  <c r="D67" i="25"/>
  <c r="E67" i="25" a="1"/>
  <c r="E67" i="25"/>
  <c r="F67" i="25" s="1" a="1"/>
  <c r="F67" i="25" s="1"/>
  <c r="C68" i="25" a="1"/>
  <c r="C68" i="25"/>
  <c r="D68" i="25" a="1"/>
  <c r="D68" i="25"/>
  <c r="E68" i="25" a="1"/>
  <c r="E68" i="25"/>
  <c r="F68" i="25" s="1" a="1"/>
  <c r="F68" i="25" s="1"/>
  <c r="C69" i="25" a="1"/>
  <c r="C69" i="25"/>
  <c r="D69" i="25" a="1"/>
  <c r="D69" i="25"/>
  <c r="E69" i="25" a="1"/>
  <c r="E69" i="25"/>
  <c r="F69" i="25" s="1" a="1"/>
  <c r="F69" i="25" s="1"/>
  <c r="A40" i="25"/>
  <c r="B40" i="25"/>
  <c r="A41" i="25"/>
  <c r="B41" i="25"/>
  <c r="A42" i="25"/>
  <c r="B42" i="25"/>
  <c r="A43" i="25"/>
  <c r="B43" i="25"/>
  <c r="B30" i="25" a="1"/>
  <c r="B30" i="25"/>
  <c r="B31" i="25" a="1"/>
  <c r="B31" i="25"/>
  <c r="B32" i="25" a="1"/>
  <c r="B32" i="25"/>
  <c r="B33" i="25" a="1"/>
  <c r="B33" i="25"/>
  <c r="B34" i="25" a="1"/>
  <c r="B34" i="25"/>
  <c r="B22" i="25" a="1"/>
  <c r="B22" i="25"/>
  <c r="B23" i="25" a="1"/>
  <c r="B23" i="25"/>
  <c r="B24" i="25" a="1"/>
  <c r="B24" i="25"/>
  <c r="B12" i="25"/>
  <c r="C12" i="25"/>
  <c r="D12" i="25"/>
  <c r="E12" i="25"/>
  <c r="B13" i="25"/>
  <c r="C13" i="25"/>
  <c r="D13" i="25"/>
  <c r="E13" i="25"/>
  <c r="B14" i="25"/>
  <c r="C14" i="25"/>
  <c r="D14" i="25"/>
  <c r="E14" i="25"/>
  <c r="B15" i="25"/>
  <c r="C15" i="25"/>
  <c r="D15" i="25"/>
  <c r="E15" i="25"/>
  <c r="B16" i="25"/>
  <c r="C16" i="25"/>
  <c r="D16" i="25"/>
  <c r="E16" i="25"/>
  <c r="D13" i="21"/>
  <c r="D14" i="21"/>
  <c r="D15" i="21"/>
  <c r="D16" i="21"/>
  <c r="D12" i="21"/>
  <c r="P3" i="12"/>
  <c r="R1" i="12"/>
  <c r="P1" i="12"/>
  <c r="F50" i="25" l="1" a="1"/>
  <c r="F50" i="25" s="1"/>
  <c r="H50" i="25" s="1" a="1"/>
  <c r="H50" i="25" s="1"/>
  <c r="P5" i="12"/>
  <c r="Q5" i="12"/>
  <c r="P2" i="12"/>
  <c r="A46" i="24" l="1"/>
  <c r="B46" i="24"/>
  <c r="C46" i="24"/>
  <c r="D46" i="24"/>
  <c r="E46" i="24"/>
  <c r="F46" i="24"/>
  <c r="A47" i="24"/>
  <c r="B47" i="24"/>
  <c r="C47" i="24"/>
  <c r="D47" i="24"/>
  <c r="E47" i="24"/>
  <c r="F47" i="24"/>
  <c r="A48" i="24"/>
  <c r="B48" i="24"/>
  <c r="C48" i="24"/>
  <c r="D48" i="24"/>
  <c r="E48" i="24"/>
  <c r="F48" i="24"/>
  <c r="A49" i="24"/>
  <c r="B49" i="24"/>
  <c r="C49" i="24"/>
  <c r="D49" i="24"/>
  <c r="E49" i="24"/>
  <c r="F49" i="24"/>
  <c r="A50" i="24"/>
  <c r="B50" i="24"/>
  <c r="C50" i="24"/>
  <c r="D50" i="24"/>
  <c r="E50" i="24"/>
  <c r="F50" i="24"/>
  <c r="A51" i="24"/>
  <c r="B51" i="24"/>
  <c r="C51" i="24"/>
  <c r="D51" i="24"/>
  <c r="E51" i="24"/>
  <c r="F51"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02924-4BAA-4BAC-99E8-16024C84C5A5}" keepAlive="1" name="ModelConnection_ExternalData_1" description="Data Model" type="5" refreshedVersion="8" minRefreshableVersion="5" saveData="1">
    <dbPr connection="Data Model Connection" command="Indian_Employee_Data" commandType="3"/>
    <extLst>
      <ext xmlns:x15="http://schemas.microsoft.com/office/spreadsheetml/2010/11/main" uri="{DE250136-89BD-433C-8126-D09CA5730AF9}">
        <x15:connection id="" model="1"/>
      </ext>
    </extLst>
  </connection>
  <connection id="2" xr16:uid="{F6DECF77-1E91-459D-8EEB-5D0BFDA729F4}" keepAlive="1" name="ModelConnection_ExternalData_5" description="Data Model" type="5" refreshedVersion="8" minRefreshableVersion="5" saveData="1">
    <dbPr connection="Data Model Connection" command="Query_Audit_Exceptions 1" commandType="3"/>
    <extLst>
      <ext xmlns:x15="http://schemas.microsoft.com/office/spreadsheetml/2010/11/main" uri="{DE250136-89BD-433C-8126-D09CA5730AF9}">
        <x15:connection id="" model="1"/>
      </ext>
    </extLst>
  </connection>
  <connection id="3" xr16:uid="{489F1930-29A6-4DEC-A8C1-4195A17DBB9B}" name="Query - Indian_Employee_Data" description="Connection to the 'Indian_Employee_Data' query in the workbook." type="100" refreshedVersion="8" minRefreshableVersion="5">
    <extLst>
      <ext xmlns:x15="http://schemas.microsoft.com/office/spreadsheetml/2010/11/main" uri="{DE250136-89BD-433C-8126-D09CA5730AF9}">
        <x15:connection id="140e2675-7aa2-495e-9cf1-d797b4d074f1"/>
      </ext>
    </extLst>
  </connection>
  <connection id="4" xr16:uid="{90D3AEDE-092C-4E40-B664-A803341AB888}" name="Query - Query_Audit_Exceptions" description="Connection to the 'Query_Audit_Exceptions' query in the workbook." type="100" refreshedVersion="8" minRefreshableVersion="5">
    <extLst>
      <ext xmlns:x15="http://schemas.microsoft.com/office/spreadsheetml/2010/11/main" uri="{DE250136-89BD-433C-8126-D09CA5730AF9}">
        <x15:connection id="e6d8be16-4581-4a1b-aa6f-64679a36459f"/>
      </ext>
    </extLst>
  </connection>
  <connection id="5" xr16:uid="{CCC2AA69-43EE-40F7-9500-31095209648E}" name="Query - Query_Audit_Exceptions(1)" description="Connection to the 'Query_Audit_Exceptions' query in the workbook." type="100" refreshedVersion="8" minRefreshableVersion="5">
    <extLst>
      <ext xmlns:x15="http://schemas.microsoft.com/office/spreadsheetml/2010/11/main" uri="{DE250136-89BD-433C-8126-D09CA5730AF9}">
        <x15:connection id="808506f9-94ea-44be-aa3b-f6aa2ad4da8f">
          <x15:oledbPr connection="Provider=Microsoft.Mashup.OleDb.1;Data Source=$Workbook$;Location=Query_Audit_Exceptions;Extended Properties=&quot;&quot;">
            <x15:dbTables>
              <x15:dbTable name="Query_Audit_Exceptions"/>
            </x15:dbTables>
          </x15:oledbPr>
        </x15:connection>
      </ext>
    </extLst>
  </connection>
  <connection id="6" xr16:uid="{9C4EC7A1-6C29-4AE0-8DC4-102F611A1BE0}" keepAlive="1" name="Query - Vendor Map" description="Connection to the 'Vendor Map' query in the workbook." type="5" refreshedVersion="8" background="1" saveData="1">
    <dbPr connection="Provider=Microsoft.Mashup.OleDb.1;Data Source=$Workbook$;Location=&quot;Vendor Map&quot;;Extended Properties=&quot;&quot;" command="SELECT * FROM [Vendor Map]"/>
  </connection>
  <connection id="7" xr16:uid="{FAE41626-A714-438E-91A8-AC73B495B3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Indian_Employee_Data].[Salary Tier].&amp;[Junior]"/>
  </metadataStrings>
  <mdxMetadata count="1">
    <mdx n="0" f="m">
      <t c="1">
        <n x="1"/>
      </t>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<sst xmlns="http://schemas.openxmlformats.org/spreadsheetml/2006/main" count="5883" uniqueCount="1037">
  <si>
    <t>Department</t>
  </si>
  <si>
    <t>Location</t>
  </si>
  <si>
    <t>Corporate Benefit Plan</t>
  </si>
  <si>
    <t>Finance</t>
  </si>
  <si>
    <t>Noida</t>
  </si>
  <si>
    <t>Bronze</t>
  </si>
  <si>
    <t>Individual</t>
  </si>
  <si>
    <t>Hyderabad</t>
  </si>
  <si>
    <t>Operations</t>
  </si>
  <si>
    <t>Gurugram</t>
  </si>
  <si>
    <t>Silver</t>
  </si>
  <si>
    <t>Tech</t>
  </si>
  <si>
    <t>HR</t>
  </si>
  <si>
    <t>Bengaluru</t>
  </si>
  <si>
    <t>Sales</t>
  </si>
  <si>
    <t>Insurance tier</t>
  </si>
  <si>
    <t>Family Floater</t>
  </si>
  <si>
    <t>Gold</t>
  </si>
  <si>
    <t>Above 200k</t>
  </si>
  <si>
    <t>Parents Included</t>
  </si>
  <si>
    <t>Between 50k and 200k</t>
  </si>
  <si>
    <t>Under 50k</t>
  </si>
  <si>
    <t>Gender</t>
  </si>
  <si>
    <t>Female</t>
  </si>
  <si>
    <t>Male</t>
  </si>
  <si>
    <t>Transgender</t>
  </si>
  <si>
    <t>Row Labels</t>
  </si>
  <si>
    <t>Grand Total</t>
  </si>
  <si>
    <t>Column Labels</t>
  </si>
  <si>
    <t>Employee ID</t>
  </si>
  <si>
    <t>Full Name</t>
  </si>
  <si>
    <t>Monthly Base Salary (INR)</t>
  </si>
  <si>
    <t>Monthly Premiums</t>
  </si>
  <si>
    <t>Salary Bracket</t>
  </si>
  <si>
    <t>Emp1085</t>
  </si>
  <si>
    <t>Indira Joshi</t>
  </si>
  <si>
    <t>Emp1307</t>
  </si>
  <si>
    <t>Rajkumar Devi</t>
  </si>
  <si>
    <t>Emp1122</t>
  </si>
  <si>
    <t>Renchamo Kikon</t>
  </si>
  <si>
    <t>Emp1166</t>
  </si>
  <si>
    <t>Sachin Verma</t>
  </si>
  <si>
    <t>Emp1330</t>
  </si>
  <si>
    <t>Sngi Kharkongor</t>
  </si>
  <si>
    <t>Emp1133</t>
  </si>
  <si>
    <t>Subhalata Koloi</t>
  </si>
  <si>
    <t>Emp1281</t>
  </si>
  <si>
    <t>Chidambaram Reddy</t>
  </si>
  <si>
    <t>Emp1194</t>
  </si>
  <si>
    <t>Kersi Vakil</t>
  </si>
  <si>
    <t>Emp1394</t>
  </si>
  <si>
    <t>Aspi Contractor</t>
  </si>
  <si>
    <t>Emp1180</t>
  </si>
  <si>
    <t>Vanlalhruaii Khiangte</t>
  </si>
  <si>
    <t>Emp1063</t>
  </si>
  <si>
    <t>Mark D'Souza</t>
  </si>
  <si>
    <t>Emp1253</t>
  </si>
  <si>
    <t>Kalpana Raman</t>
  </si>
  <si>
    <t>Emp1323</t>
  </si>
  <si>
    <t>Zubin Irani</t>
  </si>
  <si>
    <t>Emp1224</t>
  </si>
  <si>
    <t>Gyati Yein</t>
  </si>
  <si>
    <t>Emp1492</t>
  </si>
  <si>
    <t>Xavier Mondal</t>
  </si>
  <si>
    <t>Emp1268</t>
  </si>
  <si>
    <t>Hemant Joshi</t>
  </si>
  <si>
    <t>Emp1236</t>
  </si>
  <si>
    <t>Rajkumari Laishram</t>
  </si>
  <si>
    <t>Emp1379</t>
  </si>
  <si>
    <t>Jyoti Srivastava</t>
  </si>
  <si>
    <t>Emp1386</t>
  </si>
  <si>
    <t>Xavier Mendes</t>
  </si>
  <si>
    <t>Emp1466</t>
  </si>
  <si>
    <t>Ruth Mendes</t>
  </si>
  <si>
    <t>Emp1019</t>
  </si>
  <si>
    <t>Farokh Panthaki</t>
  </si>
  <si>
    <t>Emp1416</t>
  </si>
  <si>
    <t>Aloo Engineer</t>
  </si>
  <si>
    <t>Emp1269</t>
  </si>
  <si>
    <t>Uma Krishnan</t>
  </si>
  <si>
    <t>Emp1250</t>
  </si>
  <si>
    <t>Kmen Nongrum</t>
  </si>
  <si>
    <t>Emp1016</t>
  </si>
  <si>
    <t>Ankit Chauhan</t>
  </si>
  <si>
    <t>Emp1036</t>
  </si>
  <si>
    <t>Phiroz Engineer</t>
  </si>
  <si>
    <t>Emp1023</t>
  </si>
  <si>
    <t>Laksh Puri</t>
  </si>
  <si>
    <t>Emp1246</t>
  </si>
  <si>
    <t>Dwmsri Islary</t>
  </si>
  <si>
    <t>Emp1397</t>
  </si>
  <si>
    <t>Lamyanbi Laishram</t>
  </si>
  <si>
    <t>Emp1018</t>
  </si>
  <si>
    <t>Bheem .</t>
  </si>
  <si>
    <t>Emp1039</t>
  </si>
  <si>
    <t>Umesh Yadav</t>
  </si>
  <si>
    <t>Emp1426</t>
  </si>
  <si>
    <t>Tarsem Dhaliwal</t>
  </si>
  <si>
    <t>Emp1482</t>
  </si>
  <si>
    <t>Saad Siddiqui</t>
  </si>
  <si>
    <t>Emp1024</t>
  </si>
  <si>
    <t>Pemba Rai</t>
  </si>
  <si>
    <t>Emp1494</t>
  </si>
  <si>
    <t>Tejinder Gill</t>
  </si>
  <si>
    <t>Emp1286</t>
  </si>
  <si>
    <t>Reena Colaco</t>
  </si>
  <si>
    <t>Emp1153</t>
  </si>
  <si>
    <t>Pervin Engineer</t>
  </si>
  <si>
    <t>Emp1455</t>
  </si>
  <si>
    <t>Ashok Kohli</t>
  </si>
  <si>
    <t>Emp1095</t>
  </si>
  <si>
    <t>David Colaco</t>
  </si>
  <si>
    <t>Emp1097</t>
  </si>
  <si>
    <t>Khriekuolie Kikon</t>
  </si>
  <si>
    <t>Emp1328</t>
  </si>
  <si>
    <t>Dinshaw Elavia</t>
  </si>
  <si>
    <t>Emp1160</t>
  </si>
  <si>
    <t>Saurabh Agarwal</t>
  </si>
  <si>
    <t>Emp1243</t>
  </si>
  <si>
    <t>Vikram Kapoor</t>
  </si>
  <si>
    <t>Emp1443</t>
  </si>
  <si>
    <t>Meenakshi Pillai</t>
  </si>
  <si>
    <t>Emp1392</t>
  </si>
  <si>
    <t>Wandik Manda</t>
  </si>
  <si>
    <t>Emp1442</t>
  </si>
  <si>
    <t>Jeroo Vakil</t>
  </si>
  <si>
    <t>Emp1000</t>
  </si>
  <si>
    <t>Jagan Chettiar</t>
  </si>
  <si>
    <t>Emp1348</t>
  </si>
  <si>
    <t>Chandrika Riang</t>
  </si>
  <si>
    <t>Emp1251</t>
  </si>
  <si>
    <t>Srinivas Raman</t>
  </si>
  <si>
    <t>Emp1177</t>
  </si>
  <si>
    <t>Vimenuo Jamir</t>
  </si>
  <si>
    <t>Emp1360</t>
  </si>
  <si>
    <t>Chandni Malhotra</t>
  </si>
  <si>
    <t>Emp1060</t>
  </si>
  <si>
    <t>Prakash Rao</t>
  </si>
  <si>
    <t>Emp1227</t>
  </si>
  <si>
    <t>Joan Gonsalves</t>
  </si>
  <si>
    <t>Emp1344</t>
  </si>
  <si>
    <t>Sudha Naidu</t>
  </si>
  <si>
    <t>Emp1316</t>
  </si>
  <si>
    <t>Him Chettri Lepcha</t>
  </si>
  <si>
    <t>Emp1391</t>
  </si>
  <si>
    <t>Sneha Mishra</t>
  </si>
  <si>
    <t>Emp1141</t>
  </si>
  <si>
    <t>Lalramfeli Zuala</t>
  </si>
  <si>
    <t>Emp1105</t>
  </si>
  <si>
    <t>Bimala Uchoi</t>
  </si>
  <si>
    <t>Emp1190</t>
  </si>
  <si>
    <t>Deepak Rai Sherpa</t>
  </si>
  <si>
    <t>Emp1222</t>
  </si>
  <si>
    <t>Narayan Iyengar</t>
  </si>
  <si>
    <t>Emp1283</t>
  </si>
  <si>
    <t>Chaobi Singh</t>
  </si>
  <si>
    <t>Emp1259</t>
  </si>
  <si>
    <t>Noshir Wadia</t>
  </si>
  <si>
    <t>Emp1037</t>
  </si>
  <si>
    <t>Prasad Raj</t>
  </si>
  <si>
    <t>Emp1370</t>
  </si>
  <si>
    <t>Sanjay Gupta</t>
  </si>
  <si>
    <t>Emp1433</t>
  </si>
  <si>
    <t>Shankar Bhat</t>
  </si>
  <si>
    <t>Emp1206</t>
  </si>
  <si>
    <t>Hema Pandey</t>
  </si>
  <si>
    <t>Emp1400</t>
  </si>
  <si>
    <t>Jayaram Gowda</t>
  </si>
  <si>
    <t>Emp1123</t>
  </si>
  <si>
    <t>Manikandan Balan</t>
  </si>
  <si>
    <t>Emp1079</t>
  </si>
  <si>
    <t>Sohrab Cooper</t>
  </si>
  <si>
    <t>Emp1333</t>
  </si>
  <si>
    <t>Lobsang Bagra</t>
  </si>
  <si>
    <t>Emp1460</t>
  </si>
  <si>
    <t>Kong Syiem</t>
  </si>
  <si>
    <t>Emp1380</t>
  </si>
  <si>
    <t>Renla Aier</t>
  </si>
  <si>
    <t>Emp1167</t>
  </si>
  <si>
    <t>Pesi Contractor</t>
  </si>
  <si>
    <t>Emp1234</t>
  </si>
  <si>
    <t>Simran Virk</t>
  </si>
  <si>
    <t>Emp1071</t>
  </si>
  <si>
    <t>Murali Pai</t>
  </si>
  <si>
    <t>Emp1297</t>
  </si>
  <si>
    <t>Chungkham Chungkham</t>
  </si>
  <si>
    <t>Emp1468</t>
  </si>
  <si>
    <t>Mohammed Farooqui</t>
  </si>
  <si>
    <t>Emp1213</t>
  </si>
  <si>
    <t>Dhananjoy Uchoi</t>
  </si>
  <si>
    <t>Emp1173</t>
  </si>
  <si>
    <t>Rojer Dkhar</t>
  </si>
  <si>
    <t>Emp1108</t>
  </si>
  <si>
    <t>Madhavi Iyengar</t>
  </si>
  <si>
    <t>Emp1215</t>
  </si>
  <si>
    <t>Akumla Longkumer</t>
  </si>
  <si>
    <t>Emp1225</t>
  </si>
  <si>
    <t>Joshua Pinto</t>
  </si>
  <si>
    <t>Emp1329</t>
  </si>
  <si>
    <t>Jyotiprasad Gogoi</t>
  </si>
  <si>
    <t>Emp1015</t>
  </si>
  <si>
    <t>Sathish Chettiar</t>
  </si>
  <si>
    <t>Emp1014</t>
  </si>
  <si>
    <t>Zhale Imsong</t>
  </si>
  <si>
    <t>Emp1459</t>
  </si>
  <si>
    <t>Sheela Thomas</t>
  </si>
  <si>
    <t>Emp1090</t>
  </si>
  <si>
    <t>Thoibi Nongthombam</t>
  </si>
  <si>
    <t>Emp1132</t>
  </si>
  <si>
    <t>Satnam Aujla</t>
  </si>
  <si>
    <t>Emp1294</t>
  </si>
  <si>
    <t>Hem Chettri Gyatso</t>
  </si>
  <si>
    <t>Emp1021</t>
  </si>
  <si>
    <t>Irfan Shakir</t>
  </si>
  <si>
    <t>Emp1066</t>
  </si>
  <si>
    <t>Himesh .</t>
  </si>
  <si>
    <t>Emp1430</t>
  </si>
  <si>
    <t>Yumnam Thokchom</t>
  </si>
  <si>
    <t>Emp1319</t>
  </si>
  <si>
    <t>Champa Mochahari</t>
  </si>
  <si>
    <t>Emp1318</t>
  </si>
  <si>
    <t>Vimeinuo Ao</t>
  </si>
  <si>
    <t>Emp1111</t>
  </si>
  <si>
    <t>Rajinder Mann</t>
  </si>
  <si>
    <t>Emp1317</t>
  </si>
  <si>
    <t>Agnes Rodrigues</t>
  </si>
  <si>
    <t>Emp1004</t>
  </si>
  <si>
    <t>Hemanta Saikia</t>
  </si>
  <si>
    <t>Emp1275</t>
  </si>
  <si>
    <t>Sandeep Toor</t>
  </si>
  <si>
    <t>Emp1477</t>
  </si>
  <si>
    <t>Kyrmenlang Rynjah</t>
  </si>
  <si>
    <t>Emp1187</t>
  </si>
  <si>
    <t>Leo Coelho</t>
  </si>
  <si>
    <t>Emp1255</t>
  </si>
  <si>
    <t>Anjali Daimary</t>
  </si>
  <si>
    <t>Emp1320</t>
  </si>
  <si>
    <t>Alphonsa Lobo</t>
  </si>
  <si>
    <t>Emp1048</t>
  </si>
  <si>
    <t>Shabana Pathan</t>
  </si>
  <si>
    <t>Emp1147</t>
  </si>
  <si>
    <t>Vanlalhruaia Zote</t>
  </si>
  <si>
    <t>Emp1103</t>
  </si>
  <si>
    <t>Tariq Sayyed</t>
  </si>
  <si>
    <t>Emp1306</t>
  </si>
  <si>
    <t>Himangshu Mahanta</t>
  </si>
  <si>
    <t>Emp1263</t>
  </si>
  <si>
    <t>Amandeep Singh</t>
  </si>
  <si>
    <t>Emp1136</t>
  </si>
  <si>
    <t>Elizabeth Abraham</t>
  </si>
  <si>
    <t>Emp1295</t>
  </si>
  <si>
    <t>Sentila Angami</t>
  </si>
  <si>
    <t>Emp1096</t>
  </si>
  <si>
    <t>Meher Malik</t>
  </si>
  <si>
    <t>Emp1474</t>
  </si>
  <si>
    <t>Raman Kumar</t>
  </si>
  <si>
    <t>Emp1163</t>
  </si>
  <si>
    <t>Talom Loyi</t>
  </si>
  <si>
    <t>Emp1287</t>
  </si>
  <si>
    <t>Emp1065</t>
  </si>
  <si>
    <t>Senthil Shetty</t>
  </si>
  <si>
    <t>Emp1210</t>
  </si>
  <si>
    <t>Rahat Khan</t>
  </si>
  <si>
    <t>Emp1051</t>
  </si>
  <si>
    <t>Lalrindika Lalrinchhana</t>
  </si>
  <si>
    <t>Emp1199</t>
  </si>
  <si>
    <t>Kirandeep Dhillon</t>
  </si>
  <si>
    <t>Emp1421</t>
  </si>
  <si>
    <t>Anand Krishnan</t>
  </si>
  <si>
    <t>Emp1230</t>
  </si>
  <si>
    <t>Kulwinder Randhawa</t>
  </si>
  <si>
    <t>Emp1308</t>
  </si>
  <si>
    <t>Anna Colaco</t>
  </si>
  <si>
    <t>Emp1279</t>
  </si>
  <si>
    <t>Rani Dubey</t>
  </si>
  <si>
    <t>Emp1276</t>
  </si>
  <si>
    <t>Subhashini Iyengar</t>
  </si>
  <si>
    <t>Emp1067</t>
  </si>
  <si>
    <t>Deepika Khanna</t>
  </si>
  <si>
    <t>Emp1385</t>
  </si>
  <si>
    <t>Dilip Bhuyan</t>
  </si>
  <si>
    <t>Emp1389</t>
  </si>
  <si>
    <t>Karamjit Sandhu</t>
  </si>
  <si>
    <t>Emp1120</t>
  </si>
  <si>
    <t>Emp1113</t>
  </si>
  <si>
    <t>Abdul Siddiqui</t>
  </si>
  <si>
    <t>Emp1035</t>
  </si>
  <si>
    <t>Ibomcha Huidrom</t>
  </si>
  <si>
    <t>Emp1270</t>
  </si>
  <si>
    <t>Ganapathy Yadav</t>
  </si>
  <si>
    <t>Emp1271</t>
  </si>
  <si>
    <t>Mebandari Nongsiej</t>
  </si>
  <si>
    <t>Emp1321</t>
  </si>
  <si>
    <t>Tejinder Kang</t>
  </si>
  <si>
    <t>Emp1304</t>
  </si>
  <si>
    <t>Grikdik Chisim</t>
  </si>
  <si>
    <t>Emp1086</t>
  </si>
  <si>
    <t>Nish Kapoor</t>
  </si>
  <si>
    <t>Emp1265</t>
  </si>
  <si>
    <t>Emp1398</t>
  </si>
  <si>
    <t>Lakhi Rajkhowa</t>
  </si>
  <si>
    <t>Emp1419</t>
  </si>
  <si>
    <t>Damida Wahlang</t>
  </si>
  <si>
    <t>Emp1447</t>
  </si>
  <si>
    <t>Iaidor Nongbet</t>
  </si>
  <si>
    <t>Emp1399</t>
  </si>
  <si>
    <t>Karma Lepcha</t>
  </si>
  <si>
    <t>Emp1107</t>
  </si>
  <si>
    <t>Gulnaz Khan</t>
  </si>
  <si>
    <t>Emp1331</t>
  </si>
  <si>
    <t>Radhika Chettiar</t>
  </si>
  <si>
    <t>Emp1431</t>
  </si>
  <si>
    <t>Francis Varghese</t>
  </si>
  <si>
    <t>Emp1094</t>
  </si>
  <si>
    <t>Sanjenbam Meitei</t>
  </si>
  <si>
    <t>Emp1292</t>
  </si>
  <si>
    <t>Coomi Panthaki</t>
  </si>
  <si>
    <t>Emp1118</t>
  </si>
  <si>
    <t>John George</t>
  </si>
  <si>
    <t>Emp1405</t>
  </si>
  <si>
    <t>Nyari Tayeng</t>
  </si>
  <si>
    <t>Emp1203</t>
  </si>
  <si>
    <t>Tashi Doma Dorjee</t>
  </si>
  <si>
    <t>Emp1192</t>
  </si>
  <si>
    <t>Emp1485</t>
  </si>
  <si>
    <t>Jonali Phukan</t>
  </si>
  <si>
    <t>Emp1401</t>
  </si>
  <si>
    <t>Chibri Ch. Marak</t>
  </si>
  <si>
    <t>Emp1453</t>
  </si>
  <si>
    <t>Zhale Ao</t>
  </si>
  <si>
    <t>Emp1150</t>
  </si>
  <si>
    <t>Saba Qureshi</t>
  </si>
  <si>
    <t>Emp1043</t>
  </si>
  <si>
    <t>Pema Chettri</t>
  </si>
  <si>
    <t>Emp1242</t>
  </si>
  <si>
    <t>Rikynti Suchiang</t>
  </si>
  <si>
    <t>Emp1182</t>
  </si>
  <si>
    <t>Rituraj Das</t>
  </si>
  <si>
    <t>Emp1112</t>
  </si>
  <si>
    <t>Shubham Singh</t>
  </si>
  <si>
    <t>Emp1395</t>
  </si>
  <si>
    <t>Kumar Raman</t>
  </si>
  <si>
    <t>Emp1473</t>
  </si>
  <si>
    <t>Lalthanzara Ralte</t>
  </si>
  <si>
    <t>Emp1489</t>
  </si>
  <si>
    <t>Nagendra Murasingh</t>
  </si>
  <si>
    <t>Emp1280</t>
  </si>
  <si>
    <t>Rajesh Joshi</t>
  </si>
  <si>
    <t>Emp1062</t>
  </si>
  <si>
    <t>Vidya Gowda</t>
  </si>
  <si>
    <t>Emp1314</t>
  </si>
  <si>
    <t>Arjun Yadav</t>
  </si>
  <si>
    <t>Emp1376</t>
  </si>
  <si>
    <t>Wasim Baig</t>
  </si>
  <si>
    <t>Emp1219</t>
  </si>
  <si>
    <t>Dipika Sarma</t>
  </si>
  <si>
    <t>Emp1249</t>
  </si>
  <si>
    <t>Akum Koi</t>
  </si>
  <si>
    <t>Emp1336</t>
  </si>
  <si>
    <t>Sukhwinder Bal</t>
  </si>
  <si>
    <t>Emp1396</t>
  </si>
  <si>
    <t>Kersi Anand</t>
  </si>
  <si>
    <t>Emp1080</t>
  </si>
  <si>
    <t>Sengchim Sangma</t>
  </si>
  <si>
    <t>Emp1115</t>
  </si>
  <si>
    <t>Imnaila Sangtam</t>
  </si>
  <si>
    <t>Emp1183</t>
  </si>
  <si>
    <t>Behram Engineer</t>
  </si>
  <si>
    <t>Emp1264</t>
  </si>
  <si>
    <t>Kevi Chang</t>
  </si>
  <si>
    <t>Emp1198</t>
  </si>
  <si>
    <t>Gopal Nair</t>
  </si>
  <si>
    <t>Emp1088</t>
  </si>
  <si>
    <t>Milind Panday</t>
  </si>
  <si>
    <t>Emp1093</t>
  </si>
  <si>
    <t>Angela Dias</t>
  </si>
  <si>
    <t>Emp1232</t>
  </si>
  <si>
    <t>Rehan Sheikh</t>
  </si>
  <si>
    <t>Emp1284</t>
  </si>
  <si>
    <t>Veronica Mathew</t>
  </si>
  <si>
    <t>Emp1463</t>
  </si>
  <si>
    <t>Kausar Mirza</t>
  </si>
  <si>
    <t>Emp1074</t>
  </si>
  <si>
    <t>Priya Saxena</t>
  </si>
  <si>
    <t>Emp1357</t>
  </si>
  <si>
    <t>Emp1289</t>
  </si>
  <si>
    <t>AK Dhilion</t>
  </si>
  <si>
    <t>Emp1169</t>
  </si>
  <si>
    <t>Grasing Chisim</t>
  </si>
  <si>
    <t>Emp1054</t>
  </si>
  <si>
    <t>Maria Lobo</t>
  </si>
  <si>
    <t>Emp1008</t>
  </si>
  <si>
    <t>Aditya Thakur</t>
  </si>
  <si>
    <t>Emp1484</t>
  </si>
  <si>
    <t>Saroja Raman</t>
  </si>
  <si>
    <t>Emp1020</t>
  </si>
  <si>
    <t>Bhavesh Kapoor</t>
  </si>
  <si>
    <t>Emp1220</t>
  </si>
  <si>
    <t>Emp1352</t>
  </si>
  <si>
    <t>Mridula Chaliha</t>
  </si>
  <si>
    <t>Emp1185</t>
  </si>
  <si>
    <t>Chikbal Manda</t>
  </si>
  <si>
    <t>Emp1045</t>
  </si>
  <si>
    <t>Emp1207</t>
  </si>
  <si>
    <t>Thinley Limbu</t>
  </si>
  <si>
    <t>Emp1176</t>
  </si>
  <si>
    <t>Emp1211</t>
  </si>
  <si>
    <t>Piroja Daruwala</t>
  </si>
  <si>
    <t>Emp1481</t>
  </si>
  <si>
    <t>Navjot Sodhi</t>
  </si>
  <si>
    <t>Emp1315</t>
  </si>
  <si>
    <t>Manashi Bora</t>
  </si>
  <si>
    <t>Emp1381</t>
  </si>
  <si>
    <t>Karin Tapin</t>
  </si>
  <si>
    <t>Emp1266</t>
  </si>
  <si>
    <t>Talin Tayeng</t>
  </si>
  <si>
    <t>Emp1435</t>
  </si>
  <si>
    <t>Khadija Sayyed</t>
  </si>
  <si>
    <t>Emp1337</t>
  </si>
  <si>
    <t>Kaif Pathan</t>
  </si>
  <si>
    <t>Emp1432</t>
  </si>
  <si>
    <t>Savitri Varma</t>
  </si>
  <si>
    <t>Emp1491</t>
  </si>
  <si>
    <t>Kitboklang Pariat</t>
  </si>
  <si>
    <t>Emp1298</t>
  </si>
  <si>
    <t>Emp1382</t>
  </si>
  <si>
    <t>Gursharan Dhaliwal</t>
  </si>
  <si>
    <t>Emp1480</t>
  </si>
  <si>
    <t>Ardeshir Wadia</t>
  </si>
  <si>
    <t>Emp1345</t>
  </si>
  <si>
    <t>Saraswati Hegde</t>
  </si>
  <si>
    <t>Emp1238</t>
  </si>
  <si>
    <t>Emp1361</t>
  </si>
  <si>
    <t>Dhanush Rao</t>
  </si>
  <si>
    <t>Emp1355</t>
  </si>
  <si>
    <t>Rwswmwi Boro</t>
  </si>
  <si>
    <t>Emp1200</t>
  </si>
  <si>
    <t>Rashmi Rekha Choudhury</t>
  </si>
  <si>
    <t>Emp1303</t>
  </si>
  <si>
    <t>Hussain Ansari</t>
  </si>
  <si>
    <t>Emp1101</t>
  </si>
  <si>
    <t>Kamal Sanggam</t>
  </si>
  <si>
    <t>Emp1044</t>
  </si>
  <si>
    <t>Emp1201</t>
  </si>
  <si>
    <t>Tara Yadav</t>
  </si>
  <si>
    <t>Emp1440</t>
  </si>
  <si>
    <t>Soni Jain</t>
  </si>
  <si>
    <t>Emp1299</t>
  </si>
  <si>
    <t>Lakhi Rani Halam</t>
  </si>
  <si>
    <t>Emp1056</t>
  </si>
  <si>
    <t>Selvam Gowda</t>
  </si>
  <si>
    <t>Emp1164</t>
  </si>
  <si>
    <t>Sunita Goyari</t>
  </si>
  <si>
    <t>Emp1434</t>
  </si>
  <si>
    <t>Albirth Koch</t>
  </si>
  <si>
    <t>Emp1335</t>
  </si>
  <si>
    <t>Khodadad Dalal</t>
  </si>
  <si>
    <t>Emp1168</t>
  </si>
  <si>
    <t>Tali Walling</t>
  </si>
  <si>
    <t>Emp1472</t>
  </si>
  <si>
    <t>Anjali Chauhan</t>
  </si>
  <si>
    <t>Emp1058</t>
  </si>
  <si>
    <t>Chuba Jamir</t>
  </si>
  <si>
    <t>Emp1334</t>
  </si>
  <si>
    <t>Emp1029</t>
  </si>
  <si>
    <t>Harjit Kang</t>
  </si>
  <si>
    <t>Emp1300</t>
  </si>
  <si>
    <t>Shalini Verma</t>
  </si>
  <si>
    <t>Emp1424</t>
  </si>
  <si>
    <t>Tashi Riba</t>
  </si>
  <si>
    <t>Emp1006</t>
  </si>
  <si>
    <t>Rony Vaz</t>
  </si>
  <si>
    <t>Emp1083</t>
  </si>
  <si>
    <t>Emp1032</t>
  </si>
  <si>
    <t>Amit Upadhyay</t>
  </si>
  <si>
    <t>Emp1374</t>
  </si>
  <si>
    <t>Raman Rastogi</t>
  </si>
  <si>
    <t>Emp1476</t>
  </si>
  <si>
    <t>Emp1497</t>
  </si>
  <si>
    <t>Rikdik Sangma</t>
  </si>
  <si>
    <t>Emp1439</t>
  </si>
  <si>
    <t>Satish Chaudhary</t>
  </si>
  <si>
    <t>Emp1007</t>
  </si>
  <si>
    <t>Abhi Rawat</t>
  </si>
  <si>
    <t>Emp1449</t>
  </si>
  <si>
    <t>Cyril Dias</t>
  </si>
  <si>
    <t>Emp1311</t>
  </si>
  <si>
    <t>Emp1347</t>
  </si>
  <si>
    <t>Emp1486</t>
  </si>
  <si>
    <t>Dhruv Saxena</t>
  </si>
  <si>
    <t>Emp1148</t>
  </si>
  <si>
    <t>Emp1458</t>
  </si>
  <si>
    <t>Marbom Rina</t>
  </si>
  <si>
    <t>Emp1369</t>
  </si>
  <si>
    <t>Heer Ahirwar</t>
  </si>
  <si>
    <t>Emp1354</t>
  </si>
  <si>
    <t>Wanshai Wahlang</t>
  </si>
  <si>
    <t>Emp1436</t>
  </si>
  <si>
    <t>Naseem Farooqui</t>
  </si>
  <si>
    <t>Emp1068</t>
  </si>
  <si>
    <t>Jannat Qureshi</t>
  </si>
  <si>
    <t>Emp1109</t>
  </si>
  <si>
    <t>Emp1076</t>
  </si>
  <si>
    <t>Rwmwi Islary</t>
  </si>
  <si>
    <t>Emp1462</t>
  </si>
  <si>
    <t>Rinzing Mondal</t>
  </si>
  <si>
    <t>Emp1327</t>
  </si>
  <si>
    <t>Emp1393</t>
  </si>
  <si>
    <t>Emp1450</t>
  </si>
  <si>
    <t>Soli Bilimoria</t>
  </si>
  <si>
    <t>Emp1025</t>
  </si>
  <si>
    <t>Emp1420</t>
  </si>
  <si>
    <t>Margaret Rodrigues</t>
  </si>
  <si>
    <t>Emp1116</t>
  </si>
  <si>
    <t>Framroze Cama</t>
  </si>
  <si>
    <t>Emp1444</t>
  </si>
  <si>
    <t>Kaling Nyodu</t>
  </si>
  <si>
    <t>Emp1378</t>
  </si>
  <si>
    <t>Rabindra Molsom</t>
  </si>
  <si>
    <t>Emp1073</t>
  </si>
  <si>
    <t>Lalhriatpuii Chinzah</t>
  </si>
  <si>
    <t>Emp1070</t>
  </si>
  <si>
    <t>Somendro Laishram</t>
  </si>
  <si>
    <t>Emp1186</t>
  </si>
  <si>
    <t>Anita Fernandez</t>
  </si>
  <si>
    <t>Emp1296</t>
  </si>
  <si>
    <t>Afsana Sayyed</t>
  </si>
  <si>
    <t>Emp1091</t>
  </si>
  <si>
    <t>Lilian Fernandes</t>
  </si>
  <si>
    <t>Emp1235</t>
  </si>
  <si>
    <t>Zohmingliani Vanlalvena</t>
  </si>
  <si>
    <t>Emp1196</t>
  </si>
  <si>
    <t>Suresh Balan</t>
  </si>
  <si>
    <t>Emp1159</t>
  </si>
  <si>
    <t>Emp1075</t>
  </si>
  <si>
    <t>Ashok Rathore</t>
  </si>
  <si>
    <t>Emp1384</t>
  </si>
  <si>
    <t>Dawa Zangmo Lama</t>
  </si>
  <si>
    <t>Emp1325</t>
  </si>
  <si>
    <t>Clara Mathew</t>
  </si>
  <si>
    <t>Emp1217</t>
  </si>
  <si>
    <t>Emp1388</t>
  </si>
  <si>
    <t>Jasvinder Brar</t>
  </si>
  <si>
    <t>Emp1157</t>
  </si>
  <si>
    <t>Lamyanba Devi</t>
  </si>
  <si>
    <t>Emp1126</t>
  </si>
  <si>
    <t>Emp1437</t>
  </si>
  <si>
    <t>Gurjeet Sodhi</t>
  </si>
  <si>
    <t>Emp1053</t>
  </si>
  <si>
    <t>Seema Varma</t>
  </si>
  <si>
    <t>Emp1121</t>
  </si>
  <si>
    <t>Shirin Elavia</t>
  </si>
  <si>
    <t>Emp1197</t>
  </si>
  <si>
    <t>Mohit Kapoor</t>
  </si>
  <si>
    <t>Emp1191</t>
  </si>
  <si>
    <t>Emp1367</t>
  </si>
  <si>
    <t>Zothanmawia Chhangte</t>
  </si>
  <si>
    <t>Emp1408</t>
  </si>
  <si>
    <t>Zain Khan</t>
  </si>
  <si>
    <t>Emp1104</t>
  </si>
  <si>
    <t>Trishna Neog</t>
  </si>
  <si>
    <t>Emp1273</t>
  </si>
  <si>
    <t>Emp1055</t>
  </si>
  <si>
    <t>Peviyi Yepthomi</t>
  </si>
  <si>
    <t>Emp1245</t>
  </si>
  <si>
    <t>Chetan Malhotra</t>
  </si>
  <si>
    <t>Emp1228</t>
  </si>
  <si>
    <t>Mahmood Rizvi</t>
  </si>
  <si>
    <t>Emp1403</t>
  </si>
  <si>
    <t>Seema Sharma</t>
  </si>
  <si>
    <t>Emp1012</t>
  </si>
  <si>
    <t>Suresh Tiwari</t>
  </si>
  <si>
    <t>Emp1165</t>
  </si>
  <si>
    <t>Indu Shetty</t>
  </si>
  <si>
    <t>Emp1252</t>
  </si>
  <si>
    <t>Maryam Pathan</t>
  </si>
  <si>
    <t>Emp1351</t>
  </si>
  <si>
    <t>Prasanta Mochahari</t>
  </si>
  <si>
    <t>Emp1214</t>
  </si>
  <si>
    <t>Emp1272</t>
  </si>
  <si>
    <t>Murali Pathan</t>
  </si>
  <si>
    <t>Emp1467</t>
  </si>
  <si>
    <t>George Mathew</t>
  </si>
  <si>
    <t>Emp1383</t>
  </si>
  <si>
    <t>Ibarilin Kharshiing</t>
  </si>
  <si>
    <t>Emp1427</t>
  </si>
  <si>
    <t>Aisha Baig</t>
  </si>
  <si>
    <t>Emp1127</t>
  </si>
  <si>
    <t>Emp1009</t>
  </si>
  <si>
    <t>Mangala Reddy</t>
  </si>
  <si>
    <t>Emp1002</t>
  </si>
  <si>
    <t>Aadya .</t>
  </si>
  <si>
    <t>Emp1438</t>
  </si>
  <si>
    <t>Naslen Goofer</t>
  </si>
  <si>
    <t>Emp1221</t>
  </si>
  <si>
    <t>Bijoy Dutta</t>
  </si>
  <si>
    <t>Emp1258</t>
  </si>
  <si>
    <t>Damari Lyngwa</t>
  </si>
  <si>
    <t>Emp1413</t>
  </si>
  <si>
    <t>Emp1359</t>
  </si>
  <si>
    <t>Emp1496</t>
  </si>
  <si>
    <t>Katayun Dalal</t>
  </si>
  <si>
    <t>Emp1028</t>
  </si>
  <si>
    <t>Kannan Singhal</t>
  </si>
  <si>
    <t>Emp1003</t>
  </si>
  <si>
    <t>Emp1204</t>
  </si>
  <si>
    <t>Nagaraj Iyer</t>
  </si>
  <si>
    <t>Emp1030</t>
  </si>
  <si>
    <t>Aatif Sheikh</t>
  </si>
  <si>
    <t>Emp1146</t>
  </si>
  <si>
    <t>Emp1322</t>
  </si>
  <si>
    <t>Nyage Pertin</t>
  </si>
  <si>
    <t>Emp1156</t>
  </si>
  <si>
    <t>Silloo Panthaki</t>
  </si>
  <si>
    <t>Emp1418</t>
  </si>
  <si>
    <t>Emp1373</t>
  </si>
  <si>
    <t>Charanjit Randhawa</t>
  </si>
  <si>
    <t>Emp1038</t>
  </si>
  <si>
    <t>Emp1257</t>
  </si>
  <si>
    <t>Emp1278</t>
  </si>
  <si>
    <t>Lalrinpuii Ralte</t>
  </si>
  <si>
    <t>Emp1267</t>
  </si>
  <si>
    <t>Emp1137</t>
  </si>
  <si>
    <t>Emp1212</t>
  </si>
  <si>
    <t>Basanta Halam</t>
  </si>
  <si>
    <t>Emp1277</t>
  </si>
  <si>
    <t>Javed Baig</t>
  </si>
  <si>
    <t>Emp1461</t>
  </si>
  <si>
    <t>Sameera Baig</t>
  </si>
  <si>
    <t>Emp1260</t>
  </si>
  <si>
    <t>Lhamu Riba</t>
  </si>
  <si>
    <t>Emp1218</t>
  </si>
  <si>
    <t>Wari Momin</t>
  </si>
  <si>
    <t>Emp1081</t>
  </si>
  <si>
    <t>Emp1483</t>
  </si>
  <si>
    <t>Firdaus Naqvi</t>
  </si>
  <si>
    <t>Emp1414</t>
  </si>
  <si>
    <t>Pulin Tripura</t>
  </si>
  <si>
    <t>Emp1161</t>
  </si>
  <si>
    <t>Chaoba Konthoujam</t>
  </si>
  <si>
    <t>Emp1114</t>
  </si>
  <si>
    <t>Wanphrang Pariat</t>
  </si>
  <si>
    <t>Emp1193</t>
  </si>
  <si>
    <t>Emp1174</t>
  </si>
  <si>
    <t>Imnala Yanthan</t>
  </si>
  <si>
    <t>Emp1346</t>
  </si>
  <si>
    <t>Madhuri Tiwari</t>
  </si>
  <si>
    <t>Emp1162</t>
  </si>
  <si>
    <t>Aarti Agarwal</t>
  </si>
  <si>
    <t>Emp1087</t>
  </si>
  <si>
    <t>Emp1059</t>
  </si>
  <si>
    <t>Zonunmawii Sailo</t>
  </si>
  <si>
    <t>Emp1135</t>
  </si>
  <si>
    <t>Kamala Varma</t>
  </si>
  <si>
    <t>Emp1375</t>
  </si>
  <si>
    <t>Kavi .</t>
  </si>
  <si>
    <t>Emp1404</t>
  </si>
  <si>
    <t>Vasudevan Iyer</t>
  </si>
  <si>
    <t>Emp1410</t>
  </si>
  <si>
    <t>Emp1216</t>
  </si>
  <si>
    <t>Pinki Gujjar</t>
  </si>
  <si>
    <t>Emp1417</t>
  </si>
  <si>
    <t>Emp1195</t>
  </si>
  <si>
    <t>Kunja Rupini</t>
  </si>
  <si>
    <t>Emp1428</t>
  </si>
  <si>
    <t>Zarine Dastur</t>
  </si>
  <si>
    <t>Emp1495</t>
  </si>
  <si>
    <t>Tanaz Irani</t>
  </si>
  <si>
    <t>Emp1078</t>
  </si>
  <si>
    <t>Emp1082</t>
  </si>
  <si>
    <t>Irfan Sayyed</t>
  </si>
  <si>
    <t>Emp1102</t>
  </si>
  <si>
    <t>Rafiq Naqvi</t>
  </si>
  <si>
    <t>Emp1084</t>
  </si>
  <si>
    <t>Priyanka Rout</t>
  </si>
  <si>
    <t>Emp1309</t>
  </si>
  <si>
    <t>Rustom Daruwala</t>
  </si>
  <si>
    <t>Emp1061</t>
  </si>
  <si>
    <t>Suman Narwaar</t>
  </si>
  <si>
    <t>Emp1149</t>
  </si>
  <si>
    <t>Vilato Chishi</t>
  </si>
  <si>
    <t>Emp1064</t>
  </si>
  <si>
    <t>Anthony Pereira</t>
  </si>
  <si>
    <t>Emp1487</t>
  </si>
  <si>
    <t>Khriezo Longkumer</t>
  </si>
  <si>
    <t>Emp1288</t>
  </si>
  <si>
    <t>Emp1110</t>
  </si>
  <si>
    <t>Manjeet Cheema</t>
  </si>
  <si>
    <t>Emp1022</t>
  </si>
  <si>
    <t>Akum Aier</t>
  </si>
  <si>
    <t>Emp1143</t>
  </si>
  <si>
    <t>Meera Vankodoth</t>
  </si>
  <si>
    <t>Emp1046</t>
  </si>
  <si>
    <t>Aravind Iyer</t>
  </si>
  <si>
    <t>Emp1293</t>
  </si>
  <si>
    <t>Emp1406</t>
  </si>
  <si>
    <t>Aaron D'Souza</t>
  </si>
  <si>
    <t>Emp1343</t>
  </si>
  <si>
    <t>Emp1310</t>
  </si>
  <si>
    <t>Emp1415</t>
  </si>
  <si>
    <t>Jatin Srivastava</t>
  </si>
  <si>
    <t>Emp1490</t>
  </si>
  <si>
    <t>Harjeet Kaur</t>
  </si>
  <si>
    <t>Emp1362</t>
  </si>
  <si>
    <t>Neikuolie Walling</t>
  </si>
  <si>
    <t>Emp1457</t>
  </si>
  <si>
    <t>Swati Chauhan</t>
  </si>
  <si>
    <t>Emp1341</t>
  </si>
  <si>
    <t>Baljeet Sandhu</t>
  </si>
  <si>
    <t>Emp1338</t>
  </si>
  <si>
    <t>Asha Rathore</t>
  </si>
  <si>
    <t>Emp1340</t>
  </si>
  <si>
    <t>Emp1233</t>
  </si>
  <si>
    <t>Vinod Rao</t>
  </si>
  <si>
    <t>Emp1423</t>
  </si>
  <si>
    <t>Mustafa Nizami</t>
  </si>
  <si>
    <t>Emp1138</t>
  </si>
  <si>
    <t>Emp1125</t>
  </si>
  <si>
    <t>Bina Reang Murasingh</t>
  </si>
  <si>
    <t>Emp1223</t>
  </si>
  <si>
    <t>Zeenat Chaudhary</t>
  </si>
  <si>
    <t>Emp1465</t>
  </si>
  <si>
    <t>Chumbeno Lotha</t>
  </si>
  <si>
    <t>Emp1282</t>
  </si>
  <si>
    <t>Bijoy Meitei Sanasam</t>
  </si>
  <si>
    <t>Emp1448</t>
  </si>
  <si>
    <t>Emp1365</t>
  </si>
  <si>
    <t>Haiyer Kang</t>
  </si>
  <si>
    <t>Emp1184</t>
  </si>
  <si>
    <t>Ronald Fernandez</t>
  </si>
  <si>
    <t>Emp1106</t>
  </si>
  <si>
    <t>Kunzang Tamang</t>
  </si>
  <si>
    <t>Emp1130</t>
  </si>
  <si>
    <t>Emp1452</t>
  </si>
  <si>
    <t>Emp1057</t>
  </si>
  <si>
    <t>Saira Sayyed</t>
  </si>
  <si>
    <t>Emp1422</t>
  </si>
  <si>
    <t>Ganesh Pillai</t>
  </si>
  <si>
    <t>Emp1409</t>
  </si>
  <si>
    <t>Mamta Biswaas</t>
  </si>
  <si>
    <t>Emp1372</t>
  </si>
  <si>
    <t>Sabiha Mirza</t>
  </si>
  <si>
    <t>Emp1339</t>
  </si>
  <si>
    <t>Avan Cooper</t>
  </si>
  <si>
    <t>Emp1099</t>
  </si>
  <si>
    <t>Emp1454</t>
  </si>
  <si>
    <t>Emp1181</t>
  </si>
  <si>
    <t>Emp1429</t>
  </si>
  <si>
    <t>Rinzing Chettri</t>
  </si>
  <si>
    <t>Emp1117</t>
  </si>
  <si>
    <t>Divya Bhatia</t>
  </si>
  <si>
    <t>Emp1493</t>
  </si>
  <si>
    <t>Devi Krishnan</t>
  </si>
  <si>
    <t>Emp1368</t>
  </si>
  <si>
    <t>Emp1041</t>
  </si>
  <si>
    <t>Rokhumi Fanai</t>
  </si>
  <si>
    <t>Emp1026</t>
  </si>
  <si>
    <t>Gongdik Sibrang</t>
  </si>
  <si>
    <t>Emp1013</t>
  </si>
  <si>
    <t>Padmanabhan Reddy</t>
  </si>
  <si>
    <t>Emp1131</t>
  </si>
  <si>
    <t>Emp1124</t>
  </si>
  <si>
    <t>Emp1158</t>
  </si>
  <si>
    <t>Emp1151</t>
  </si>
  <si>
    <t>Ambreen Malik</t>
  </si>
  <si>
    <t>Emp1189</t>
  </si>
  <si>
    <t>Ayaan Chaudhary</t>
  </si>
  <si>
    <t>Emp1155</t>
  </si>
  <si>
    <t>Sowmya Pai</t>
  </si>
  <si>
    <t>Emp1049</t>
  </si>
  <si>
    <t>Ibadari Sawian</t>
  </si>
  <si>
    <t>Emp1387</t>
  </si>
  <si>
    <t>Sanjenbi Ningombam</t>
  </si>
  <si>
    <t>Emp1040</t>
  </si>
  <si>
    <t>Yasmeen Rizvi</t>
  </si>
  <si>
    <t>Emp1179</t>
  </si>
  <si>
    <t>Mangi Meitei</t>
  </si>
  <si>
    <t>Emp1262</t>
  </si>
  <si>
    <t>Vanlaltana Vanlalvena</t>
  </si>
  <si>
    <t>Emp1152</t>
  </si>
  <si>
    <t>Emp1005</t>
  </si>
  <si>
    <t>Sneha Gupta</t>
  </si>
  <si>
    <t>Emp1209</t>
  </si>
  <si>
    <t>Abhinav Rajesh</t>
  </si>
  <si>
    <t>Emp1202</t>
  </si>
  <si>
    <t>Emp1353</t>
  </si>
  <si>
    <t>Emp1254</t>
  </si>
  <si>
    <t>Wetshoyi Chang</t>
  </si>
  <si>
    <t>Emp1031</t>
  </si>
  <si>
    <t>Hiranya Das</t>
  </si>
  <si>
    <t>Emp1342</t>
  </si>
  <si>
    <t>Sonram Areng</t>
  </si>
  <si>
    <t>Emp1175</t>
  </si>
  <si>
    <t>Ambika Tiwari</t>
  </si>
  <si>
    <t>Emp1239</t>
  </si>
  <si>
    <t>Lucy Pereira</t>
  </si>
  <si>
    <t>Emp1142</t>
  </si>
  <si>
    <t>Emp1027</t>
  </si>
  <si>
    <t>Bijoya Sibrang</t>
  </si>
  <si>
    <t>Emp1231</t>
  </si>
  <si>
    <t>Yamuna Shetty</t>
  </si>
  <si>
    <t>Emp1326</t>
  </si>
  <si>
    <t>Usha Subramaniam</t>
  </si>
  <si>
    <t>Emp1451</t>
  </si>
  <si>
    <t>Shiva Hegde</t>
  </si>
  <si>
    <t>Emp1425</t>
  </si>
  <si>
    <t>Shabnam Malik</t>
  </si>
  <si>
    <t>Emp1350</t>
  </si>
  <si>
    <t>Emp1402</t>
  </si>
  <si>
    <t>Bidik Marak</t>
  </si>
  <si>
    <t>Emp1129</t>
  </si>
  <si>
    <t>Emp1274</t>
  </si>
  <si>
    <t>Emp1172</t>
  </si>
  <si>
    <t>Chandran Naidu</t>
  </si>
  <si>
    <t>Emp1479</t>
  </si>
  <si>
    <t>Hasima Muchahary</t>
  </si>
  <si>
    <t>Emp1017</t>
  </si>
  <si>
    <t>Freny Batliwala</t>
  </si>
  <si>
    <t>Emp1188</t>
  </si>
  <si>
    <t>Srividya Iyer</t>
  </si>
  <si>
    <t>Emp1301</t>
  </si>
  <si>
    <t>Deepa Menon</t>
  </si>
  <si>
    <t>Emp1119</t>
  </si>
  <si>
    <t>Emp1302</t>
  </si>
  <si>
    <t>Sukhdeep Singh</t>
  </si>
  <si>
    <t>Emp1363</t>
  </si>
  <si>
    <t>Anupam Phukan</t>
  </si>
  <si>
    <t>Emp1170</t>
  </si>
  <si>
    <t>Peter Ao Sangtam</t>
  </si>
  <si>
    <t>Emp1475</t>
  </si>
  <si>
    <t>Gurdeep Mann</t>
  </si>
  <si>
    <t>Emp1464</t>
  </si>
  <si>
    <t>Vasudevan Kamal</t>
  </si>
  <si>
    <t>Emp1366</t>
  </si>
  <si>
    <t>Emp1324</t>
  </si>
  <si>
    <t>Jaspreet Brar</t>
  </si>
  <si>
    <t>Emp1241</t>
  </si>
  <si>
    <t>Zonunmawia Zuala</t>
  </si>
  <si>
    <t>Emp1001</t>
  </si>
  <si>
    <t>Kunzang Kevin</t>
  </si>
  <si>
    <t>Emp1412</t>
  </si>
  <si>
    <t>Ambika Reddy</t>
  </si>
  <si>
    <t>Emp1488</t>
  </si>
  <si>
    <t>Emp1140</t>
  </si>
  <si>
    <t>Dorendri Devi</t>
  </si>
  <si>
    <t>Emp1411</t>
  </si>
  <si>
    <t>Aasiya Mirza</t>
  </si>
  <si>
    <t>Emp1134</t>
  </si>
  <si>
    <t>Emp1364</t>
  </si>
  <si>
    <t>Emp1240</t>
  </si>
  <si>
    <t>Krishna Pradhan Wangdi</t>
  </si>
  <si>
    <t>Emp1358</t>
  </si>
  <si>
    <t>Nongthombam Nongthombam</t>
  </si>
  <si>
    <t>Emp1052</t>
  </si>
  <si>
    <t>Emp1178</t>
  </si>
  <si>
    <t>Emp1256</t>
  </si>
  <si>
    <t>Emp1033</t>
  </si>
  <si>
    <t>Roshan Cooper</t>
  </si>
  <si>
    <t>Emp1313</t>
  </si>
  <si>
    <t>Emp1445</t>
  </si>
  <si>
    <t>Harjeet Kang</t>
  </si>
  <si>
    <t>Emp1248</t>
  </si>
  <si>
    <t>Amrinder Gill</t>
  </si>
  <si>
    <t>Emp1469</t>
  </si>
  <si>
    <t>Emp1390</t>
  </si>
  <si>
    <t>Mahendran Achari</t>
  </si>
  <si>
    <t>Emp1261</t>
  </si>
  <si>
    <t>Amrit Sandhu</t>
  </si>
  <si>
    <t>Emp1069</t>
  </si>
  <si>
    <t>Chetan Pippli</t>
  </si>
  <si>
    <t>Emp1441</t>
  </si>
  <si>
    <t>Michael Pereira</t>
  </si>
  <si>
    <t>Emp1446</t>
  </si>
  <si>
    <t>Harish Pandey</t>
  </si>
  <si>
    <t>Emp1154</t>
  </si>
  <si>
    <t>Emp1305</t>
  </si>
  <si>
    <t>Emp1499</t>
  </si>
  <si>
    <t>Emp1226</t>
  </si>
  <si>
    <t>Chandni Kushwaha</t>
  </si>
  <si>
    <t>Emp1139</t>
  </si>
  <si>
    <t>Gurpreet Bal</t>
  </si>
  <si>
    <t>Emp1011</t>
  </si>
  <si>
    <t>Philip Dias</t>
  </si>
  <si>
    <t>Emp1471</t>
  </si>
  <si>
    <t>Arif Hashmi</t>
  </si>
  <si>
    <t>Emp1050</t>
  </si>
  <si>
    <t>Navdeep Mann</t>
  </si>
  <si>
    <t>Emp1478</t>
  </si>
  <si>
    <t>Bineswar Ramchiary</t>
  </si>
  <si>
    <t>Emp1247</t>
  </si>
  <si>
    <t>Ayesha Nizami</t>
  </si>
  <si>
    <t>Emp1498</t>
  </si>
  <si>
    <t>Amandeep Sidhu</t>
  </si>
  <si>
    <t>Emp1034</t>
  </si>
  <si>
    <t>Emp1128</t>
  </si>
  <si>
    <t>Emp1010</t>
  </si>
  <si>
    <t>Rosemary Vaz</t>
  </si>
  <si>
    <t>Emp1407</t>
  </si>
  <si>
    <t>Emp1456</t>
  </si>
  <si>
    <t>Daniel Fernandez</t>
  </si>
  <si>
    <t>Emp1470</t>
  </si>
  <si>
    <t>Emp1332</t>
  </si>
  <si>
    <t>Parminder Toor</t>
  </si>
  <si>
    <t>Emp1244</t>
  </si>
  <si>
    <t>Navdeep Cheema</t>
  </si>
  <si>
    <t>Emp1171</t>
  </si>
  <si>
    <t>Kishore Mishra</t>
  </si>
  <si>
    <t>Emp1371</t>
  </si>
  <si>
    <t>Carmel Thomas</t>
  </si>
  <si>
    <t>Emp1377</t>
  </si>
  <si>
    <t>Emp1100</t>
  </si>
  <si>
    <t>Om Bhatia</t>
  </si>
  <si>
    <t>Emp1312</t>
  </si>
  <si>
    <t>Emp1098</t>
  </si>
  <si>
    <t>Jasvir Sandhu</t>
  </si>
  <si>
    <t>Emp1356</t>
  </si>
  <si>
    <t>Khalid Hashmi</t>
  </si>
  <si>
    <t>Emp1290</t>
  </si>
  <si>
    <t>Hormuz Dastur</t>
  </si>
  <si>
    <t>Emp1042</t>
  </si>
  <si>
    <t>Emp1285</t>
  </si>
  <si>
    <t>Emp1145</t>
  </si>
  <si>
    <t>Hasan Siddiqui</t>
  </si>
  <si>
    <t>Emp1291</t>
  </si>
  <si>
    <t>Emp1072</t>
  </si>
  <si>
    <t>Bridget Mendes</t>
  </si>
  <si>
    <t>Emp1237</t>
  </si>
  <si>
    <t>Kabita Dutta</t>
  </si>
  <si>
    <t>Emp1208</t>
  </si>
  <si>
    <t>Varun Rathore</t>
  </si>
  <si>
    <t>Gender Pay Gap</t>
  </si>
  <si>
    <t>Average of Monthly Base Salary (INR)</t>
  </si>
  <si>
    <t>IQR</t>
  </si>
  <si>
    <t>Salary Tier</t>
  </si>
  <si>
    <t>Range of Salary</t>
  </si>
  <si>
    <t>Min</t>
  </si>
  <si>
    <t>Max</t>
  </si>
  <si>
    <t>Mid</t>
  </si>
  <si>
    <t>Junior</t>
  </si>
  <si>
    <t>Senior</t>
  </si>
  <si>
    <t>Lead</t>
  </si>
  <si>
    <t>Internal Department</t>
  </si>
  <si>
    <t>Vendor Survey Job Code</t>
  </si>
  <si>
    <t>Vendor Global Group Name</t>
  </si>
  <si>
    <t>Industry Peer Segment</t>
  </si>
  <si>
    <t>IN-TECH-04</t>
  </si>
  <si>
    <t>High-Value Technical Core</t>
  </si>
  <si>
    <t>Technology / Energy</t>
  </si>
  <si>
    <t>IN-OPS-02</t>
  </si>
  <si>
    <t>Core Operations Specialist</t>
  </si>
  <si>
    <t>Industrial Operations</t>
  </si>
  <si>
    <t>IN-SLS-01</t>
  </si>
  <si>
    <t>Field Sales Execution</t>
  </si>
  <si>
    <t>Commercial &amp; Retail</t>
  </si>
  <si>
    <t>IN-FIN-03</t>
  </si>
  <si>
    <t>Corporate Finance Core</t>
  </si>
  <si>
    <t>Shared Services</t>
  </si>
  <si>
    <t>IN-HR-02</t>
  </si>
  <si>
    <t>Corporate Talent Admin</t>
  </si>
  <si>
    <t>Count of Insurance tier</t>
  </si>
  <si>
    <t>Average of Monthly Premiums</t>
  </si>
  <si>
    <t>Each band's gap is under 3% of that band's average, and the direction flips (women ahead in three bands, men ahead in one). This pattern is consistent with normal variation rather than a systematic gap — no band shows a one-sided, consistent disadvantage for either gender.</t>
  </si>
  <si>
    <t>Note: The Transgender group is too small for standalone statistical comparison and is excluded from the gender pay analysis below — noted here as a scope limitation, not an omission.</t>
  </si>
  <si>
    <t>Gap (M-F)</t>
  </si>
  <si>
    <t>Outlier check</t>
  </si>
  <si>
    <t>Salary Band</t>
  </si>
  <si>
    <t>Lower bound</t>
  </si>
  <si>
    <t>Upper Bound</t>
  </si>
  <si>
    <t>High Outliers Exist</t>
  </si>
  <si>
    <t>No Low Outliers</t>
  </si>
  <si>
    <t>Headcount</t>
  </si>
  <si>
    <t>Total Monthly Premium Cost</t>
  </si>
  <si>
    <t>Average Salary</t>
  </si>
  <si>
    <t>High-Cost Employee %</t>
  </si>
  <si>
    <t>Rewards &amp; Benefits Analytics Dashboard</t>
  </si>
  <si>
    <t>McKinsey-style executive view using live formulas, pivots, and all employee records.</t>
  </si>
  <si>
    <t>CONTENTS</t>
  </si>
  <si>
    <t>DESCRIPTION</t>
  </si>
  <si>
    <t>Rewards Dashboard</t>
  </si>
  <si>
    <t>Interactive executive dashboard with filters, KPI cards, charts, benchmarking table, and narrative insights.</t>
  </si>
  <si>
    <t>Employee Data</t>
  </si>
  <si>
    <t>Source employee table used for the live dashboard calculations.</t>
  </si>
  <si>
    <t>Rewards &amp; Benefits Allocation</t>
  </si>
  <si>
    <t>Existing pivot allocation view used as a validation source for premium and high-cost totals.</t>
  </si>
  <si>
    <t>Gender Pay Equity</t>
  </si>
  <si>
    <t>Existing gender pay pivot analysis referenced in the pay-gap visualization.</t>
  </si>
  <si>
    <t>Basic Analysis</t>
  </si>
  <si>
    <t>Existing pivot-table workbook analysis supporting the dashboard.</t>
  </si>
  <si>
    <t>Dashboard Data</t>
  </si>
  <si>
    <t>Hidden helper sheet with live formulas feeding dashboard charts.</t>
  </si>
  <si>
    <t>Locations</t>
  </si>
  <si>
    <t>Genders</t>
  </si>
  <si>
    <t>Departments</t>
  </si>
  <si>
    <t>Tiers</t>
  </si>
  <si>
    <t>Plans</t>
  </si>
  <si>
    <t>Salary Bands</t>
  </si>
  <si>
    <t>All</t>
  </si>
  <si>
    <t>Salary band</t>
  </si>
  <si>
    <t>Avg salary</t>
  </si>
  <si>
    <t>Avg premium</t>
  </si>
  <si>
    <t>High-cost %</t>
  </si>
  <si>
    <t>Rewards operations dashboard</t>
  </si>
  <si>
    <t>Interactive rewards, benefits, pay equity and benchmarking view — change filters to refresh KPIs, charts and table.</t>
  </si>
  <si>
    <t>Total premium</t>
  </si>
  <si>
    <t>AVG PREMIUM BY DEPARTMENT X LOCATION</t>
  </si>
  <si>
    <t>PLAN MIX BY TIER</t>
  </si>
  <si>
    <t>HEADCOUNT BY DEPARTMENT</t>
  </si>
  <si>
    <t>GENDER PAY GAP BY SALARY BAND</t>
  </si>
  <si>
    <t>BENCHMARKING SUBMISSION VIEW</t>
  </si>
  <si>
    <t>RAW DATA TABLE</t>
  </si>
  <si>
    <t>Raw data table: the dashboard is powered by `Employee Data` rows with validated Location, Department, Gender, Insurance tier and Corporate Benefit Plan fields. The hidden `Dashboard Data` helper sheet holds live formulas that feed the charts; source records remain on the original data sheet.</t>
  </si>
  <si>
    <t>Source: Demo Data created with 492 rows</t>
  </si>
  <si>
    <t>Insurance Tier</t>
  </si>
  <si>
    <t>Story in brief: High-cost employees are defined as employees with monthly premiums over ₹7,000. Under this threshold, high-premium benefit combinations are the main cost concentration. Use the filters above to isolate a city, gender, or department; every KPI, chart and benchmarking row recalculates from the employee-level source table.</t>
  </si>
  <si>
    <t>Benefit Plan</t>
  </si>
  <si>
    <t>Count</t>
  </si>
  <si>
    <t>Sum of Monthly Base Salary (INR)</t>
  </si>
  <si>
    <t>Sum of Monthly Base Salary (INR)2</t>
  </si>
  <si>
    <t>Total Average Salary</t>
  </si>
  <si>
    <t>Total Count of Monthly Base Salary (INR)</t>
  </si>
  <si>
    <t>Count of Monthly Base Salary (INR)</t>
  </si>
  <si>
    <t>Band</t>
  </si>
  <si>
    <t>Gap %</t>
  </si>
  <si>
    <t>Female Share %</t>
  </si>
  <si>
    <t>Male Share %</t>
  </si>
  <si>
    <t>Raw ( Company-wide)</t>
  </si>
  <si>
    <t>Avg monthly salary</t>
  </si>
  <si>
    <t>Band/ Gender</t>
  </si>
  <si>
    <t>Max Salary</t>
  </si>
  <si>
    <t>Min Salary</t>
  </si>
  <si>
    <t>Band/ Monthly Salary</t>
  </si>
  <si>
    <t>Monthly Salary %</t>
  </si>
  <si>
    <t>Total Monthly Salary</t>
  </si>
  <si>
    <t>Gender %</t>
  </si>
  <si>
    <t>Salary Band/ Gender</t>
  </si>
  <si>
    <t>Main Pivot Table Sheet</t>
  </si>
  <si>
    <t>Existing pivot to view analysis in one 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</si>
</sst>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
    <numFmt numFmtId="165" formatCode="&quot;₹&quot;\ #,##0"/>
    <numFmt numFmtId="166" formatCode="0.0%"/>
    <numFmt numFmtId="167" formatCode="\₹#,##0"/>
    <numFmt numFmtId="169" formatCode="&quot;₹&quot;\ #,##0;#,##0\ \-&quot;₹&quot;;&quot;₹&quot;\ #,##0"/>
    <numFmt numFmtId="170" formatCode="\$#,##0.###############;\(\$#,##0.###############\);\$#,##0.###############"/>
  </numFmts>
  <fonts count="2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family val="2"/>
    </font>
    <font>
      <b/>
      <sz val="20"/>
      <color rgb="FFFFFFFF"/>
      <name val="Aptos Narrow"/>
      <family val="2"/>
      <scheme val="minor"/>
    </font>
    <font>
      <i/>
      <sz val="11"/>
      <color rgb="FFAAB4C3"/>
      <name val="Aptos Narrow"/>
      <family val="2"/>
      <scheme val="minor"/>
    </font>
    <font>
      <sz val="11"/>
      <color rgb="FFFFFFFF"/>
      <name val="Aptos"/>
      <family val="2"/>
    </font>
    <font>
      <b/>
      <sz val="11"/>
      <color rgb="FFFFFFFF"/>
      <name val="Aptos"/>
      <family val="2"/>
    </font>
    <font>
      <b/>
      <sz val="11"/>
      <color rgb="FF7DB5FF"/>
      <name val="Aptos"/>
      <family val="2"/>
    </font>
    <font>
      <sz val="11"/>
      <color rgb="FFD7DEE8"/>
      <name val="Aptos"/>
      <family val="2"/>
    </font>
    <font>
      <sz val="11"/>
      <color rgb="FFE8EEF7"/>
      <name val="Aptos"/>
      <family val="2"/>
    </font>
    <font>
      <i/>
      <sz val="11"/>
      <color rgb="FFAAB4C3"/>
      <name val="Aptos"/>
      <family val="2"/>
    </font>
    <font>
      <b/>
      <sz val="11"/>
      <color rgb="FFAAB4C3"/>
      <name val="Aptos"/>
      <family val="2"/>
    </font>
    <font>
      <sz val="11"/>
      <color rgb="FFAAB4C3"/>
      <name val="Aptos"/>
      <family val="2"/>
    </font>
    <font>
      <sz val="12"/>
      <color rgb="FFE8EEF7"/>
      <name val="Aptos"/>
      <family val="2"/>
    </font>
    <font>
      <b/>
      <sz val="22"/>
      <color rgb="FFFFFFFF"/>
      <name val="Aptos"/>
      <family val="2"/>
    </font>
    <font>
      <sz val="10"/>
      <color rgb="FFD7DEE8"/>
      <name val="Aptos"/>
      <family val="2"/>
    </font>
    <font>
      <b/>
      <sz val="14"/>
      <color rgb="FFAAB4C3"/>
      <name val="Aptos"/>
      <family val="2"/>
    </font>
    <font>
      <sz val="14"/>
      <color rgb="FFE8EEF7"/>
      <name val="Aptos"/>
      <family val="2"/>
    </font>
    <font>
      <sz val="22"/>
      <color rgb="FFE8EEF7"/>
      <name val="Aptos"/>
      <family val="2"/>
    </font>
    <font>
      <sz val="10"/>
      <color theme="1"/>
      <name val="Aptos Narrow"/>
      <family val="2"/>
      <scheme val="minor"/>
    </font>
    <font>
      <sz val="11"/>
      <color theme="1"/>
      <name val="Aptos Narrow"/>
      <family val="2"/>
      <scheme val="minor"/>
    </font>
    <font>
      <sz val="11"/>
      <color indexed="8"/>
      <name val="Calibri"/>
      <family val="2"/>
    </font>
    <font>
      <sz val="10"/>
      <color theme="1"/>
      <name val="Calibri"/>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rgb="FF0E1117"/>
        <bgColor indexed="64"/>
      </patternFill>
    </fill>
    <fill>
      <patternFill patternType="solid">
        <fgColor rgb="FF111827"/>
        <bgColor indexed="64"/>
      </patternFill>
    </fill>
    <fill>
      <patternFill patternType="solid">
        <fgColor rgb="FF2F80ED"/>
        <bgColor indexed="64"/>
      </patternFill>
    </fill>
    <fill>
      <patternFill patternType="solid">
        <fgColor rgb="FF1D2430"/>
        <bgColor indexed="64"/>
      </patternFill>
    </fill>
    <fill>
      <patternFill patternType="solid">
        <fgColor rgb="FF151A24"/>
        <bgColor indexed="64"/>
      </patternFill>
    </fill>
    <fill>
      <patternFill patternType="solid">
        <fgColor rgb="FF243041"/>
        <bgColor indexed="64"/>
      </patternFill>
    </fill>
  </fills>
  <borders count="24">
    <border>
      <left/>
      <right/>
      <top/>
      <bottom/>
      <diagonal/>
    </border>
    <border>
      <left/>
      <right/>
      <top/>
      <bottom style="thin">
        <color theme="4" tint="0.39997558519241921"/>
      </bottom>
      <diagonal/>
    </border>
    <border>
      <left/>
      <right/>
      <top style="thin">
        <color theme="4" tint="0.39997558519241921"/>
      </top>
      <bottom/>
      <diagonal/>
    </border>
    <border>
      <left/>
      <right/>
      <top/>
      <bottom style="thin">
        <color rgb="FF2B3442"/>
      </bottom>
      <diagonal/>
    </border>
    <border>
      <left/>
      <right/>
      <top style="thin">
        <color rgb="FF2B3442"/>
      </top>
      <bottom style="thin">
        <color rgb="FF2B3442"/>
      </bottom>
      <diagonal/>
    </border>
    <border>
      <left/>
      <right/>
      <top style="thin">
        <color rgb="FF2B3442"/>
      </top>
      <bottom/>
      <diagonal/>
    </border>
    <border>
      <left/>
      <right/>
      <top/>
      <bottom style="thin">
        <color rgb="FF2F80E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right style="thin">
        <color indexed="64"/>
      </right>
      <top style="thin">
        <color theme="4" tint="0.3999755851924192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21" fillId="0" borderId="0" applyFont="0" applyFill="0" applyBorder="0" applyAlignment="0" applyProtection="0"/>
  </cellStyleXfs>
  <cellXfs count="159">
    <xf numFmtId="0" fontId="0" fillId="0" borderId="0" xfId="0"/>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164" fontId="1" fillId="0" borderId="0" xfId="0" applyNumberFormat="1" applyFont="1"/>
    <xf numFmtId="0" fontId="1" fillId="2" borderId="0" xfId="0" applyFont="1" applyFill="1"/>
    <xf numFmtId="0" fontId="1" fillId="2" borderId="1" xfId="0" applyFont="1" applyFill="1" applyBorder="1"/>
    <xf numFmtId="0" fontId="0" fillId="0" borderId="0" xfId="0" applyAlignment="1">
      <alignment horizontal="left" wrapText="1"/>
    </xf>
    <xf numFmtId="165" fontId="1" fillId="2" borderId="2" xfId="0" applyNumberFormat="1" applyFont="1" applyFill="1" applyBorder="1"/>
    <xf numFmtId="0" fontId="3" fillId="3" borderId="0" xfId="0" applyFont="1" applyFill="1"/>
    <xf numFmtId="0" fontId="3" fillId="0" borderId="0" xfId="0" applyFont="1"/>
    <xf numFmtId="0" fontId="7" fillId="5" borderId="3" xfId="0" applyFont="1" applyFill="1" applyBorder="1"/>
    <xf numFmtId="0" fontId="8" fillId="3" borderId="4" xfId="0" applyFont="1" applyFill="1" applyBorder="1"/>
    <xf numFmtId="0" fontId="9" fillId="3" borderId="4" xfId="0" applyFont="1" applyFill="1" applyBorder="1" applyAlignment="1">
      <alignment wrapText="1"/>
    </xf>
    <xf numFmtId="0" fontId="10" fillId="3" borderId="0" xfId="0" applyFont="1" applyFill="1"/>
    <xf numFmtId="0" fontId="10" fillId="0" borderId="0" xfId="0" applyFont="1"/>
    <xf numFmtId="0" fontId="6" fillId="6" borderId="6" xfId="0" applyFont="1" applyFill="1" applyBorder="1"/>
    <xf numFmtId="0" fontId="10" fillId="7" borderId="0" xfId="0" applyFont="1" applyFill="1"/>
    <xf numFmtId="0" fontId="10" fillId="7" borderId="3" xfId="0" applyFont="1" applyFill="1" applyBorder="1"/>
    <xf numFmtId="0" fontId="12" fillId="3" borderId="0" xfId="0" applyFont="1" applyFill="1"/>
    <xf numFmtId="0" fontId="14" fillId="7" borderId="0" xfId="0" applyFont="1" applyFill="1"/>
    <xf numFmtId="0" fontId="7" fillId="5" borderId="3" xfId="0" applyFont="1" applyFill="1" applyBorder="1" applyAlignment="1">
      <alignment horizontal="center"/>
    </xf>
    <xf numFmtId="167" fontId="10" fillId="7" borderId="4" xfId="0" applyNumberFormat="1" applyFont="1" applyFill="1" applyBorder="1" applyAlignment="1">
      <alignment horizontal="right"/>
    </xf>
    <xf numFmtId="3"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7" fontId="10" fillId="7" borderId="5" xfId="0" applyNumberFormat="1" applyFont="1" applyFill="1" applyBorder="1" applyAlignment="1">
      <alignment horizontal="right"/>
    </xf>
    <xf numFmtId="3" fontId="10" fillId="7" borderId="5" xfId="0" applyNumberFormat="1" applyFont="1" applyFill="1" applyBorder="1" applyAlignment="1">
      <alignment horizontal="right"/>
    </xf>
    <xf numFmtId="166" fontId="10" fillId="7" borderId="5" xfId="0" applyNumberFormat="1" applyFont="1" applyFill="1" applyBorder="1" applyAlignment="1">
      <alignment horizontal="right"/>
    </xf>
    <xf numFmtId="0" fontId="10" fillId="7" borderId="4" xfId="0" applyFont="1" applyFill="1" applyBorder="1" applyAlignment="1">
      <alignment horizontal="left"/>
    </xf>
    <xf numFmtId="0" fontId="10" fillId="7" borderId="5" xfId="0" applyFont="1" applyFill="1" applyBorder="1" applyAlignment="1">
      <alignment horizontal="left"/>
    </xf>
    <xf numFmtId="0" fontId="0" fillId="0" borderId="0" xfId="0" applyAlignment="1">
      <alignment vertical="center" wrapText="1"/>
    </xf>
    <xf numFmtId="0" fontId="22" fillId="0" borderId="0" xfId="0" applyFont="1"/>
    <xf numFmtId="170" fontId="22" fillId="0" borderId="0" xfId="0" applyNumberFormat="1" applyFont="1"/>
    <xf numFmtId="170" fontId="0" fillId="0" borderId="0" xfId="0" applyNumberFormat="1"/>
    <xf numFmtId="0" fontId="4" fillId="4" borderId="0" xfId="0" applyFont="1" applyFill="1"/>
    <xf numFmtId="0" fontId="0" fillId="0" borderId="0" xfId="0"/>
    <xf numFmtId="0" fontId="5" fillId="0" borderId="0" xfId="0" applyFont="1"/>
    <xf numFmtId="0" fontId="7" fillId="8" borderId="5" xfId="0" applyFont="1" applyFill="1" applyBorder="1"/>
    <xf numFmtId="0" fontId="10" fillId="8" borderId="5" xfId="0" applyFont="1" applyFill="1" applyBorder="1"/>
    <xf numFmtId="0" fontId="16" fillId="7" borderId="0" xfId="0" applyFont="1" applyFill="1" applyAlignment="1">
      <alignment vertical="top" wrapText="1"/>
    </xf>
    <xf numFmtId="0" fontId="10" fillId="7" borderId="0" xfId="0" applyFont="1" applyFill="1" applyAlignment="1">
      <alignment wrapText="1"/>
    </xf>
    <xf numFmtId="0" fontId="13" fillId="7" borderId="0" xfId="0" applyFont="1" applyFill="1" applyAlignment="1">
      <alignment vertical="top" wrapText="1"/>
    </xf>
    <xf numFmtId="0" fontId="17" fillId="7" borderId="5" xfId="0" applyFont="1" applyFill="1" applyBorder="1" applyAlignment="1">
      <alignment horizontal="center"/>
    </xf>
    <xf numFmtId="0" fontId="18" fillId="7" borderId="5" xfId="0" applyFont="1" applyFill="1" applyBorder="1" applyAlignment="1">
      <alignment horizontal="center"/>
    </xf>
    <xf numFmtId="166" fontId="15" fillId="7" borderId="0" xfId="0" applyNumberFormat="1" applyFont="1" applyFill="1" applyAlignment="1">
      <alignment horizontal="center" vertical="center"/>
    </xf>
    <xf numFmtId="0" fontId="10" fillId="7" borderId="0" xfId="0" applyFont="1" applyFill="1" applyAlignment="1">
      <alignment horizontal="center"/>
    </xf>
    <xf numFmtId="0" fontId="10" fillId="7" borderId="3" xfId="0" applyFont="1" applyFill="1" applyBorder="1" applyAlignment="1">
      <alignment horizontal="center"/>
    </xf>
    <xf numFmtId="0" fontId="15" fillId="4" borderId="0" xfId="0" applyFont="1" applyFill="1"/>
    <xf numFmtId="0" fontId="19" fillId="4" borderId="0" xfId="0" applyFont="1" applyFill="1"/>
    <xf numFmtId="0" fontId="11" fillId="3" borderId="0" xfId="0" applyFont="1" applyFill="1"/>
    <xf numFmtId="0" fontId="10" fillId="3" borderId="0" xfId="0" applyFont="1" applyFill="1"/>
    <xf numFmtId="3" fontId="15" fillId="7" borderId="0" xfId="0" applyNumberFormat="1" applyFont="1" applyFill="1" applyAlignment="1">
      <alignment horizontal="center" vertical="center"/>
    </xf>
    <xf numFmtId="167" fontId="15" fillId="7" borderId="0" xfId="0" applyNumberFormat="1" applyFont="1" applyFill="1" applyAlignment="1">
      <alignment horizontal="center" vertical="center"/>
    </xf>
    <xf numFmtId="167" fontId="10" fillId="7" borderId="0" xfId="0" applyNumberFormat="1" applyFont="1" applyFill="1" applyAlignment="1">
      <alignment horizontal="center"/>
    </xf>
    <xf numFmtId="0" fontId="0" fillId="0" borderId="0" xfId="0" applyAlignment="1">
      <alignment horizontal="center" wrapText="1"/>
    </xf>
    <xf numFmtId="0" fontId="20" fillId="0" borderId="0" xfId="0" applyFont="1" applyAlignment="1">
      <alignment horizontal="center" vertical="top" wrapText="1"/>
    </xf>
    <xf numFmtId="0" fontId="0" fillId="0" borderId="0" xfId="0" pivotButton="1" applyAlignment="1">
      <alignment vertical="center" wrapText="1"/>
    </xf>
    <xf numFmtId="169" fontId="0" fillId="0" borderId="0" xfId="0" applyNumberFormat="1" applyAlignment="1">
      <alignment vertical="center" wrapText="1"/>
    </xf>
    <xf numFmtId="10" fontId="0" fillId="0" borderId="0" xfId="0" applyNumberFormat="1" applyAlignment="1">
      <alignment vertical="center" wrapText="1"/>
    </xf>
    <xf numFmtId="0" fontId="0" fillId="0" borderId="0" xfId="0" applyAlignment="1">
      <alignment horizontal="left" vertical="center" wrapText="1"/>
    </xf>
    <xf numFmtId="165" fontId="0" fillId="0" borderId="0" xfId="0" applyNumberFormat="1" applyAlignment="1">
      <alignment vertical="center" wrapText="1"/>
    </xf>
    <xf numFmtId="0" fontId="23" fillId="0" borderId="0" xfId="0" applyFont="1" applyAlignment="1">
      <alignment vertical="center" wrapText="1"/>
    </xf>
    <xf numFmtId="0" fontId="0" fillId="0" borderId="8" xfId="0" pivotButton="1" applyBorder="1" applyAlignment="1">
      <alignment vertical="center" wrapText="1"/>
    </xf>
    <xf numFmtId="0" fontId="0" fillId="0" borderId="9" xfId="0" pivotButton="1"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pivotButton="1" applyBorder="1" applyAlignment="1">
      <alignment vertical="center" wrapText="1"/>
    </xf>
    <xf numFmtId="0" fontId="0" fillId="0" borderId="0" xfId="0" applyBorder="1" applyAlignment="1">
      <alignment vertical="center" wrapText="1"/>
    </xf>
    <xf numFmtId="0" fontId="0" fillId="0" borderId="12" xfId="0" applyBorder="1" applyAlignment="1">
      <alignment vertical="center" wrapText="1"/>
    </xf>
    <xf numFmtId="0" fontId="0" fillId="0" borderId="11" xfId="0" applyBorder="1" applyAlignment="1">
      <alignment horizontal="left" vertical="center" wrapText="1"/>
    </xf>
    <xf numFmtId="9" fontId="0" fillId="0" borderId="0" xfId="0" applyNumberFormat="1" applyBorder="1" applyAlignment="1">
      <alignment vertical="center" wrapText="1"/>
    </xf>
    <xf numFmtId="9" fontId="0" fillId="0" borderId="12" xfId="0" applyNumberFormat="1" applyBorder="1" applyAlignment="1">
      <alignment vertical="center" wrapText="1"/>
    </xf>
    <xf numFmtId="0" fontId="0" fillId="0" borderId="13" xfId="0" applyBorder="1" applyAlignment="1">
      <alignment horizontal="left" vertical="center" wrapText="1"/>
    </xf>
    <xf numFmtId="9" fontId="0" fillId="0" borderId="14" xfId="0" applyNumberFormat="1" applyBorder="1" applyAlignment="1">
      <alignment vertical="center" wrapText="1"/>
    </xf>
    <xf numFmtId="9" fontId="0" fillId="0" borderId="15" xfId="0" applyNumberFormat="1" applyBorder="1" applyAlignment="1">
      <alignmen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vertical="center" wrapText="1"/>
    </xf>
    <xf numFmtId="169" fontId="0" fillId="0" borderId="0" xfId="0" applyNumberFormat="1" applyBorder="1" applyAlignment="1">
      <alignment vertical="center" wrapText="1"/>
    </xf>
    <xf numFmtId="10" fontId="0" fillId="0" borderId="0" xfId="0" applyNumberFormat="1" applyBorder="1" applyAlignment="1">
      <alignment vertical="center" wrapText="1"/>
    </xf>
    <xf numFmtId="1" fontId="0" fillId="0" borderId="0" xfId="0" applyNumberFormat="1" applyBorder="1" applyAlignment="1">
      <alignment vertical="center" wrapText="1"/>
    </xf>
    <xf numFmtId="169" fontId="0" fillId="0" borderId="12" xfId="0" applyNumberFormat="1"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169" fontId="0" fillId="0" borderId="14" xfId="0" applyNumberFormat="1" applyBorder="1" applyAlignment="1">
      <alignment vertical="center" wrapText="1"/>
    </xf>
    <xf numFmtId="10" fontId="0" fillId="0" borderId="14" xfId="0" applyNumberFormat="1" applyBorder="1" applyAlignment="1">
      <alignment vertical="center" wrapText="1"/>
    </xf>
    <xf numFmtId="1" fontId="0" fillId="0" borderId="14" xfId="0" applyNumberFormat="1" applyBorder="1" applyAlignment="1">
      <alignment vertical="center" wrapText="1"/>
    </xf>
    <xf numFmtId="169" fontId="0" fillId="0" borderId="15" xfId="0" applyNumberFormat="1" applyBorder="1" applyAlignment="1">
      <alignment vertical="center" wrapText="1"/>
    </xf>
    <xf numFmtId="0" fontId="0" fillId="0" borderId="15" xfId="0" applyBorder="1" applyAlignment="1">
      <alignment vertical="center" wrapText="1"/>
    </xf>
    <xf numFmtId="0" fontId="1" fillId="2" borderId="10" xfId="0" applyFont="1" applyFill="1" applyBorder="1" applyAlignment="1">
      <alignment vertical="center" wrapText="1"/>
    </xf>
    <xf numFmtId="0" fontId="1" fillId="2" borderId="16" xfId="0" applyFont="1" applyFill="1" applyBorder="1" applyAlignment="1">
      <alignment vertical="center" wrapText="1"/>
    </xf>
    <xf numFmtId="165" fontId="0" fillId="0" borderId="0" xfId="0" applyNumberFormat="1" applyBorder="1" applyAlignment="1">
      <alignment vertical="center" wrapText="1"/>
    </xf>
    <xf numFmtId="165" fontId="0" fillId="0" borderId="12" xfId="0" applyNumberFormat="1" applyBorder="1" applyAlignment="1">
      <alignment vertical="center" wrapText="1"/>
    </xf>
    <xf numFmtId="165" fontId="0" fillId="0" borderId="14" xfId="0" applyNumberFormat="1" applyBorder="1" applyAlignment="1">
      <alignment vertical="center" wrapText="1"/>
    </xf>
    <xf numFmtId="165" fontId="1" fillId="2" borderId="17" xfId="0" applyNumberFormat="1" applyFont="1" applyFill="1" applyBorder="1" applyAlignment="1">
      <alignment vertical="center" wrapText="1"/>
    </xf>
    <xf numFmtId="9" fontId="0" fillId="0" borderId="0" xfId="1" applyFont="1" applyAlignment="1">
      <alignment vertical="center" wrapText="1"/>
    </xf>
    <xf numFmtId="0" fontId="1" fillId="0" borderId="7" xfId="0" applyFont="1" applyBorder="1" applyAlignment="1">
      <alignment vertical="center" wrapText="1"/>
    </xf>
    <xf numFmtId="0" fontId="1" fillId="0" borderId="7" xfId="0" applyFont="1" applyBorder="1" applyAlignment="1">
      <alignment horizontal="right" vertical="center" wrapText="1"/>
    </xf>
    <xf numFmtId="0" fontId="0" fillId="0" borderId="7" xfId="0" applyBorder="1" applyAlignment="1">
      <alignment vertical="center" wrapText="1"/>
    </xf>
    <xf numFmtId="10" fontId="0" fillId="0" borderId="7" xfId="1" applyNumberFormat="1" applyFont="1" applyBorder="1" applyAlignment="1">
      <alignment vertical="center" wrapText="1"/>
    </xf>
    <xf numFmtId="166" fontId="0" fillId="0" borderId="7" xfId="1" applyNumberFormat="1" applyFont="1" applyBorder="1" applyAlignment="1">
      <alignment vertical="center" wrapText="1"/>
    </xf>
    <xf numFmtId="166" fontId="0" fillId="0" borderId="7" xfId="0" applyNumberFormat="1" applyBorder="1" applyAlignment="1">
      <alignment vertical="center" wrapText="1"/>
    </xf>
    <xf numFmtId="0" fontId="0" fillId="0" borderId="7" xfId="0" applyBorder="1" applyAlignment="1">
      <alignment horizontal="left" vertical="center" wrapText="1"/>
    </xf>
    <xf numFmtId="0" fontId="0" fillId="0" borderId="8" xfId="0" applyBorder="1" applyAlignment="1">
      <alignment vertical="center" wrapText="1"/>
    </xf>
    <xf numFmtId="165" fontId="0" fillId="0" borderId="15" xfId="0" applyNumberFormat="1" applyBorder="1" applyAlignment="1">
      <alignment vertical="center" wrapText="1"/>
    </xf>
    <xf numFmtId="165" fontId="0" fillId="0" borderId="8" xfId="0" applyNumberFormat="1" applyBorder="1" applyAlignment="1">
      <alignment vertical="center" wrapText="1"/>
    </xf>
    <xf numFmtId="165" fontId="0" fillId="0" borderId="9" xfId="0" applyNumberFormat="1" applyBorder="1" applyAlignment="1">
      <alignment vertical="center" wrapText="1"/>
    </xf>
    <xf numFmtId="165" fontId="0" fillId="0" borderId="10" xfId="0" applyNumberFormat="1" applyBorder="1" applyAlignment="1">
      <alignment vertical="center" wrapText="1"/>
    </xf>
    <xf numFmtId="165" fontId="0" fillId="0" borderId="11" xfId="0" applyNumberFormat="1" applyBorder="1" applyAlignment="1">
      <alignment vertical="center" wrapText="1"/>
    </xf>
    <xf numFmtId="165" fontId="0" fillId="0" borderId="13" xfId="0" applyNumberFormat="1"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7" xfId="0" pivotButton="1"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18" xfId="0" applyBorder="1" applyAlignment="1">
      <alignment horizontal="left" vertical="center" wrapText="1"/>
    </xf>
    <xf numFmtId="0" fontId="0" fillId="0" borderId="23"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right" vertical="center" wrapText="1"/>
    </xf>
    <xf numFmtId="0" fontId="0" fillId="0" borderId="14" xfId="0" applyBorder="1" applyAlignment="1">
      <alignment horizontal="right" vertical="center" wrapText="1"/>
    </xf>
    <xf numFmtId="0" fontId="0" fillId="0" borderId="15" xfId="0" applyBorder="1" applyAlignment="1">
      <alignment horizontal="right" vertical="center" wrapText="1"/>
    </xf>
    <xf numFmtId="0" fontId="0" fillId="0" borderId="9" xfId="0" applyBorder="1" applyAlignment="1">
      <alignment horizontal="right" vertical="center" wrapText="1"/>
    </xf>
    <xf numFmtId="0" fontId="0" fillId="0" borderId="0" xfId="0" applyNumberFormat="1" applyBorder="1" applyAlignment="1">
      <alignment vertical="center" wrapText="1"/>
    </xf>
    <xf numFmtId="0" fontId="0" fillId="0" borderId="14" xfId="0" applyNumberFormat="1" applyBorder="1" applyAlignment="1">
      <alignment vertical="center" wrapText="1"/>
    </xf>
    <xf numFmtId="0" fontId="0" fillId="0" borderId="8" xfId="0" applyBorder="1" applyAlignment="1">
      <alignment wrapText="1"/>
    </xf>
    <xf numFmtId="169" fontId="0" fillId="0" borderId="0" xfId="0" applyNumberFormat="1" applyBorder="1" applyAlignment="1">
      <alignment horizontal="center" vertical="center" wrapText="1"/>
    </xf>
    <xf numFmtId="0" fontId="0" fillId="0" borderId="0" xfId="0" applyBorder="1" applyAlignment="1">
      <alignment horizontal="center" vertical="center" wrapText="1"/>
    </xf>
    <xf numFmtId="169" fontId="0" fillId="0" borderId="14" xfId="0" applyNumberFormat="1"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2" xfId="0" applyNumberFormat="1" applyBorder="1" applyAlignment="1">
      <alignment vertical="center" wrapText="1"/>
    </xf>
    <xf numFmtId="0" fontId="0" fillId="0" borderId="15" xfId="0" applyNumberFormat="1" applyBorder="1" applyAlignment="1">
      <alignment vertical="center" wrapText="1"/>
    </xf>
    <xf numFmtId="0" fontId="0" fillId="0" borderId="8" xfId="0" pivotButton="1" applyBorder="1"/>
    <xf numFmtId="0" fontId="0" fillId="0" borderId="9" xfId="0" applyBorder="1"/>
    <xf numFmtId="0" fontId="0" fillId="0" borderId="10" xfId="0" applyBorder="1"/>
    <xf numFmtId="0" fontId="0" fillId="0" borderId="11" xfId="0" applyBorder="1" applyAlignment="1">
      <alignment horizontal="left"/>
    </xf>
    <xf numFmtId="0" fontId="0" fillId="0" borderId="0" xfId="0" applyBorder="1"/>
    <xf numFmtId="10" fontId="0" fillId="0" borderId="12" xfId="0" applyNumberFormat="1" applyBorder="1"/>
    <xf numFmtId="0" fontId="0" fillId="0" borderId="11" xfId="0" applyBorder="1" applyAlignment="1">
      <alignment horizontal="left" indent="1"/>
    </xf>
    <xf numFmtId="1" fontId="0" fillId="0" borderId="0" xfId="0" applyNumberFormat="1" applyBorder="1"/>
    <xf numFmtId="169" fontId="0" fillId="0" borderId="0" xfId="0" applyNumberFormat="1" applyBorder="1"/>
    <xf numFmtId="0" fontId="0" fillId="0" borderId="13" xfId="0" applyBorder="1" applyAlignment="1">
      <alignment horizontal="left"/>
    </xf>
    <xf numFmtId="1" fontId="0" fillId="0" borderId="14" xfId="0" applyNumberFormat="1" applyBorder="1"/>
    <xf numFmtId="169" fontId="0" fillId="0" borderId="14" xfId="0" applyNumberFormat="1" applyBorder="1"/>
    <xf numFmtId="10" fontId="0" fillId="0" borderId="15" xfId="0" applyNumberFormat="1" applyBorder="1"/>
    <xf numFmtId="0" fontId="0" fillId="0" borderId="9" xfId="0" pivotButton="1" applyBorder="1"/>
    <xf numFmtId="0" fontId="0" fillId="0" borderId="11" xfId="0" pivotButton="1" applyBorder="1"/>
    <xf numFmtId="0" fontId="0" fillId="0" borderId="12" xfId="0" applyBorder="1"/>
    <xf numFmtId="165" fontId="0" fillId="0" borderId="0" xfId="0" applyNumberFormat="1" applyBorder="1"/>
    <xf numFmtId="165" fontId="0" fillId="0" borderId="12" xfId="0" applyNumberFormat="1" applyBorder="1"/>
    <xf numFmtId="165" fontId="0" fillId="0" borderId="14" xfId="0" applyNumberFormat="1" applyBorder="1"/>
    <xf numFmtId="165" fontId="0" fillId="0" borderId="15" xfId="0" applyNumberFormat="1" applyBorder="1"/>
    <xf numFmtId="0" fontId="8" fillId="3" borderId="0" xfId="0" applyFont="1" applyFill="1" applyBorder="1"/>
    <xf numFmtId="0" fontId="9" fillId="3" borderId="0" xfId="0" applyFont="1" applyFill="1" applyBorder="1" applyAlignment="1">
      <alignment wrapText="1"/>
    </xf>
    <xf numFmtId="0" fontId="3" fillId="3" borderId="0" xfId="0" applyFont="1" applyFill="1" applyBorder="1"/>
  </cellXfs>
  <cellStyles count="2">
    <cellStyle name="Normal" xfId="0" builtinId="0"/>
    <cellStyle name="Percent" xfId="1" builtinId="5"/>
  </cellStyles>
  <dxfs count="1029">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rder>
    </dxf>
    <dxf>
      <border>
        <top style="thin">
          <color indexed="64"/>
        </top>
      </border>
    </dxf>
    <dxf>
      <alignment horizontal="center"/>
    </dxf>
    <dxf>
      <alignment horizontal="center"/>
    </dxf>
    <dxf>
      <alignment horizontal="cent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horizontal/>
      </border>
    </dxf>
    <dxf>
      <border>
        <left style="thin">
          <color indexed="64"/>
        </left>
        <right style="thin">
          <color indexed="64"/>
        </right>
        <top style="thin">
          <color indexed="64"/>
        </top>
        <bottom style="thin">
          <color indexed="64"/>
        </bottom>
      </border>
    </dxf>
    <dxf>
      <border>
        <left/>
        <right/>
        <top/>
        <horizontal/>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center"/>
    </dxf>
    <dxf>
      <alignment vertical="bottom"/>
    </dxf>
    <dxf>
      <alignment vertical="center"/>
    </dxf>
    <dxf>
      <alignment vertical="bottom"/>
    </dxf>
    <dxf>
      <alignment horizontal="right"/>
    </dxf>
    <dxf>
      <alignment horizontal="righ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left/>
        <bottom/>
      </border>
    </dxf>
    <dxf>
      <border>
        <right style="thin">
          <color indexed="64"/>
        </right>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right/>
        <top/>
        <bottom/>
        <vertical/>
      </border>
    </dxf>
    <dxf>
      <border>
        <left style="thin">
          <color indexed="64"/>
        </left>
        <right style="thin">
          <color indexed="64"/>
        </right>
        <top style="thin">
          <color indexed="64"/>
        </top>
        <bottom style="thin">
          <color indexed="64"/>
        </bottom>
      </border>
    </dxf>
    <dxf>
      <border>
        <left/>
        <right/>
        <top/>
        <bottom/>
        <vertical/>
      </border>
    </dxf>
    <dxf>
      <border>
        <left style="thin">
          <color indexed="64"/>
        </left>
        <right style="thin">
          <color indexed="64"/>
        </right>
        <top style="thin">
          <color indexed="64"/>
        </top>
        <bottom style="thin">
          <color indexed="64"/>
        </bottom>
      </border>
    </dxf>
    <dxf>
      <border>
        <left/>
        <right/>
        <top/>
        <bottom/>
        <vertical/>
      </bord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horizontal="right"/>
    </dxf>
    <dxf>
      <numFmt numFmtId="13" formatCode="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quot;₹&quot;\ #,##0"/>
    </dxf>
    <dxf>
      <numFmt numFmtId="165"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quot;₹&quot;\ #,##0.00"/>
    </dxf>
    <dxf>
      <numFmt numFmtId="165"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numFmt numFmtId="14" formatCode="0.00%"/>
    </dxf>
    <dxf>
      <numFmt numFmtId="165" formatCode="&quot;₹&quot;\ #,##0"/>
    </dxf>
    <dxf>
      <numFmt numFmtId="164" formatCode="&quot;₹&quot;\ #,##0.00"/>
    </dxf>
    <dxf>
      <numFmt numFmtId="164" formatCode="&quot;₹&quot;\ #,##0.00"/>
    </dxf>
    <dxf>
      <numFmt numFmtId="14"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font>
        <sz val="20"/>
        <name val="Aptos Narrow"/>
        <family val="2"/>
        <scheme val="minor"/>
      </font>
    </dxf>
    <dxf>
      <fill>
        <patternFill>
          <bgColor theme="1" tint="4.9989318521683403E-2"/>
        </patternFill>
      </fill>
    </dxf>
    <dxf>
      <fill>
        <patternFill patternType="none">
          <bgColor auto="1"/>
        </patternFill>
      </fill>
    </dxf>
    <dxf>
      <fill>
        <patternFill patternType="none">
          <bgColor auto="1"/>
        </patternFill>
      </fill>
    </dxf>
  </dxfs>
  <tableStyles count="8" defaultTableStyle="TableStyleMedium2" defaultPivotStyle="PivotStyleLight16">
    <tableStyle name="PivotTable Style 1" table="0" count="0" xr9:uid="{7441385E-A180-427A-B0E2-F73CD4A61E8A}"/>
    <tableStyle name="Slicer Style 1" pivot="0" table="0" count="0" xr9:uid="{CCF6EF52-FB47-4D33-A4A3-A84DFFBA9C3A}"/>
    <tableStyle name="Slicer Style 2" pivot="0" table="0" count="1" xr9:uid="{242C84DE-A174-433A-A406-952A3E5548DE}">
      <tableStyleElement type="wholeTable" dxfId="1028"/>
    </tableStyle>
    <tableStyle name="Slicer Style 3" pivot="0" table="0" count="0" xr9:uid="{5CFDAC0E-C57C-4729-83EF-B57A0CFAA028}"/>
    <tableStyle name="Slicer Style 4" pivot="0" table="0" count="0" xr9:uid="{A684FC15-EC9C-4B92-8977-637AABCF3FDC}"/>
    <tableStyle name="Slicer Style 5" pivot="0" table="0" count="1" xr9:uid="{323D9B1D-D63B-4D60-B5FC-1DBE1FBAE7F6}">
      <tableStyleElement type="wholeTable" dxfId="1027"/>
    </tableStyle>
    <tableStyle name="Slicer Style 6" pivot="0" table="0" count="1" xr9:uid="{A7389E8B-042A-4318-B936-4638022242C4}">
      <tableStyleElement type="wholeTable" dxfId="1026"/>
    </tableStyle>
    <tableStyle name="Slicer Style 7" pivot="0" table="0" count="1" xr9:uid="{1B3DC33D-D665-46A3-B6FA-59E7B5BD1FAE}">
      <tableStyleElement type="wholeTable" dxfId="1025"/>
    </tableStyle>
  </tableStyles>
  <colors>
    <mruColors>
      <color rgb="FFA59417"/>
      <color rgb="FF61661C"/>
      <color rgb="FFC8B33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6" Type="http://schemas.openxmlformats.org/officeDocument/2006/relationships/pivotCacheDefinition" Target="pivotCache/pivotCacheDefinition5.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3.xml"/><Relationship Id="rId37" Type="http://schemas.openxmlformats.org/officeDocument/2006/relationships/sheetMetadata" Target="metadata.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102" Type="http://schemas.openxmlformats.org/officeDocument/2006/relationships/customXml" Target="../customXml/item63.xml"/><Relationship Id="rId5" Type="http://schemas.openxmlformats.org/officeDocument/2006/relationships/worksheet" Target="worksheets/sheet5.xml"/><Relationship Id="rId90" Type="http://schemas.openxmlformats.org/officeDocument/2006/relationships/customXml" Target="../customXml/item51.xml"/><Relationship Id="rId95" Type="http://schemas.openxmlformats.org/officeDocument/2006/relationships/customXml" Target="../customXml/item56.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customXml" Target="../customXml/item4.xml"/><Relationship Id="rId48" Type="http://schemas.openxmlformats.org/officeDocument/2006/relationships/customXml" Target="../customXml/item9.xml"/><Relationship Id="rId64" Type="http://schemas.openxmlformats.org/officeDocument/2006/relationships/customXml" Target="../customXml/item25.xml"/><Relationship Id="rId69" Type="http://schemas.openxmlformats.org/officeDocument/2006/relationships/customXml" Target="../customXml/item30.xml"/><Relationship Id="rId80" Type="http://schemas.openxmlformats.org/officeDocument/2006/relationships/customXml" Target="../customXml/item41.xml"/><Relationship Id="rId85" Type="http://schemas.openxmlformats.org/officeDocument/2006/relationships/customXml" Target="../customXml/item46.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theme" Target="theme/theme1.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88" Type="http://schemas.openxmlformats.org/officeDocument/2006/relationships/customXml" Target="../customXml/item49.xml"/><Relationship Id="rId91" Type="http://schemas.openxmlformats.org/officeDocument/2006/relationships/customXml" Target="../customXml/item52.xml"/><Relationship Id="rId96"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6" Type="http://schemas.openxmlformats.org/officeDocument/2006/relationships/customXml" Target="../customXml/item67.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alcChain" Target="calcChain.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04" Type="http://schemas.openxmlformats.org/officeDocument/2006/relationships/customXml" Target="../customXml/item65.xml"/><Relationship Id="rId7" Type="http://schemas.openxmlformats.org/officeDocument/2006/relationships/worksheet" Target="worksheets/sheet7.xml"/><Relationship Id="rId71" Type="http://schemas.openxmlformats.org/officeDocument/2006/relationships/customXml" Target="../customXml/item32.xml"/><Relationship Id="rId92" Type="http://schemas.openxmlformats.org/officeDocument/2006/relationships/customXml" Target="../customXml/item53.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microsoft.com/office/2007/relationships/slicerCache" Target="slicerCaches/slicerCache1.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105" Type="http://schemas.openxmlformats.org/officeDocument/2006/relationships/customXml" Target="../customXml/item66.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98" Type="http://schemas.openxmlformats.org/officeDocument/2006/relationships/customXml" Target="../customXml/item59.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customXml" Target="../customXml/item7.xml"/><Relationship Id="rId67"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(1).xlsx]Rewards &amp; Benefits Allocation!PivotTable20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premium by department x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6CC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51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'Rewards &amp; Benefits Allocation'!$H$1:$H$2</c:f>
              <c:strCache>
                <c:ptCount val="1"/>
                <c:pt idx="0">
                  <c:v>Bengaluru</c:v>
                </c:pt>
              </c:strCache>
            </c:strRef>
          </c:tx>
          <c:spPr>
            <a:solidFill>
              <a:srgbClr val="2F80ED"/>
            </a:solidFill>
            <a:ln>
              <a:noFill/>
            </a:ln>
            <a:effectLst/>
          </c:spPr>
          <c:invertIfNegative val="0"/>
          <c:cat>
            <c:strRef>
              <c:f>'Rewards &amp; Benefits Allocation'!$G$3:$G$8</c:f>
              <c:strCache>
                <c:ptCount val="5"/>
                <c:pt idx="0">
                  <c:v>Finance</c:v>
                </c:pt>
                <c:pt idx="1">
                  <c:v>HR</c:v>
                </c:pt>
                <c:pt idx="2">
                  <c:v>Operations</c:v>
                </c:pt>
                <c:pt idx="3">
                  <c:v>Sales</c:v>
                </c:pt>
                <c:pt idx="4">
                  <c:v>Tech</c:v>
                </c:pt>
              </c:strCache>
            </c:strRef>
          </c:cat>
          <c:val>
            <c:numRef>
              <c:f>'Rewards &amp; Benefits Allocation'!$H$3:$H$8</c:f>
              <c:numCache>
                <c:formatCode>"₹"\ #,##0</c:formatCode>
                <c:ptCount val="5"/>
                <c:pt idx="0">
                  <c:v>4927.272727272727</c:v>
                </c:pt>
                <c:pt idx="1">
                  <c:v>5489.4736842105267</c:v>
                </c:pt>
                <c:pt idx="2">
                  <c:v>4192.105263157895</c:v>
                </c:pt>
                <c:pt idx="3">
                  <c:v>5430</c:v>
                </c:pt>
                <c:pt idx="4">
                  <c:v>5174</c:v>
                </c:pt>
              </c:numCache>
            </c:numRef>
          </c:val>
          <c:extLst>
            <c:ext xmlns:c16="http://schemas.microsoft.com/office/drawing/2014/chart" uri="{C3380CC4-5D6E-409C-BE32-E72D297353CC}">
              <c16:uniqueId val="{00000009-2280-4E0B-9FAF-E20BC2B5D5CC}"/>
            </c:ext>
          </c:extLst>
        </c:ser>
        <c:ser>
          <c:idx val="1"/>
          <c:order val="1"/>
          <c:tx>
            <c:strRef>
              <c:f>'Rewards &amp; Benefits Allocation'!$I$1:$I$2</c:f>
              <c:strCache>
                <c:ptCount val="1"/>
                <c:pt idx="0">
                  <c:v>Gurugram</c:v>
                </c:pt>
              </c:strCache>
            </c:strRef>
          </c:tx>
          <c:spPr>
            <a:solidFill>
              <a:srgbClr val="56CCF2"/>
            </a:solidFill>
            <a:ln>
              <a:noFill/>
            </a:ln>
            <a:effectLst/>
          </c:spPr>
          <c:invertIfNegative val="0"/>
          <c:cat>
            <c:strRef>
              <c:f>'Rewards &amp; Benefits Allocation'!$G$3:$G$8</c:f>
              <c:strCache>
                <c:ptCount val="5"/>
                <c:pt idx="0">
                  <c:v>Finance</c:v>
                </c:pt>
                <c:pt idx="1">
                  <c:v>HR</c:v>
                </c:pt>
                <c:pt idx="2">
                  <c:v>Operations</c:v>
                </c:pt>
                <c:pt idx="3">
                  <c:v>Sales</c:v>
                </c:pt>
                <c:pt idx="4">
                  <c:v>Tech</c:v>
                </c:pt>
              </c:strCache>
            </c:strRef>
          </c:cat>
          <c:val>
            <c:numRef>
              <c:f>'Rewards &amp; Benefits Allocation'!$I$3:$I$8</c:f>
              <c:numCache>
                <c:formatCode>"₹"\ #,##0</c:formatCode>
                <c:ptCount val="5"/>
                <c:pt idx="0">
                  <c:v>5190.909090909091</c:v>
                </c:pt>
                <c:pt idx="1">
                  <c:v>5064.2857142857147</c:v>
                </c:pt>
                <c:pt idx="2">
                  <c:v>5490.7407407407409</c:v>
                </c:pt>
                <c:pt idx="3">
                  <c:v>6062</c:v>
                </c:pt>
                <c:pt idx="4">
                  <c:v>5066</c:v>
                </c:pt>
              </c:numCache>
            </c:numRef>
          </c:val>
          <c:extLst>
            <c:ext xmlns:c16="http://schemas.microsoft.com/office/drawing/2014/chart" uri="{C3380CC4-5D6E-409C-BE32-E72D297353CC}">
              <c16:uniqueId val="{0000000A-2280-4E0B-9FAF-E20BC2B5D5CC}"/>
            </c:ext>
          </c:extLst>
        </c:ser>
        <c:ser>
          <c:idx val="2"/>
          <c:order val="2"/>
          <c:tx>
            <c:strRef>
              <c:f>'Rewards &amp; Benefits Allocation'!$J$1:$J$2</c:f>
              <c:strCache>
                <c:ptCount val="1"/>
                <c:pt idx="0">
                  <c:v>Hyderabad</c:v>
                </c:pt>
              </c:strCache>
            </c:strRef>
          </c:tx>
          <c:spPr>
            <a:solidFill>
              <a:srgbClr val="9B51E0"/>
            </a:solidFill>
            <a:ln>
              <a:noFill/>
            </a:ln>
            <a:effectLst/>
          </c:spPr>
          <c:invertIfNegative val="0"/>
          <c:cat>
            <c:strRef>
              <c:f>'Rewards &amp; Benefits Allocation'!$G$3:$G$8</c:f>
              <c:strCache>
                <c:ptCount val="5"/>
                <c:pt idx="0">
                  <c:v>Finance</c:v>
                </c:pt>
                <c:pt idx="1">
                  <c:v>HR</c:v>
                </c:pt>
                <c:pt idx="2">
                  <c:v>Operations</c:v>
                </c:pt>
                <c:pt idx="3">
                  <c:v>Sales</c:v>
                </c:pt>
                <c:pt idx="4">
                  <c:v>Tech</c:v>
                </c:pt>
              </c:strCache>
            </c:strRef>
          </c:cat>
          <c:val>
            <c:numRef>
              <c:f>'Rewards &amp; Benefits Allocation'!$J$3:$J$8</c:f>
              <c:numCache>
                <c:formatCode>"₹"\ #,##0</c:formatCode>
                <c:ptCount val="5"/>
                <c:pt idx="0">
                  <c:v>5944.8275862068967</c:v>
                </c:pt>
                <c:pt idx="1">
                  <c:v>4819.2307692307695</c:v>
                </c:pt>
                <c:pt idx="2">
                  <c:v>5475</c:v>
                </c:pt>
                <c:pt idx="3">
                  <c:v>5268.5714285714284</c:v>
                </c:pt>
                <c:pt idx="4">
                  <c:v>4591.666666666667</c:v>
                </c:pt>
              </c:numCache>
            </c:numRef>
          </c:val>
          <c:extLst>
            <c:ext xmlns:c16="http://schemas.microsoft.com/office/drawing/2014/chart" uri="{C3380CC4-5D6E-409C-BE32-E72D297353CC}">
              <c16:uniqueId val="{0000000B-2280-4E0B-9FAF-E20BC2B5D5CC}"/>
            </c:ext>
          </c:extLst>
        </c:ser>
        <c:ser>
          <c:idx val="3"/>
          <c:order val="3"/>
          <c:tx>
            <c:strRef>
              <c:f>'Rewards &amp; Benefits Allocation'!$K$1:$K$2</c:f>
              <c:strCache>
                <c:ptCount val="1"/>
                <c:pt idx="0">
                  <c:v>Noida</c:v>
                </c:pt>
              </c:strCache>
            </c:strRef>
          </c:tx>
          <c:spPr>
            <a:solidFill>
              <a:srgbClr val="27AE60"/>
            </a:solidFill>
            <a:ln>
              <a:noFill/>
            </a:ln>
            <a:effectLst/>
          </c:spPr>
          <c:invertIfNegative val="0"/>
          <c:cat>
            <c:strRef>
              <c:f>'Rewards &amp; Benefits Allocation'!$G$3:$G$8</c:f>
              <c:strCache>
                <c:ptCount val="5"/>
                <c:pt idx="0">
                  <c:v>Finance</c:v>
                </c:pt>
                <c:pt idx="1">
                  <c:v>HR</c:v>
                </c:pt>
                <c:pt idx="2">
                  <c:v>Operations</c:v>
                </c:pt>
                <c:pt idx="3">
                  <c:v>Sales</c:v>
                </c:pt>
                <c:pt idx="4">
                  <c:v>Tech</c:v>
                </c:pt>
              </c:strCache>
            </c:strRef>
          </c:cat>
          <c:val>
            <c:numRef>
              <c:f>'Rewards &amp; Benefits Allocation'!$K$3:$K$8</c:f>
              <c:numCache>
                <c:formatCode>"₹"\ #,##0</c:formatCode>
                <c:ptCount val="5"/>
                <c:pt idx="0">
                  <c:v>5785.416666666667</c:v>
                </c:pt>
                <c:pt idx="1">
                  <c:v>4577.272727272727</c:v>
                </c:pt>
                <c:pt idx="2">
                  <c:v>5140</c:v>
                </c:pt>
                <c:pt idx="3">
                  <c:v>5293.75</c:v>
                </c:pt>
                <c:pt idx="4">
                  <c:v>5511.1111111111113</c:v>
                </c:pt>
              </c:numCache>
            </c:numRef>
          </c:val>
          <c:extLst>
            <c:ext xmlns:c16="http://schemas.microsoft.com/office/drawing/2014/chart" uri="{C3380CC4-5D6E-409C-BE32-E72D297353CC}">
              <c16:uniqueId val="{0000000C-2280-4E0B-9FAF-E20BC2B5D5CC}"/>
            </c:ext>
          </c:extLst>
        </c:ser>
        <c:dLbls>
          <c:showLegendKey val="0"/>
          <c:showVal val="0"/>
          <c:showCatName val="0"/>
          <c:showSerName val="0"/>
          <c:showPercent val="0"/>
          <c:showBubbleSize val="0"/>
        </c:dLbls>
        <c:gapWidth val="219"/>
        <c:overlap val="-27"/>
        <c:axId val="537083136"/>
        <c:axId val="757780015"/>
      </c:barChart>
      <c:catAx>
        <c:axId val="53708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80015"/>
        <c:crosses val="autoZero"/>
        <c:auto val="1"/>
        <c:lblAlgn val="ctr"/>
        <c:lblOffset val="100"/>
        <c:noMultiLvlLbl val="0"/>
      </c:catAx>
      <c:valAx>
        <c:axId val="757780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monthly premium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83136"/>
        <c:crosses val="autoZero"/>
        <c:crossBetween val="between"/>
      </c:valAx>
      <c:spPr>
        <a:solidFill>
          <a:srgbClr val="151A24"/>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(1).xlsx]Basic Analysis!PivotTable21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Insurance Portfolio Mix by Tier</a:t>
            </a:r>
            <a:endParaRPr lang="en-US"/>
          </a:p>
        </c:rich>
      </c:tx>
      <c:layout>
        <c:manualLayout>
          <c:xMode val="edge"/>
          <c:yMode val="edge"/>
          <c:x val="0.24467715508164223"/>
          <c:y val="2.56867891513560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F80ED"/>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2F80ED"/>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56CCF2"/>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B51E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00726792712555"/>
          <c:y val="0.20473385826771653"/>
          <c:w val="0.44550369559969399"/>
          <c:h val="0.75884129483814544"/>
        </c:manualLayout>
      </c:layout>
      <c:doughnutChart>
        <c:varyColors val="1"/>
        <c:ser>
          <c:idx val="0"/>
          <c:order val="0"/>
          <c:tx>
            <c:strRef>
              <c:f>'Basic Analysis'!$B$20</c:f>
              <c:strCache>
                <c:ptCount val="1"/>
                <c:pt idx="0">
                  <c:v>Total</c:v>
                </c:pt>
              </c:strCache>
            </c:strRef>
          </c:tx>
          <c:spPr>
            <a:solidFill>
              <a:srgbClr val="2F80ED"/>
            </a:solidFill>
          </c:spPr>
          <c:dPt>
            <c:idx val="0"/>
            <c:bubble3D val="0"/>
            <c:spPr>
              <a:solidFill>
                <a:srgbClr val="2F80E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C5FD-4C4D-9857-643A01497DFA}"/>
              </c:ext>
            </c:extLst>
          </c:dPt>
          <c:dPt>
            <c:idx val="1"/>
            <c:bubble3D val="0"/>
            <c:spPr>
              <a:solidFill>
                <a:srgbClr val="56CCF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5FD-4C4D-9857-643A01497DFA}"/>
              </c:ext>
            </c:extLst>
          </c:dPt>
          <c:dPt>
            <c:idx val="2"/>
            <c:bubble3D val="0"/>
            <c:spPr>
              <a:solidFill>
                <a:srgbClr val="9B51E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5FD-4C4D-9857-643A01497D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Analysis'!$A$21:$A$24</c:f>
              <c:strCache>
                <c:ptCount val="3"/>
                <c:pt idx="0">
                  <c:v>Bronze</c:v>
                </c:pt>
                <c:pt idx="1">
                  <c:v>Gold</c:v>
                </c:pt>
                <c:pt idx="2">
                  <c:v>Silver</c:v>
                </c:pt>
              </c:strCache>
            </c:strRef>
          </c:cat>
          <c:val>
            <c:numRef>
              <c:f>'Basic Analysis'!$B$21:$B$24</c:f>
              <c:numCache>
                <c:formatCode>General</c:formatCode>
                <c:ptCount val="3"/>
                <c:pt idx="0">
                  <c:v>59</c:v>
                </c:pt>
                <c:pt idx="1">
                  <c:v>216</c:v>
                </c:pt>
                <c:pt idx="2">
                  <c:v>217</c:v>
                </c:pt>
              </c:numCache>
            </c:numRef>
          </c:val>
          <c:extLst>
            <c:ext xmlns:c16="http://schemas.microsoft.com/office/drawing/2014/chart" uri="{C3380CC4-5D6E-409C-BE32-E72D297353CC}">
              <c16:uniqueId val="{0000000C-C5FD-4C4D-9857-643A01497DFA}"/>
            </c:ext>
          </c:extLst>
        </c:ser>
        <c:dLbls>
          <c:showLegendKey val="0"/>
          <c:showVal val="0"/>
          <c:showCatName val="0"/>
          <c:showSerName val="0"/>
          <c:showPercent val="1"/>
          <c:showBubbleSize val="0"/>
          <c:showLeaderLines val="1"/>
        </c:dLbls>
        <c:firstSliceAng val="0"/>
        <c:holeSize val="50"/>
      </c:doughnutChart>
      <c:spPr>
        <a:solidFill>
          <a:srgbClr val="151A24"/>
        </a:solidFill>
        <a:ln>
          <a:noFill/>
        </a:ln>
        <a:effectLst/>
      </c:spPr>
    </c:plotArea>
    <c:legend>
      <c:legendPos val="r"/>
      <c:overlay val="0"/>
      <c:spPr>
        <a:noFill/>
        <a:ln w="6350">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alpha val="97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'Helper Sheet'!$B$29</c:f>
              <c:strCache>
                <c:ptCount val="1"/>
                <c:pt idx="0">
                  <c:v>Headcount</c:v>
                </c:pt>
              </c:strCache>
            </c:strRef>
          </c:tx>
          <c:spPr>
            <a:solidFill>
              <a:srgbClr val="2F80ED"/>
            </a:soli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'Helper Sheet'!$A$30:$A$34</c:f>
              <c:strCache>
                <c:ptCount val="5"/>
                <c:pt idx="0">
                  <c:v>Finance</c:v>
                </c:pt>
                <c:pt idx="1">
                  <c:v>HR</c:v>
                </c:pt>
                <c:pt idx="2">
                  <c:v>Operations</c:v>
                </c:pt>
                <c:pt idx="3">
                  <c:v>Sales</c:v>
                </c:pt>
                <c:pt idx="4">
                  <c:v>Tech</c:v>
                </c:pt>
              </c:strCache>
            </c:strRef>
          </c:cat>
          <c:val>
            <c:numRef>
              <c:f>'Helper Sheet'!$B$30:$B$34</c:f>
              <c:numCache>
                <c:formatCode>General</c:formatCode>
                <c:ptCount val="5"/>
                <c:pt idx="0">
                  <c:v>97</c:v>
                </c:pt>
                <c:pt idx="1">
                  <c:v>88</c:v>
                </c:pt>
                <c:pt idx="2">
                  <c:v>97</c:v>
                </c:pt>
                <c:pt idx="3">
                  <c:v>109</c:v>
                </c:pt>
                <c:pt idx="4">
                  <c:v>101</c:v>
                </c:pt>
              </c:numCache>
            </c:numRef>
          </c:val>
          <c:extLst>
            <c:ext xmlns:c16="http://schemas.microsoft.com/office/drawing/2014/chart" uri="{C3380CC4-5D6E-409C-BE32-E72D297353CC}">
              <c16:uniqueId val="{00000000-9E44-4059-9E47-9EAA2C2C4BFE}"/>
            </c:ext>
          </c:extLst>
        </c:ser>
        <c:dLbls>
          <c:dLblPos val="inEnd"/>
          <c:showLegendKey val="0"/>
          <c:showVal val="1"/>
          <c:showCatName val="0"/>
          <c:showSerName val="0"/>
          <c:showPercent val="0"/>
          <c:showBubbleSize val="0"/>
        </c:dLbls>
        <c:gapWidth val="115"/>
        <c:overlap val="-20"/>
        <c:axId val="354001776"/>
        <c:axId val="2083148399"/>
      </c:barChart>
      <c:catAx>
        <c:axId val="354001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148399"/>
        <c:crosses val="autoZero"/>
        <c:auto val="1"/>
        <c:lblAlgn val="ctr"/>
        <c:lblOffset val="100"/>
        <c:noMultiLvlLbl val="0"/>
      </c:catAx>
      <c:valAx>
        <c:axId val="208314839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001776"/>
        <c:crosses val="autoZero"/>
        <c:crossBetween val="between"/>
      </c:valAx>
      <c:spPr>
        <a:solidFill>
          <a:srgbClr val="151A24"/>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pay gap by salary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Sheet'!$B$39</c:f>
              <c:strCache>
                <c:ptCount val="1"/>
                <c:pt idx="0">
                  <c:v>Gap (M-F)</c:v>
                </c:pt>
              </c:strCache>
            </c:strRef>
          </c:tx>
          <c:spPr>
            <a:solidFill>
              <a:srgbClr val="2F80ED"/>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Sheet'!$A$40:$A$43</c:f>
              <c:strCache>
                <c:ptCount val="4"/>
                <c:pt idx="0">
                  <c:v>Junior</c:v>
                </c:pt>
                <c:pt idx="1">
                  <c:v>Lead</c:v>
                </c:pt>
                <c:pt idx="2">
                  <c:v>Mid</c:v>
                </c:pt>
                <c:pt idx="3">
                  <c:v>Senior</c:v>
                </c:pt>
              </c:strCache>
            </c:strRef>
          </c:cat>
          <c:val>
            <c:numRef>
              <c:f>'Helper Sheet'!$B$40:$B$43</c:f>
              <c:numCache>
                <c:formatCode>General</c:formatCode>
                <c:ptCount val="4"/>
                <c:pt idx="0">
                  <c:v>2229.5478609625643</c:v>
                </c:pt>
                <c:pt idx="1">
                  <c:v>-2672.5515051090915</c:v>
                </c:pt>
                <c:pt idx="2">
                  <c:v>2277.3732095490705</c:v>
                </c:pt>
                <c:pt idx="3">
                  <c:v>1553.5494535519101</c:v>
                </c:pt>
              </c:numCache>
            </c:numRef>
          </c:val>
          <c:extLst>
            <c:ext xmlns:c16="http://schemas.microsoft.com/office/drawing/2014/chart" uri="{C3380CC4-5D6E-409C-BE32-E72D297353CC}">
              <c16:uniqueId val="{00000000-0D8B-4BC5-A8BD-B10F4071652C}"/>
            </c:ext>
          </c:extLst>
        </c:ser>
        <c:dLbls>
          <c:showLegendKey val="0"/>
          <c:showVal val="0"/>
          <c:showCatName val="0"/>
          <c:showSerName val="0"/>
          <c:showPercent val="0"/>
          <c:showBubbleSize val="0"/>
        </c:dLbls>
        <c:gapWidth val="219"/>
        <c:overlap val="-27"/>
        <c:axId val="1434372287"/>
        <c:axId val="2083162799"/>
      </c:barChart>
      <c:catAx>
        <c:axId val="143437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2799"/>
        <c:crosses val="autoZero"/>
        <c:auto val="1"/>
        <c:lblAlgn val="ctr"/>
        <c:lblOffset val="100"/>
        <c:noMultiLvlLbl val="0"/>
      </c:catAx>
      <c:valAx>
        <c:axId val="20831627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72287"/>
        <c:crosses val="autoZero"/>
        <c:crossBetween val="between"/>
      </c:valAx>
      <c:spPr>
        <a:solidFill>
          <a:srgbClr val="151A24"/>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baseline="0">
                <a:solidFill>
                  <a:schemeClr val="tx1">
                    <a:lumMod val="65000"/>
                    <a:lumOff val="35000"/>
                  </a:schemeClr>
                </a:solidFill>
                <a:latin typeface="+mn-lt"/>
                <a:ea typeface="Calibri" panose="020F0502020204030204" pitchFamily="34" charset="0"/>
                <a:cs typeface="Arial" panose="020B0604020202020204" pitchFamily="34" charset="0"/>
              </a:defRPr>
            </a:pPr>
            <a:r>
              <a:rPr lang="en-US" sz="1300" b="0" i="0" u="none" strike="noStrike" baseline="0">
                <a:solidFill>
                  <a:sysClr val="windowText" lastClr="000000">
                    <a:lumMod val="65000"/>
                    <a:lumOff val="35000"/>
                  </a:sysClr>
                </a:solidFill>
                <a:latin typeface="+mn-lt"/>
                <a:ea typeface="Calibri" panose="020F0502020204030204" pitchFamily="34" charset="0"/>
                <a:cs typeface="Arial" panose="020B0604020202020204" pitchFamily="34" charset="0"/>
              </a:rPr>
              <a:t>Gap shrinks further once controlled for Band</a:t>
            </a:r>
          </a:p>
        </c:rich>
      </c:tx>
      <c:overlay val="0"/>
      <c:spPr>
        <a:noFill/>
        <a:ln>
          <a:noFill/>
        </a:ln>
        <a:effectLst/>
      </c:spPr>
      <c:txPr>
        <a:bodyPr rot="0" spcFirstLastPara="1" vertOverflow="ellipsis" vert="horz" wrap="square" anchor="ctr" anchorCtr="1"/>
        <a:lstStyle/>
        <a:p>
          <a:pPr>
            <a:defRPr sz="1300" b="0" i="0" u="none" strike="noStrike" baseline="0">
              <a:solidFill>
                <a:schemeClr val="tx1">
                  <a:lumMod val="65000"/>
                  <a:lumOff val="35000"/>
                </a:schemeClr>
              </a:solidFill>
              <a:latin typeface="+mn-lt"/>
              <a:ea typeface="Calibri" panose="020F0502020204030204" pitchFamily="34" charset="0"/>
              <a:cs typeface="Arial" panose="020B0604020202020204" pitchFamily="34" charset="0"/>
            </a:defRPr>
          </a:pPr>
          <a:endParaRPr lang="en-US"/>
        </a:p>
      </c:txPr>
    </c:title>
    <c:autoTitleDeleted val="0"/>
    <c:plotArea>
      <c:layout>
        <c:manualLayout>
          <c:layoutTarget val="inner"/>
          <c:xMode val="edge"/>
          <c:yMode val="edge"/>
          <c:x val="0.11603937007874016"/>
          <c:y val="0.15286963001137818"/>
          <c:w val="0.85340507436570423"/>
          <c:h val="0.80905579284375528"/>
        </c:manualLayout>
      </c:layout>
      <c:barChart>
        <c:barDir val="col"/>
        <c:grouping val="clustered"/>
        <c:varyColors val="0"/>
        <c:ser>
          <c:idx val="0"/>
          <c:order val="0"/>
          <c:tx>
            <c:strRef>
              <c:f>'Basic Analysis'!$B$37</c:f>
              <c:strCache>
                <c:ptCount val="1"/>
                <c:pt idx="0">
                  <c:v>Gap %</c:v>
                </c:pt>
              </c:strCache>
            </c:strRef>
          </c:tx>
          <c:spPr>
            <a:solidFill>
              <a:srgbClr val="0E2841"/>
            </a:solidFill>
            <a:ln>
              <a:noFill/>
            </a:ln>
            <a:effectLst/>
          </c:spPr>
          <c:invertIfNegative val="1"/>
          <c:dPt>
            <c:idx val="0"/>
            <c:invertIfNegative val="1"/>
            <c:bubble3D val="0"/>
            <c:spPr>
              <a:solidFill>
                <a:schemeClr val="tx2"/>
              </a:solidFill>
              <a:ln>
                <a:noFill/>
              </a:ln>
              <a:effectLst/>
            </c:spPr>
            <c:extLst>
              <c:ext xmlns:c16="http://schemas.microsoft.com/office/drawing/2014/chart" uri="{C3380CC4-5D6E-409C-BE32-E72D297353CC}">
                <c16:uniqueId val="{00000001-6269-4DB4-80D3-F2D13CF1E49E}"/>
              </c:ext>
            </c:extLst>
          </c:dPt>
          <c:dPt>
            <c:idx val="2"/>
            <c:invertIfNegative val="0"/>
            <c:bubble3D val="0"/>
            <c:spPr>
              <a:solidFill>
                <a:srgbClr val="A59417"/>
              </a:solidFill>
              <a:ln>
                <a:noFill/>
              </a:ln>
              <a:effectLst/>
            </c:spPr>
            <c:extLst>
              <c:ext xmlns:c16="http://schemas.microsoft.com/office/drawing/2014/chart" uri="{C3380CC4-5D6E-409C-BE32-E72D297353CC}">
                <c16:uniqueId val="{00000003-6269-4DB4-80D3-F2D13CF1E49E}"/>
              </c:ext>
            </c:extLst>
          </c:dPt>
          <c:dPt>
            <c:idx val="3"/>
            <c:invertIfNegative val="0"/>
            <c:bubble3D val="0"/>
            <c:spPr>
              <a:solidFill>
                <a:schemeClr val="tx2"/>
              </a:solidFill>
              <a:ln>
                <a:noFill/>
              </a:ln>
              <a:effectLst/>
              <a:scene3d>
                <a:camera prst="orthographicFront"/>
                <a:lightRig rig="threePt" dir="t"/>
              </a:scene3d>
              <a:sp3d>
                <a:bevelB h="171450"/>
              </a:sp3d>
            </c:spPr>
            <c:extLst>
              <c:ext xmlns:c16="http://schemas.microsoft.com/office/drawing/2014/chart" uri="{C3380CC4-5D6E-409C-BE32-E72D297353CC}">
                <c16:uniqueId val="{00000005-6269-4DB4-80D3-F2D13CF1E49E}"/>
              </c:ext>
            </c:extLst>
          </c:dPt>
          <c:dPt>
            <c:idx val="4"/>
            <c:invertIfNegative val="0"/>
            <c:bubble3D val="0"/>
            <c:spPr>
              <a:solidFill>
                <a:srgbClr val="A59417"/>
              </a:solidFill>
              <a:ln>
                <a:noFill/>
              </a:ln>
              <a:effectLst/>
            </c:spPr>
            <c:extLst>
              <c:ext xmlns:c16="http://schemas.microsoft.com/office/drawing/2014/chart" uri="{C3380CC4-5D6E-409C-BE32-E72D297353CC}">
                <c16:uniqueId val="{00000006-8718-4352-8CA2-D62B133DA9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Analysis'!$A$38:$A$42</c:f>
              <c:strCache>
                <c:ptCount val="5"/>
                <c:pt idx="0">
                  <c:v>Raw ( Company-wide)</c:v>
                </c:pt>
                <c:pt idx="1">
                  <c:v>Junior</c:v>
                </c:pt>
                <c:pt idx="2">
                  <c:v>Mid</c:v>
                </c:pt>
                <c:pt idx="3">
                  <c:v>Senior</c:v>
                </c:pt>
                <c:pt idx="4">
                  <c:v>Lead</c:v>
                </c:pt>
              </c:strCache>
            </c:strRef>
          </c:cat>
          <c:val>
            <c:numRef>
              <c:f>'Basic Analysis'!$B$38:$B$42</c:f>
              <c:numCache>
                <c:formatCode>0.0%</c:formatCode>
                <c:ptCount val="5"/>
                <c:pt idx="0" formatCode="0.00%">
                  <c:v>9.3378017230186391E-2</c:v>
                </c:pt>
                <c:pt idx="1">
                  <c:v>2.4009781275168982E-2</c:v>
                </c:pt>
                <c:pt idx="2">
                  <c:v>-1.3552393845416464E-2</c:v>
                </c:pt>
                <c:pt idx="3">
                  <c:v>2.4257210289267455E-2</c:v>
                </c:pt>
                <c:pt idx="4">
                  <c:v>-1.2324207844184072E-2</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6-6269-4DB4-80D3-F2D13CF1E49E}"/>
            </c:ext>
          </c:extLst>
        </c:ser>
        <c:dLbls>
          <c:showLegendKey val="0"/>
          <c:showVal val="1"/>
          <c:showCatName val="0"/>
          <c:showSerName val="0"/>
          <c:showPercent val="0"/>
          <c:showBubbleSize val="0"/>
        </c:dLbls>
        <c:gapWidth val="50"/>
        <c:axId val="60295360"/>
        <c:axId val="60291040"/>
      </c:barChart>
      <c:catAx>
        <c:axId val="60295360"/>
        <c:scaling>
          <c:orientation val="minMax"/>
        </c:scaling>
        <c:delete val="0"/>
        <c:axPos val="b"/>
        <c:title>
          <c:tx>
            <c:rich>
              <a:bodyPr rot="0" spcFirstLastPara="1" vertOverflow="ellipsis" vert="horz" wrap="square" anchor="ctr" anchorCtr="1"/>
              <a:lstStyle/>
              <a:p>
                <a:pPr>
                  <a:defRPr sz="1000" b="1" i="0" u="none" strike="noStrike" baseline="0">
                    <a:ln>
                      <a:noFill/>
                    </a:ln>
                    <a:solidFill>
                      <a:schemeClr val="tx1">
                        <a:lumMod val="95000"/>
                        <a:lumOff val="5000"/>
                      </a:schemeClr>
                    </a:solidFill>
                    <a:latin typeface="+mn-lt"/>
                    <a:ea typeface="+mn-ea"/>
                    <a:cs typeface="+mn-cs"/>
                  </a:defRPr>
                </a:pPr>
                <a:r>
                  <a:rPr lang="en-IN" sz="1000" b="1">
                    <a:ln>
                      <a:noFill/>
                    </a:ln>
                    <a:solidFill>
                      <a:schemeClr val="tx1">
                        <a:lumMod val="95000"/>
                        <a:lumOff val="5000"/>
                      </a:schemeClr>
                    </a:solidFill>
                  </a:rPr>
                  <a:t>Salary</a:t>
                </a:r>
                <a:r>
                  <a:rPr lang="en-IN" sz="1000" b="1" baseline="0">
                    <a:ln>
                      <a:noFill/>
                    </a:ln>
                    <a:solidFill>
                      <a:schemeClr val="tx1">
                        <a:lumMod val="95000"/>
                        <a:lumOff val="5000"/>
                      </a:schemeClr>
                    </a:solidFill>
                  </a:rPr>
                  <a:t> Band</a:t>
                </a:r>
                <a:endParaRPr lang="en-IN" sz="1000" b="1">
                  <a:ln>
                    <a:noFill/>
                  </a:l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1" i="0" u="none" strike="noStrike" baseline="0">
                  <a:ln>
                    <a:noFill/>
                  </a:ln>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baseline="0">
                <a:solidFill>
                  <a:schemeClr val="tx1">
                    <a:lumMod val="85000"/>
                    <a:lumOff val="15000"/>
                  </a:schemeClr>
                </a:solidFill>
                <a:latin typeface="+mn-lt"/>
                <a:ea typeface="+mn-ea"/>
                <a:cs typeface="+mn-cs"/>
              </a:defRPr>
            </a:pPr>
            <a:endParaRPr lang="en-US"/>
          </a:p>
        </c:txPr>
        <c:crossAx val="60291040"/>
        <c:crosses val="autoZero"/>
        <c:auto val="1"/>
        <c:lblAlgn val="ctr"/>
        <c:lblOffset val="100"/>
        <c:tickLblSkip val="1"/>
        <c:tickMarkSkip val="1"/>
        <c:noMultiLvlLbl val="0"/>
      </c:catAx>
      <c:valAx>
        <c:axId val="60291040"/>
        <c:scaling>
          <c:orientation val="minMax"/>
          <c:max val="0.11000000000000001"/>
          <c:min val="-3.0000000000000006E-2"/>
        </c:scaling>
        <c:delete val="0"/>
        <c:axPos val="l"/>
        <c:title>
          <c:tx>
            <c:rich>
              <a:bodyPr rot="-5400000" spcFirstLastPara="1" vertOverflow="ellipsis" vert="horz" wrap="square" anchor="ctr" anchorCtr="1"/>
              <a:lstStyle/>
              <a:p>
                <a:pPr>
                  <a:defRPr sz="1000" b="1" i="0" u="none" strike="noStrike" baseline="0">
                    <a:solidFill>
                      <a:schemeClr val="tx1">
                        <a:lumMod val="85000"/>
                        <a:lumOff val="15000"/>
                      </a:schemeClr>
                    </a:solidFill>
                    <a:latin typeface="+mn-lt"/>
                    <a:ea typeface="+mn-ea"/>
                    <a:cs typeface="+mn-cs"/>
                  </a:defRPr>
                </a:pPr>
                <a:r>
                  <a:rPr lang="en-IN" sz="1000" b="1">
                    <a:solidFill>
                      <a:schemeClr val="tx1">
                        <a:lumMod val="85000"/>
                        <a:lumOff val="15000"/>
                      </a:schemeClr>
                    </a:solidFill>
                  </a:rPr>
                  <a:t>Gap</a:t>
                </a:r>
                <a:r>
                  <a:rPr lang="en-IN" sz="1000" b="1" baseline="0">
                    <a:solidFill>
                      <a:schemeClr val="tx1">
                        <a:lumMod val="85000"/>
                        <a:lumOff val="15000"/>
                      </a:schemeClr>
                    </a:solidFill>
                  </a:rPr>
                  <a:t> (Male - Female), % of Male avg Salary</a:t>
                </a:r>
                <a:endParaRPr lang="en-IN" sz="1000" b="1">
                  <a:solidFill>
                    <a:schemeClr val="tx1">
                      <a:lumMod val="85000"/>
                      <a:lumOff val="15000"/>
                    </a:schemeClr>
                  </a:solidFill>
                </a:endParaRPr>
              </a:p>
            </c:rich>
          </c:tx>
          <c:layout>
            <c:manualLayout>
              <c:xMode val="edge"/>
              <c:yMode val="edge"/>
              <c:x val="1.67082239720035E-2"/>
              <c:y val="0.25128080931347407"/>
            </c:manualLayout>
          </c:layout>
          <c:overlay val="0"/>
          <c:spPr>
            <a:noFill/>
            <a:ln>
              <a:noFill/>
            </a:ln>
            <a:effectLst/>
          </c:spPr>
          <c:txPr>
            <a:bodyPr rot="-5400000" spcFirstLastPara="1" vertOverflow="ellipsis" vert="horz" wrap="square" anchor="ctr" anchorCtr="1"/>
            <a:lstStyle/>
            <a:p>
              <a:pPr>
                <a:defRPr sz="1000" b="1" i="0" u="none" strike="noStrike" baseline="0">
                  <a:solidFill>
                    <a:schemeClr val="tx1">
                      <a:lumMod val="85000"/>
                      <a:lumOff val="15000"/>
                    </a:schemeClr>
                  </a:solidFill>
                  <a:latin typeface="+mn-lt"/>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0295360"/>
        <c:crosses val="autoZero"/>
        <c:crossBetween val="between"/>
        <c:minorUnit val="2.0000000000000005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300" b="0" i="0" u="none" strike="noStrike" kern="1200" spc="0" baseline="0">
                <a:solidFill>
                  <a:sysClr val="windowText" lastClr="000000">
                    <a:lumMod val="65000"/>
                    <a:lumOff val="35000"/>
                  </a:sysClr>
                </a:solidFill>
                <a:latin typeface="+mn-lt"/>
                <a:ea typeface="Calibri" panose="020F0502020204030204" pitchFamily="34" charset="0"/>
                <a:cs typeface="Arial" panose="020B0604020202020204" pitchFamily="34" charset="0"/>
              </a:defRPr>
            </a:pPr>
            <a:r>
              <a:rPr lang="en-IN" sz="1300" b="0" i="0" u="none" strike="noStrike" baseline="0">
                <a:solidFill>
                  <a:sysClr val="windowText" lastClr="000000">
                    <a:lumMod val="65000"/>
                    <a:lumOff val="35000"/>
                  </a:sysClr>
                </a:solidFill>
                <a:latin typeface="+mn-lt"/>
                <a:ea typeface="Calibri" panose="020F0502020204030204" pitchFamily="34" charset="0"/>
                <a:cs typeface="Arial" panose="020B0604020202020204" pitchFamily="34" charset="0"/>
              </a:rPr>
              <a:t>Workforce composition by band</a:t>
            </a:r>
          </a:p>
        </c:rich>
      </c:tx>
      <c:overlay val="0"/>
      <c:spPr>
        <a:noFill/>
        <a:ln>
          <a:noFill/>
        </a:ln>
        <a:effectLst/>
      </c:spPr>
      <c:txPr>
        <a:bodyPr rot="0" spcFirstLastPara="1" vertOverflow="ellipsis" vert="horz" wrap="square" anchor="ctr" anchorCtr="1"/>
        <a:lstStyle/>
        <a:p>
          <a:pPr algn="ctr" rtl="0">
            <a:defRPr lang="en-IN" sz="1300" b="0" i="0" u="none" strike="noStrike" kern="1200" spc="0" baseline="0">
              <a:solidFill>
                <a:sysClr val="windowText" lastClr="000000">
                  <a:lumMod val="65000"/>
                  <a:lumOff val="35000"/>
                </a:sysClr>
              </a:solidFill>
              <a:latin typeface="+mn-lt"/>
              <a:ea typeface="Calibri" panose="020F0502020204030204" pitchFamily="34" charset="0"/>
              <a:cs typeface="Arial" panose="020B0604020202020204" pitchFamily="34" charset="0"/>
            </a:defRPr>
          </a:pPr>
          <a:endParaRPr lang="en-US"/>
        </a:p>
      </c:txPr>
    </c:title>
    <c:autoTitleDeleted val="0"/>
    <c:plotArea>
      <c:layout/>
      <c:barChart>
        <c:barDir val="col"/>
        <c:grouping val="stacked"/>
        <c:varyColors val="0"/>
        <c:ser>
          <c:idx val="0"/>
          <c:order val="0"/>
          <c:tx>
            <c:v>Female</c:v>
          </c:tx>
          <c:spPr>
            <a:solidFill>
              <a:srgbClr val="A59417"/>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Analysis'!$A$39:$A$42</c:f>
              <c:strCache>
                <c:ptCount val="4"/>
                <c:pt idx="0">
                  <c:v>Junior</c:v>
                </c:pt>
                <c:pt idx="1">
                  <c:v>Mid</c:v>
                </c:pt>
                <c:pt idx="2">
                  <c:v>Senior</c:v>
                </c:pt>
                <c:pt idx="3">
                  <c:v>Lead</c:v>
                </c:pt>
              </c:strCache>
            </c:strRef>
          </c:cat>
          <c:val>
            <c:numRef>
              <c:f>'Basic Analysis'!$C$39:$C$42</c:f>
              <c:numCache>
                <c:formatCode>0.0%</c:formatCode>
                <c:ptCount val="4"/>
                <c:pt idx="0">
                  <c:v>0.532258064516129</c:v>
                </c:pt>
                <c:pt idx="1">
                  <c:v>0.45081967213114754</c:v>
                </c:pt>
                <c:pt idx="2">
                  <c:v>0.48760330578512395</c:v>
                </c:pt>
                <c:pt idx="3">
                  <c:v>0.36065573770491804</c:v>
                </c:pt>
              </c:numCache>
            </c:numRef>
          </c:val>
          <c:extLst>
            <c:ext xmlns:c16="http://schemas.microsoft.com/office/drawing/2014/chart" uri="{C3380CC4-5D6E-409C-BE32-E72D297353CC}">
              <c16:uniqueId val="{00000000-BFFC-4156-A847-1CEEB573415A}"/>
            </c:ext>
          </c:extLst>
        </c:ser>
        <c:ser>
          <c:idx val="1"/>
          <c:order val="1"/>
          <c:tx>
            <c:v>Male</c:v>
          </c:tx>
          <c:spPr>
            <a:solidFill>
              <a:schemeClr val="tx2"/>
            </a:solidFill>
            <a:ln>
              <a:noFill/>
            </a:ln>
            <a:effectLst/>
          </c:spPr>
          <c:invertIfNegative val="0"/>
          <c:cat>
            <c:strRef>
              <c:f>'Basic Analysis'!$A$39:$A$42</c:f>
              <c:strCache>
                <c:ptCount val="4"/>
                <c:pt idx="0">
                  <c:v>Junior</c:v>
                </c:pt>
                <c:pt idx="1">
                  <c:v>Mid</c:v>
                </c:pt>
                <c:pt idx="2">
                  <c:v>Senior</c:v>
                </c:pt>
                <c:pt idx="3">
                  <c:v>Lead</c:v>
                </c:pt>
              </c:strCache>
            </c:strRef>
          </c:cat>
          <c:val>
            <c:numRef>
              <c:f>'Basic Analysis'!$D$39:$D$42</c:f>
              <c:numCache>
                <c:formatCode>0.0%</c:formatCode>
                <c:ptCount val="4"/>
                <c:pt idx="0">
                  <c:v>0.467741935483871</c:v>
                </c:pt>
                <c:pt idx="1">
                  <c:v>0.54918032786885251</c:v>
                </c:pt>
                <c:pt idx="2">
                  <c:v>0.63934426229508201</c:v>
                </c:pt>
                <c:pt idx="3">
                  <c:v>0.5123966942148761</c:v>
                </c:pt>
              </c:numCache>
            </c:numRef>
          </c:val>
          <c:extLst>
            <c:ext xmlns:c16="http://schemas.microsoft.com/office/drawing/2014/chart" uri="{C3380CC4-5D6E-409C-BE32-E72D297353CC}">
              <c16:uniqueId val="{00000001-BFFC-4156-A847-1CEEB573415A}"/>
            </c:ext>
          </c:extLst>
        </c:ser>
        <c:dLbls>
          <c:showLegendKey val="0"/>
          <c:showVal val="0"/>
          <c:showCatName val="0"/>
          <c:showSerName val="0"/>
          <c:showPercent val="0"/>
          <c:showBubbleSize val="0"/>
        </c:dLbls>
        <c:gapWidth val="150"/>
        <c:overlap val="100"/>
        <c:axId val="58955504"/>
        <c:axId val="58952624"/>
      </c:barChart>
      <c:catAx>
        <c:axId val="5895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85000"/>
                    <a:lumOff val="15000"/>
                  </a:schemeClr>
                </a:solidFill>
                <a:latin typeface="+mn-lt"/>
                <a:ea typeface="+mn-ea"/>
                <a:cs typeface="+mn-cs"/>
              </a:defRPr>
            </a:pPr>
            <a:endParaRPr lang="en-US"/>
          </a:p>
        </c:txPr>
        <c:crossAx val="58952624"/>
        <c:crosses val="autoZero"/>
        <c:auto val="1"/>
        <c:lblAlgn val="ctr"/>
        <c:lblOffset val="100"/>
        <c:noMultiLvlLbl val="0"/>
      </c:catAx>
      <c:valAx>
        <c:axId val="58952624"/>
        <c:scaling>
          <c:orientation val="minMax"/>
          <c:max val="1"/>
        </c:scaling>
        <c:delete val="0"/>
        <c:axPos val="l"/>
        <c:title>
          <c:tx>
            <c:rich>
              <a:bodyPr rot="-5400000" spcFirstLastPara="1" vertOverflow="ellipsis" vert="horz" wrap="square" anchor="ctr" anchorCtr="1"/>
              <a:lstStyle/>
              <a:p>
                <a:pPr algn="ctr" rtl="0">
                  <a:defRPr lang="en-IN" sz="1000" b="1" i="0" u="none" strike="noStrike" kern="1200" baseline="0">
                    <a:solidFill>
                      <a:schemeClr val="tx1">
                        <a:lumMod val="85000"/>
                        <a:lumOff val="15000"/>
                      </a:schemeClr>
                    </a:solidFill>
                    <a:latin typeface="+mn-lt"/>
                    <a:ea typeface="+mn-ea"/>
                    <a:cs typeface="+mn-cs"/>
                  </a:defRPr>
                </a:pPr>
                <a:r>
                  <a:rPr lang="en-IN" sz="1000" b="1" i="0" u="none" strike="noStrike" baseline="0">
                    <a:solidFill>
                      <a:schemeClr val="tx1">
                        <a:lumMod val="85000"/>
                        <a:lumOff val="15000"/>
                      </a:schemeClr>
                    </a:solidFill>
                    <a:latin typeface="+mn-lt"/>
                    <a:ea typeface="+mn-ea"/>
                    <a:cs typeface="+mn-cs"/>
                  </a:rPr>
                  <a:t>Share of Headcount %</a:t>
                </a: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chemeClr val="tx1">
                      <a:lumMod val="85000"/>
                      <a:lumOff val="1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55504"/>
        <c:crosses val="autoZero"/>
        <c:crossBetween val="between"/>
      </c:valAx>
      <c:spPr>
        <a:noFill/>
        <a:ln>
          <a:noFill/>
        </a:ln>
        <a:effectLst/>
      </c:spPr>
    </c:plotArea>
    <c:legend>
      <c:legendPos val="b"/>
      <c:layout>
        <c:manualLayout>
          <c:xMode val="edge"/>
          <c:yMode val="edge"/>
          <c:x val="0.39349453193350831"/>
          <c:y val="0.89409667541557303"/>
          <c:w val="0.379677384076990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baseline="0">
                <a:solidFill>
                  <a:schemeClr val="tx1">
                    <a:lumMod val="65000"/>
                    <a:lumOff val="35000"/>
                  </a:schemeClr>
                </a:solidFill>
                <a:latin typeface="+mn-lt"/>
                <a:ea typeface="Calibri" panose="020F0502020204030204" pitchFamily="34" charset="0"/>
                <a:cs typeface="Arial" panose="020B0604020202020204" pitchFamily="34" charset="0"/>
              </a:defRPr>
            </a:pPr>
            <a:r>
              <a:rPr lang="en-US" sz="1300" b="0" i="0" u="none" strike="noStrike" baseline="0">
                <a:solidFill>
                  <a:sysClr val="windowText" lastClr="000000">
                    <a:lumMod val="65000"/>
                    <a:lumOff val="35000"/>
                  </a:sysClr>
                </a:solidFill>
                <a:latin typeface="+mn-lt"/>
                <a:ea typeface="Calibri" panose="020F0502020204030204" pitchFamily="34" charset="0"/>
                <a:cs typeface="Arial" panose="020B0604020202020204" pitchFamily="34" charset="0"/>
              </a:rPr>
              <a:t>Gap shrinks further once controlled for Band</a:t>
            </a:r>
          </a:p>
        </c:rich>
      </c:tx>
      <c:overlay val="0"/>
      <c:spPr>
        <a:noFill/>
        <a:ln>
          <a:noFill/>
        </a:ln>
        <a:effectLst/>
      </c:spPr>
      <c:txPr>
        <a:bodyPr rot="0" spcFirstLastPara="1" vertOverflow="ellipsis" vert="horz" wrap="square" anchor="ctr" anchorCtr="1"/>
        <a:lstStyle/>
        <a:p>
          <a:pPr>
            <a:defRPr sz="1300" b="0" i="0" u="none" strike="noStrike" baseline="0">
              <a:solidFill>
                <a:schemeClr val="tx1">
                  <a:lumMod val="65000"/>
                  <a:lumOff val="35000"/>
                </a:schemeClr>
              </a:solidFill>
              <a:latin typeface="+mn-lt"/>
              <a:ea typeface="Calibri" panose="020F0502020204030204" pitchFamily="34" charset="0"/>
              <a:cs typeface="Arial" panose="020B0604020202020204" pitchFamily="34" charset="0"/>
            </a:defRPr>
          </a:pPr>
          <a:endParaRPr lang="en-US"/>
        </a:p>
      </c:txPr>
    </c:title>
    <c:autoTitleDeleted val="0"/>
    <c:plotArea>
      <c:layout>
        <c:manualLayout>
          <c:layoutTarget val="inner"/>
          <c:xMode val="edge"/>
          <c:yMode val="edge"/>
          <c:x val="0.11603937007874016"/>
          <c:y val="0.15286963001137818"/>
          <c:w val="0.85340507436570423"/>
          <c:h val="0.80905579284375528"/>
        </c:manualLayout>
      </c:layout>
      <c:barChart>
        <c:barDir val="col"/>
        <c:grouping val="clustered"/>
        <c:varyColors val="0"/>
        <c:ser>
          <c:idx val="0"/>
          <c:order val="0"/>
          <c:tx>
            <c:strRef>
              <c:f>'Basic Analysis'!$B$37</c:f>
              <c:strCache>
                <c:ptCount val="1"/>
                <c:pt idx="0">
                  <c:v>Gap %</c:v>
                </c:pt>
              </c:strCache>
            </c:strRef>
          </c:tx>
          <c:spPr>
            <a:solidFill>
              <a:srgbClr val="0E2841"/>
            </a:solidFill>
            <a:ln>
              <a:noFill/>
            </a:ln>
            <a:effectLst/>
          </c:spPr>
          <c:invertIfNegative val="1"/>
          <c:dPt>
            <c:idx val="0"/>
            <c:invertIfNegative val="1"/>
            <c:bubble3D val="0"/>
            <c:spPr>
              <a:solidFill>
                <a:schemeClr val="tx2"/>
              </a:solidFill>
              <a:ln>
                <a:noFill/>
              </a:ln>
              <a:effectLst/>
            </c:spPr>
            <c:extLst>
              <c:ext xmlns:c16="http://schemas.microsoft.com/office/drawing/2014/chart" uri="{C3380CC4-5D6E-409C-BE32-E72D297353CC}">
                <c16:uniqueId val="{00000003-E6D7-4C65-B9F1-99EBC2C8FF32}"/>
              </c:ext>
            </c:extLst>
          </c:dPt>
          <c:dPt>
            <c:idx val="2"/>
            <c:invertIfNegative val="0"/>
            <c:bubble3D val="0"/>
            <c:spPr>
              <a:solidFill>
                <a:srgbClr val="A59417"/>
              </a:solidFill>
              <a:ln>
                <a:noFill/>
              </a:ln>
              <a:effectLst/>
            </c:spPr>
            <c:extLst>
              <c:ext xmlns:c16="http://schemas.microsoft.com/office/drawing/2014/chart" uri="{C3380CC4-5D6E-409C-BE32-E72D297353CC}">
                <c16:uniqueId val="{00000007-E6D7-4C65-B9F1-99EBC2C8FF32}"/>
              </c:ext>
            </c:extLst>
          </c:dPt>
          <c:dPt>
            <c:idx val="3"/>
            <c:invertIfNegative val="0"/>
            <c:bubble3D val="0"/>
            <c:spPr>
              <a:solidFill>
                <a:schemeClr val="tx1"/>
              </a:solidFill>
              <a:ln>
                <a:noFill/>
              </a:ln>
              <a:effectLst/>
              <a:scene3d>
                <a:camera prst="orthographicFront"/>
                <a:lightRig rig="threePt" dir="t"/>
              </a:scene3d>
              <a:sp3d>
                <a:bevelB h="171450"/>
              </a:sp3d>
            </c:spPr>
            <c:extLst>
              <c:ext xmlns:c16="http://schemas.microsoft.com/office/drawing/2014/chart" uri="{C3380CC4-5D6E-409C-BE32-E72D297353CC}">
                <c16:uniqueId val="{00000008-E6D7-4C65-B9F1-99EBC2C8FF32}"/>
              </c:ext>
            </c:extLst>
          </c:dPt>
          <c:dPt>
            <c:idx val="4"/>
            <c:invertIfNegative val="0"/>
            <c:bubble3D val="0"/>
            <c:spPr>
              <a:solidFill>
                <a:srgbClr val="A59417"/>
              </a:solidFill>
              <a:ln>
                <a:noFill/>
              </a:ln>
              <a:effectLst/>
            </c:spPr>
            <c:extLst>
              <c:ext xmlns:c16="http://schemas.microsoft.com/office/drawing/2014/chart" uri="{C3380CC4-5D6E-409C-BE32-E72D297353CC}">
                <c16:uniqueId val="{00000007-8327-4FFD-BC64-F02B7C6114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Analysis'!$A$38:$A$42</c:f>
              <c:strCache>
                <c:ptCount val="5"/>
                <c:pt idx="0">
                  <c:v>Raw ( Company-wide)</c:v>
                </c:pt>
                <c:pt idx="1">
                  <c:v>Junior</c:v>
                </c:pt>
                <c:pt idx="2">
                  <c:v>Mid</c:v>
                </c:pt>
                <c:pt idx="3">
                  <c:v>Senior</c:v>
                </c:pt>
                <c:pt idx="4">
                  <c:v>Lead</c:v>
                </c:pt>
              </c:strCache>
            </c:strRef>
          </c:cat>
          <c:val>
            <c:numRef>
              <c:f>'Basic Analysis'!$B$38:$B$42</c:f>
              <c:numCache>
                <c:formatCode>0.0%</c:formatCode>
                <c:ptCount val="5"/>
                <c:pt idx="0" formatCode="0.00%">
                  <c:v>9.3378017230186391E-2</c:v>
                </c:pt>
                <c:pt idx="1">
                  <c:v>2.4009781275168982E-2</c:v>
                </c:pt>
                <c:pt idx="2">
                  <c:v>-1.3552393845416464E-2</c:v>
                </c:pt>
                <c:pt idx="3">
                  <c:v>2.4257210289267455E-2</c:v>
                </c:pt>
                <c:pt idx="4">
                  <c:v>-1.2324207844184072E-2</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6D7-4C65-B9F1-99EBC2C8FF32}"/>
            </c:ext>
          </c:extLst>
        </c:ser>
        <c:dLbls>
          <c:showLegendKey val="0"/>
          <c:showVal val="1"/>
          <c:showCatName val="0"/>
          <c:showSerName val="0"/>
          <c:showPercent val="0"/>
          <c:showBubbleSize val="0"/>
        </c:dLbls>
        <c:gapWidth val="50"/>
        <c:axId val="60295360"/>
        <c:axId val="60291040"/>
      </c:barChart>
      <c:catAx>
        <c:axId val="60295360"/>
        <c:scaling>
          <c:orientation val="minMax"/>
        </c:scaling>
        <c:delete val="0"/>
        <c:axPos val="b"/>
        <c:title>
          <c:tx>
            <c:rich>
              <a:bodyPr rot="0" spcFirstLastPara="1" vertOverflow="ellipsis" vert="horz" wrap="square" anchor="ctr" anchorCtr="1"/>
              <a:lstStyle/>
              <a:p>
                <a:pPr>
                  <a:defRPr sz="1000" b="1" i="0" u="none" strike="noStrike" baseline="0">
                    <a:ln>
                      <a:noFill/>
                    </a:ln>
                    <a:solidFill>
                      <a:schemeClr val="tx1">
                        <a:lumMod val="95000"/>
                        <a:lumOff val="5000"/>
                      </a:schemeClr>
                    </a:solidFill>
                    <a:latin typeface="+mn-lt"/>
                    <a:ea typeface="+mn-ea"/>
                    <a:cs typeface="+mn-cs"/>
                  </a:defRPr>
                </a:pPr>
                <a:r>
                  <a:rPr lang="en-IN" sz="1000" b="1">
                    <a:ln>
                      <a:noFill/>
                    </a:ln>
                    <a:solidFill>
                      <a:schemeClr val="tx1">
                        <a:lumMod val="95000"/>
                        <a:lumOff val="5000"/>
                      </a:schemeClr>
                    </a:solidFill>
                  </a:rPr>
                  <a:t>Salary</a:t>
                </a:r>
                <a:r>
                  <a:rPr lang="en-IN" sz="1000" b="1" baseline="0">
                    <a:ln>
                      <a:noFill/>
                    </a:ln>
                    <a:solidFill>
                      <a:schemeClr val="tx1">
                        <a:lumMod val="95000"/>
                        <a:lumOff val="5000"/>
                      </a:schemeClr>
                    </a:solidFill>
                  </a:rPr>
                  <a:t> Band</a:t>
                </a:r>
                <a:endParaRPr lang="en-IN" sz="1000" b="1">
                  <a:ln>
                    <a:noFill/>
                  </a:l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1" i="0" u="none" strike="noStrike" baseline="0">
                  <a:ln>
                    <a:noFill/>
                  </a:ln>
                  <a:solidFill>
                    <a:schemeClr val="tx1">
                      <a:lumMod val="95000"/>
                      <a:lumOff val="5000"/>
                    </a:schemeClr>
                  </a:solidFill>
                  <a:latin typeface="+mn-lt"/>
                  <a:ea typeface="+mn-ea"/>
                  <a:cs typeface="+mn-cs"/>
                </a:defRPr>
              </a:pPr>
              <a:endParaRPr lang="en-IN"/>
            </a:p>
          </c:txPr>
        </c:title>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baseline="0">
                <a:solidFill>
                  <a:schemeClr val="tx1">
                    <a:lumMod val="85000"/>
                    <a:lumOff val="15000"/>
                  </a:schemeClr>
                </a:solidFill>
                <a:latin typeface="+mn-lt"/>
                <a:ea typeface="+mn-ea"/>
                <a:cs typeface="+mn-cs"/>
              </a:defRPr>
            </a:pPr>
            <a:endParaRPr lang="en-US"/>
          </a:p>
        </c:txPr>
        <c:crossAx val="60291040"/>
        <c:crosses val="autoZero"/>
        <c:auto val="1"/>
        <c:lblAlgn val="ctr"/>
        <c:lblOffset val="100"/>
        <c:tickLblSkip val="1"/>
        <c:tickMarkSkip val="1"/>
        <c:noMultiLvlLbl val="0"/>
      </c:catAx>
      <c:valAx>
        <c:axId val="60291040"/>
        <c:scaling>
          <c:orientation val="minMax"/>
          <c:max val="0.11000000000000001"/>
          <c:min val="-3.0000000000000006E-2"/>
        </c:scaling>
        <c:delete val="0"/>
        <c:axPos val="l"/>
        <c:title>
          <c:tx>
            <c:rich>
              <a:bodyPr rot="-5400000" spcFirstLastPara="1" vertOverflow="ellipsis" vert="horz" wrap="square" anchor="ctr" anchorCtr="1"/>
              <a:lstStyle/>
              <a:p>
                <a:pPr>
                  <a:defRPr sz="1000" b="1" i="0" u="none" strike="noStrike" baseline="0">
                    <a:solidFill>
                      <a:schemeClr val="tx1">
                        <a:lumMod val="85000"/>
                        <a:lumOff val="15000"/>
                      </a:schemeClr>
                    </a:solidFill>
                    <a:latin typeface="+mn-lt"/>
                    <a:ea typeface="+mn-ea"/>
                    <a:cs typeface="+mn-cs"/>
                  </a:defRPr>
                </a:pPr>
                <a:r>
                  <a:rPr lang="en-IN" sz="1000" b="1">
                    <a:solidFill>
                      <a:schemeClr val="tx1">
                        <a:lumMod val="85000"/>
                        <a:lumOff val="15000"/>
                      </a:schemeClr>
                    </a:solidFill>
                  </a:rPr>
                  <a:t>Gap</a:t>
                </a:r>
                <a:r>
                  <a:rPr lang="en-IN" sz="1000" b="1" baseline="0">
                    <a:solidFill>
                      <a:schemeClr val="tx1">
                        <a:lumMod val="85000"/>
                        <a:lumOff val="15000"/>
                      </a:schemeClr>
                    </a:solidFill>
                  </a:rPr>
                  <a:t> (Male - Female), % of Male avg Salary</a:t>
                </a:r>
                <a:endParaRPr lang="en-IN" sz="1000" b="1">
                  <a:solidFill>
                    <a:schemeClr val="tx1">
                      <a:lumMod val="85000"/>
                      <a:lumOff val="15000"/>
                    </a:schemeClr>
                  </a:solidFill>
                </a:endParaRPr>
              </a:p>
            </c:rich>
          </c:tx>
          <c:layout>
            <c:manualLayout>
              <c:xMode val="edge"/>
              <c:yMode val="edge"/>
              <c:x val="1.67082239720035E-2"/>
              <c:y val="0.25128080931347407"/>
            </c:manualLayout>
          </c:layout>
          <c:overlay val="0"/>
          <c:spPr>
            <a:noFill/>
            <a:ln>
              <a:noFill/>
            </a:ln>
            <a:effectLst/>
          </c:spPr>
          <c:txPr>
            <a:bodyPr rot="-5400000" spcFirstLastPara="1" vertOverflow="ellipsis" vert="horz" wrap="square" anchor="ctr" anchorCtr="1"/>
            <a:lstStyle/>
            <a:p>
              <a:pPr>
                <a:defRPr sz="1000" b="1" i="0" u="none" strike="noStrike" baseline="0">
                  <a:solidFill>
                    <a:schemeClr val="tx1">
                      <a:lumMod val="85000"/>
                      <a:lumOff val="15000"/>
                    </a:schemeClr>
                  </a:solidFill>
                  <a:latin typeface="+mn-lt"/>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0295360"/>
        <c:crosses val="autoZero"/>
        <c:crossBetween val="between"/>
        <c:minorUnit val="2.0000000000000005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300" b="0" i="0" u="none" strike="noStrike" kern="1200" spc="0" baseline="0">
                <a:solidFill>
                  <a:sysClr val="windowText" lastClr="000000">
                    <a:lumMod val="65000"/>
                    <a:lumOff val="35000"/>
                  </a:sysClr>
                </a:solidFill>
                <a:latin typeface="+mn-lt"/>
                <a:ea typeface="Calibri" panose="020F0502020204030204" pitchFamily="34" charset="0"/>
                <a:cs typeface="Arial" panose="020B0604020202020204" pitchFamily="34" charset="0"/>
              </a:defRPr>
            </a:pPr>
            <a:r>
              <a:rPr lang="en-IN" sz="1300" b="0" i="0" u="none" strike="noStrike" baseline="0">
                <a:solidFill>
                  <a:sysClr val="windowText" lastClr="000000">
                    <a:lumMod val="65000"/>
                    <a:lumOff val="35000"/>
                  </a:sysClr>
                </a:solidFill>
                <a:latin typeface="+mn-lt"/>
                <a:ea typeface="Calibri" panose="020F0502020204030204" pitchFamily="34" charset="0"/>
                <a:cs typeface="Arial" panose="020B0604020202020204" pitchFamily="34" charset="0"/>
              </a:rPr>
              <a:t>Workforce composition by band</a:t>
            </a:r>
          </a:p>
        </c:rich>
      </c:tx>
      <c:overlay val="0"/>
      <c:spPr>
        <a:noFill/>
        <a:ln>
          <a:noFill/>
        </a:ln>
        <a:effectLst/>
      </c:spPr>
      <c:txPr>
        <a:bodyPr rot="0" spcFirstLastPara="1" vertOverflow="ellipsis" vert="horz" wrap="square" anchor="ctr" anchorCtr="1"/>
        <a:lstStyle/>
        <a:p>
          <a:pPr algn="ctr" rtl="0">
            <a:defRPr lang="en-IN" sz="1300" b="0" i="0" u="none" strike="noStrike" kern="1200" spc="0" baseline="0">
              <a:solidFill>
                <a:sysClr val="windowText" lastClr="000000">
                  <a:lumMod val="65000"/>
                  <a:lumOff val="35000"/>
                </a:sysClr>
              </a:solidFill>
              <a:latin typeface="+mn-lt"/>
              <a:ea typeface="Calibri" panose="020F0502020204030204" pitchFamily="34" charset="0"/>
              <a:cs typeface="Arial" panose="020B0604020202020204" pitchFamily="34" charset="0"/>
            </a:defRPr>
          </a:pPr>
          <a:endParaRPr lang="en-US"/>
        </a:p>
      </c:txPr>
    </c:title>
    <c:autoTitleDeleted val="0"/>
    <c:plotArea>
      <c:layout/>
      <c:barChart>
        <c:barDir val="col"/>
        <c:grouping val="stacked"/>
        <c:varyColors val="0"/>
        <c:ser>
          <c:idx val="0"/>
          <c:order val="0"/>
          <c:tx>
            <c:v>Female</c:v>
          </c:tx>
          <c:spPr>
            <a:solidFill>
              <a:srgbClr val="A59417"/>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Analysis'!$A$39:$A$42</c:f>
              <c:strCache>
                <c:ptCount val="4"/>
                <c:pt idx="0">
                  <c:v>Junior</c:v>
                </c:pt>
                <c:pt idx="1">
                  <c:v>Mid</c:v>
                </c:pt>
                <c:pt idx="2">
                  <c:v>Senior</c:v>
                </c:pt>
                <c:pt idx="3">
                  <c:v>Lead</c:v>
                </c:pt>
              </c:strCache>
            </c:strRef>
          </c:cat>
          <c:val>
            <c:numRef>
              <c:f>'Basic Analysis'!$C$39:$C$42</c:f>
              <c:numCache>
                <c:formatCode>0.0%</c:formatCode>
                <c:ptCount val="4"/>
                <c:pt idx="0">
                  <c:v>0.532258064516129</c:v>
                </c:pt>
                <c:pt idx="1">
                  <c:v>0.45081967213114754</c:v>
                </c:pt>
                <c:pt idx="2">
                  <c:v>0.48760330578512395</c:v>
                </c:pt>
                <c:pt idx="3">
                  <c:v>0.36065573770491804</c:v>
                </c:pt>
              </c:numCache>
            </c:numRef>
          </c:val>
          <c:extLst>
            <c:ext xmlns:c16="http://schemas.microsoft.com/office/drawing/2014/chart" uri="{C3380CC4-5D6E-409C-BE32-E72D297353CC}">
              <c16:uniqueId val="{00000000-E8A2-4532-8634-98258DAFF4FE}"/>
            </c:ext>
          </c:extLst>
        </c:ser>
        <c:ser>
          <c:idx val="1"/>
          <c:order val="1"/>
          <c:tx>
            <c:v>Male</c:v>
          </c:tx>
          <c:spPr>
            <a:solidFill>
              <a:schemeClr val="tx2"/>
            </a:solidFill>
            <a:ln>
              <a:noFill/>
            </a:ln>
            <a:effectLst/>
          </c:spPr>
          <c:invertIfNegative val="0"/>
          <c:cat>
            <c:strRef>
              <c:f>'Basic Analysis'!$A$39:$A$42</c:f>
              <c:strCache>
                <c:ptCount val="4"/>
                <c:pt idx="0">
                  <c:v>Junior</c:v>
                </c:pt>
                <c:pt idx="1">
                  <c:v>Mid</c:v>
                </c:pt>
                <c:pt idx="2">
                  <c:v>Senior</c:v>
                </c:pt>
                <c:pt idx="3">
                  <c:v>Lead</c:v>
                </c:pt>
              </c:strCache>
            </c:strRef>
          </c:cat>
          <c:val>
            <c:numRef>
              <c:f>'Basic Analysis'!$D$39:$D$42</c:f>
              <c:numCache>
                <c:formatCode>0.0%</c:formatCode>
                <c:ptCount val="4"/>
                <c:pt idx="0">
                  <c:v>0.467741935483871</c:v>
                </c:pt>
                <c:pt idx="1">
                  <c:v>0.54918032786885251</c:v>
                </c:pt>
                <c:pt idx="2">
                  <c:v>0.63934426229508201</c:v>
                </c:pt>
                <c:pt idx="3">
                  <c:v>0.5123966942148761</c:v>
                </c:pt>
              </c:numCache>
            </c:numRef>
          </c:val>
          <c:extLst>
            <c:ext xmlns:c16="http://schemas.microsoft.com/office/drawing/2014/chart" uri="{C3380CC4-5D6E-409C-BE32-E72D297353CC}">
              <c16:uniqueId val="{00000001-E8A2-4532-8634-98258DAFF4FE}"/>
            </c:ext>
          </c:extLst>
        </c:ser>
        <c:dLbls>
          <c:showLegendKey val="0"/>
          <c:showVal val="0"/>
          <c:showCatName val="0"/>
          <c:showSerName val="0"/>
          <c:showPercent val="0"/>
          <c:showBubbleSize val="0"/>
        </c:dLbls>
        <c:gapWidth val="150"/>
        <c:overlap val="100"/>
        <c:axId val="58955504"/>
        <c:axId val="58952624"/>
      </c:barChart>
      <c:catAx>
        <c:axId val="5895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85000"/>
                    <a:lumOff val="15000"/>
                  </a:schemeClr>
                </a:solidFill>
                <a:latin typeface="+mn-lt"/>
                <a:ea typeface="+mn-ea"/>
                <a:cs typeface="+mn-cs"/>
              </a:defRPr>
            </a:pPr>
            <a:endParaRPr lang="en-US"/>
          </a:p>
        </c:txPr>
        <c:crossAx val="58952624"/>
        <c:crosses val="autoZero"/>
        <c:auto val="1"/>
        <c:lblAlgn val="ctr"/>
        <c:lblOffset val="100"/>
        <c:noMultiLvlLbl val="0"/>
      </c:catAx>
      <c:valAx>
        <c:axId val="58952624"/>
        <c:scaling>
          <c:orientation val="minMax"/>
          <c:max val="1"/>
        </c:scaling>
        <c:delete val="0"/>
        <c:axPos val="l"/>
        <c:title>
          <c:tx>
            <c:rich>
              <a:bodyPr rot="-5400000" spcFirstLastPara="1" vertOverflow="ellipsis" vert="horz" wrap="square" anchor="ctr" anchorCtr="1"/>
              <a:lstStyle/>
              <a:p>
                <a:pPr algn="ctr" rtl="0">
                  <a:defRPr lang="en-IN" sz="1000" b="1" i="0" u="none" strike="noStrike" kern="1200" baseline="0">
                    <a:solidFill>
                      <a:schemeClr val="tx1">
                        <a:lumMod val="85000"/>
                        <a:lumOff val="15000"/>
                      </a:schemeClr>
                    </a:solidFill>
                    <a:latin typeface="+mn-lt"/>
                    <a:ea typeface="+mn-ea"/>
                    <a:cs typeface="+mn-cs"/>
                  </a:defRPr>
                </a:pPr>
                <a:r>
                  <a:rPr lang="en-IN" sz="1000" b="1" i="0" u="none" strike="noStrike" baseline="0">
                    <a:solidFill>
                      <a:schemeClr val="tx1">
                        <a:lumMod val="85000"/>
                        <a:lumOff val="15000"/>
                      </a:schemeClr>
                    </a:solidFill>
                    <a:latin typeface="+mn-lt"/>
                    <a:ea typeface="+mn-ea"/>
                    <a:cs typeface="+mn-cs"/>
                  </a:rPr>
                  <a:t>Share of Headcount %</a:t>
                </a: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chemeClr val="tx1">
                      <a:lumMod val="85000"/>
                      <a:lumOff val="1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55504"/>
        <c:crosses val="autoZero"/>
        <c:crossBetween val="between"/>
      </c:valAx>
      <c:spPr>
        <a:noFill/>
        <a:ln>
          <a:noFill/>
        </a:ln>
        <a:effectLst/>
      </c:spPr>
    </c:plotArea>
    <c:legend>
      <c:legendPos val="b"/>
      <c:layout>
        <c:manualLayout>
          <c:xMode val="edge"/>
          <c:yMode val="edge"/>
          <c:x val="0.39349453193350831"/>
          <c:y val="0.89409667541557303"/>
          <c:w val="0.379677384076990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Distribution by Gender and Job Level</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'Gender Pay Equity'!$I$11</c:f>
              <c:strCache>
                <c:ptCount val="1"/>
                <c:pt idx="0">
                  <c:v>Female</c:v>
                </c:pt>
              </c:strCache>
            </c:strRef>
          </c:tx>
          <c:spPr>
            <a:solidFill>
              <a:schemeClr val="accent1"/>
            </a:solidFill>
            <a:ln>
              <a:noFill/>
            </a:ln>
            <a:effectLst/>
          </c:spPr>
          <c:invertIfNegative val="0"/>
          <c:cat>
            <c:strRef>
              <c:f>'Gender Pay Equity'!$H$12:$H$15</c:f>
              <c:strCache>
                <c:ptCount val="4"/>
                <c:pt idx="0">
                  <c:v>Junior</c:v>
                </c:pt>
                <c:pt idx="1">
                  <c:v>Lead</c:v>
                </c:pt>
                <c:pt idx="2">
                  <c:v>Mid</c:v>
                </c:pt>
                <c:pt idx="3">
                  <c:v>Senior</c:v>
                </c:pt>
              </c:strCache>
            </c:strRef>
          </c:cat>
          <c:val>
            <c:numRef>
              <c:f>'Gender Pay Equity'!$I$12:$I$15</c:f>
              <c:numCache>
                <c:formatCode>General</c:formatCode>
                <c:ptCount val="4"/>
                <c:pt idx="0">
                  <c:v>62039.327272727271</c:v>
                </c:pt>
                <c:pt idx="1">
                  <c:v>184793.39215686274</c:v>
                </c:pt>
                <c:pt idx="2">
                  <c:v>95928.465517241377</c:v>
                </c:pt>
                <c:pt idx="3">
                  <c:v>132606.51666666666</c:v>
                </c:pt>
              </c:numCache>
            </c:numRef>
          </c:val>
          <c:extLst>
            <c:ext xmlns:c16="http://schemas.microsoft.com/office/drawing/2014/chart" uri="{C3380CC4-5D6E-409C-BE32-E72D297353CC}">
              <c16:uniqueId val="{00000000-D4A1-4B65-A600-80F293E17272}"/>
            </c:ext>
          </c:extLst>
        </c:ser>
        <c:ser>
          <c:idx val="1"/>
          <c:order val="1"/>
          <c:tx>
            <c:strRef>
              <c:f>'Gender Pay Equity'!$J$11</c:f>
              <c:strCache>
                <c:ptCount val="1"/>
                <c:pt idx="0">
                  <c:v>Male</c:v>
                </c:pt>
              </c:strCache>
            </c:strRef>
          </c:tx>
          <c:spPr>
            <a:solidFill>
              <a:schemeClr val="accent2"/>
            </a:solidFill>
            <a:ln>
              <a:noFill/>
            </a:ln>
            <a:effectLst/>
          </c:spPr>
          <c:invertIfNegative val="0"/>
          <c:cat>
            <c:strRef>
              <c:f>'Gender Pay Equity'!$H$12:$H$15</c:f>
              <c:strCache>
                <c:ptCount val="4"/>
                <c:pt idx="0">
                  <c:v>Junior</c:v>
                </c:pt>
                <c:pt idx="1">
                  <c:v>Lead</c:v>
                </c:pt>
                <c:pt idx="2">
                  <c:v>Mid</c:v>
                </c:pt>
                <c:pt idx="3">
                  <c:v>Senior</c:v>
                </c:pt>
              </c:strCache>
            </c:strRef>
          </c:cat>
          <c:val>
            <c:numRef>
              <c:f>'Gender Pay Equity'!$J$12:$J$15</c:f>
              <c:numCache>
                <c:formatCode>General</c:formatCode>
                <c:ptCount val="4"/>
                <c:pt idx="0">
                  <c:v>59809.779411764706</c:v>
                </c:pt>
                <c:pt idx="1">
                  <c:v>187465.94366197183</c:v>
                </c:pt>
                <c:pt idx="2">
                  <c:v>93651.092307692306</c:v>
                </c:pt>
                <c:pt idx="3">
                  <c:v>131052.96721311475</c:v>
                </c:pt>
              </c:numCache>
            </c:numRef>
          </c:val>
          <c:extLst>
            <c:ext xmlns:c16="http://schemas.microsoft.com/office/drawing/2014/chart" uri="{C3380CC4-5D6E-409C-BE32-E72D297353CC}">
              <c16:uniqueId val="{00000001-D4A1-4B65-A600-80F293E17272}"/>
            </c:ext>
          </c:extLst>
        </c:ser>
        <c:dLbls>
          <c:showLegendKey val="0"/>
          <c:showVal val="0"/>
          <c:showCatName val="0"/>
          <c:showSerName val="0"/>
          <c:showPercent val="0"/>
          <c:showBubbleSize val="0"/>
        </c:dLbls>
        <c:gapWidth val="219"/>
        <c:overlap val="-27"/>
        <c:axId val="2094993503"/>
        <c:axId val="2083165679"/>
      </c:barChart>
      <c:catAx>
        <c:axId val="209499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5679"/>
        <c:crosses val="autoZero"/>
        <c:auto val="0"/>
        <c:lblAlgn val="ctr"/>
        <c:lblOffset val="100"/>
        <c:noMultiLvlLbl val="0"/>
      </c:catAx>
      <c:valAx>
        <c:axId val="2083165679"/>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9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0</xdr:colOff>
      <xdr:row>25</xdr:row>
      <xdr:rowOff>0</xdr:rowOff>
    </xdr:to>
    <xdr:graphicFrame macro="">
      <xdr:nvGraphicFramePr>
        <xdr:cNvPr id="2" name="Avg Premium by Department x Location">
          <a:extLst>
            <a:ext uri="{FF2B5EF4-FFF2-40B4-BE49-F238E27FC236}">
              <a16:creationId xmlns:a16="http://schemas.microsoft.com/office/drawing/2014/main" id="{DC8F51C4-8BFA-0102-5F29-B2FE9ADAD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0</xdr:rowOff>
    </xdr:from>
    <xdr:to>
      <xdr:col>14</xdr:col>
      <xdr:colOff>0</xdr:colOff>
      <xdr:row>25</xdr:row>
      <xdr:rowOff>0</xdr:rowOff>
    </xdr:to>
    <xdr:graphicFrame macro="">
      <xdr:nvGraphicFramePr>
        <xdr:cNvPr id="3" name="Plan Mix by Tier">
          <a:extLst>
            <a:ext uri="{FF2B5EF4-FFF2-40B4-BE49-F238E27FC236}">
              <a16:creationId xmlns:a16="http://schemas.microsoft.com/office/drawing/2014/main" id="{59C3D887-5ADD-7848-D5FF-A5591EC22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7</xdr:col>
      <xdr:colOff>0</xdr:colOff>
      <xdr:row>42</xdr:row>
      <xdr:rowOff>0</xdr:rowOff>
    </xdr:to>
    <xdr:graphicFrame macro="">
      <xdr:nvGraphicFramePr>
        <xdr:cNvPr id="4" name="Headcount by Department">
          <a:extLst>
            <a:ext uri="{FF2B5EF4-FFF2-40B4-BE49-F238E27FC236}">
              <a16:creationId xmlns:a16="http://schemas.microsoft.com/office/drawing/2014/main" id="{2CC98CD7-7323-E448-FF21-EFA735C20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27</xdr:row>
      <xdr:rowOff>0</xdr:rowOff>
    </xdr:from>
    <xdr:to>
      <xdr:col>14</xdr:col>
      <xdr:colOff>0</xdr:colOff>
      <xdr:row>42</xdr:row>
      <xdr:rowOff>0</xdr:rowOff>
    </xdr:to>
    <xdr:graphicFrame macro="">
      <xdr:nvGraphicFramePr>
        <xdr:cNvPr id="5" name="Gender Pay Gap by Salary Band">
          <a:extLst>
            <a:ext uri="{FF2B5EF4-FFF2-40B4-BE49-F238E27FC236}">
              <a16:creationId xmlns:a16="http://schemas.microsoft.com/office/drawing/2014/main" id="{75B33A92-FFFF-5FA4-FEB4-91F81884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285750</xdr:colOff>
      <xdr:row>0</xdr:row>
      <xdr:rowOff>142875</xdr:rowOff>
    </xdr:from>
    <xdr:to>
      <xdr:col>29</xdr:col>
      <xdr:colOff>276225</xdr:colOff>
      <xdr:row>18</xdr:row>
      <xdr:rowOff>76200</xdr:rowOff>
    </xdr:to>
    <xdr:grpSp>
      <xdr:nvGrpSpPr>
        <xdr:cNvPr id="12" name="Group 11">
          <a:extLst>
            <a:ext uri="{FF2B5EF4-FFF2-40B4-BE49-F238E27FC236}">
              <a16:creationId xmlns:a16="http://schemas.microsoft.com/office/drawing/2014/main" id="{7E1BBBBD-8B4E-B021-9353-546A22F4AA99}"/>
            </a:ext>
          </a:extLst>
        </xdr:cNvPr>
        <xdr:cNvGrpSpPr/>
      </xdr:nvGrpSpPr>
      <xdr:grpSpPr>
        <a:xfrm>
          <a:off x="10020300" y="142875"/>
          <a:ext cx="9134475" cy="3581400"/>
          <a:chOff x="9725025" y="123825"/>
          <a:chExt cx="9134475" cy="3581400"/>
        </a:xfrm>
      </xdr:grpSpPr>
      <xdr:grpSp>
        <xdr:nvGrpSpPr>
          <xdr:cNvPr id="6" name="Group 5">
            <a:extLst>
              <a:ext uri="{FF2B5EF4-FFF2-40B4-BE49-F238E27FC236}">
                <a16:creationId xmlns:a16="http://schemas.microsoft.com/office/drawing/2014/main" id="{2C8558B1-695A-4702-87D0-1DFC640CDF78}"/>
              </a:ext>
            </a:extLst>
          </xdr:cNvPr>
          <xdr:cNvGrpSpPr/>
        </xdr:nvGrpSpPr>
        <xdr:grpSpPr>
          <a:xfrm>
            <a:off x="9725025" y="514350"/>
            <a:ext cx="9134475" cy="3190875"/>
            <a:chOff x="4981575" y="8267700"/>
            <a:chExt cx="9134475" cy="3190875"/>
          </a:xfrm>
        </xdr:grpSpPr>
        <xdr:graphicFrame macro="">
          <xdr:nvGraphicFramePr>
            <xdr:cNvPr id="7" name="Chart 6">
              <a:extLst>
                <a:ext uri="{FF2B5EF4-FFF2-40B4-BE49-F238E27FC236}">
                  <a16:creationId xmlns:a16="http://schemas.microsoft.com/office/drawing/2014/main" id="{CB41D9B6-AD82-B7F4-34EF-5E9B1256AB23}"/>
                </a:ext>
              </a:extLst>
            </xdr:cNvPr>
            <xdr:cNvGraphicFramePr/>
          </xdr:nvGraphicFramePr>
          <xdr:xfrm>
            <a:off x="4981575" y="8277225"/>
            <a:ext cx="4572000" cy="31813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F60BCA72-D807-ED32-0543-32682173618C}"/>
                </a:ext>
              </a:extLst>
            </xdr:cNvPr>
            <xdr:cNvGraphicFramePr/>
          </xdr:nvGraphicFramePr>
          <xdr:xfrm>
            <a:off x="9544050" y="8267700"/>
            <a:ext cx="4572000" cy="3171824"/>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9" name="Rectangle 8">
            <a:extLst>
              <a:ext uri="{FF2B5EF4-FFF2-40B4-BE49-F238E27FC236}">
                <a16:creationId xmlns:a16="http://schemas.microsoft.com/office/drawing/2014/main" id="{E5E7353D-BDD5-46AE-0269-955DA178B84F}"/>
              </a:ext>
            </a:extLst>
          </xdr:cNvPr>
          <xdr:cNvSpPr/>
        </xdr:nvSpPr>
        <xdr:spPr>
          <a:xfrm>
            <a:off x="9753600" y="123825"/>
            <a:ext cx="9086850" cy="361950"/>
          </a:xfrm>
          <a:prstGeom prst="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cap="none" spc="0">
                <a:ln w="0"/>
                <a:solidFill>
                  <a:schemeClr val="tx1">
                    <a:lumMod val="85000"/>
                    <a:lumOff val="15000"/>
                  </a:schemeClr>
                </a:solidFill>
                <a:effectLst>
                  <a:outerShdw blurRad="38100" dist="19050" dir="2700000" algn="tl" rotWithShape="0">
                    <a:schemeClr val="dk1">
                      <a:alpha val="40000"/>
                    </a:schemeClr>
                  </a:outerShdw>
                </a:effectLst>
              </a:rPr>
              <a:t>Gender pay</a:t>
            </a:r>
            <a:r>
              <a:rPr lang="en-IN" sz="1800" b="0" cap="none" spc="0" baseline="0">
                <a:ln w="0"/>
                <a:solidFill>
                  <a:schemeClr val="tx1">
                    <a:lumMod val="85000"/>
                    <a:lumOff val="15000"/>
                  </a:schemeClr>
                </a:solidFill>
                <a:effectLst>
                  <a:outerShdw blurRad="38100" dist="19050" dir="2700000" algn="tl" rotWithShape="0">
                    <a:schemeClr val="dk1">
                      <a:alpha val="40000"/>
                    </a:schemeClr>
                  </a:outerShdw>
                </a:effectLst>
              </a:rPr>
              <a:t> gap - Raw vs Band-Controlled</a:t>
            </a:r>
            <a:endParaRPr lang="en-IN" sz="1800">
              <a:solidFill>
                <a:schemeClr val="tx1">
                  <a:lumMod val="85000"/>
                  <a:lumOff val="1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28575</xdr:colOff>
      <xdr:row>0</xdr:row>
      <xdr:rowOff>0</xdr:rowOff>
    </xdr:from>
    <xdr:to>
      <xdr:col>15</xdr:col>
      <xdr:colOff>466725</xdr:colOff>
      <xdr:row>3</xdr:row>
      <xdr:rowOff>161925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5D57D7DA-C1B2-473B-B089-656C244C3E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525125" y="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9</xdr:row>
      <xdr:rowOff>76199</xdr:rowOff>
    </xdr:from>
    <xdr:to>
      <xdr:col>15</xdr:col>
      <xdr:colOff>447675</xdr:colOff>
      <xdr:row>13</xdr:row>
      <xdr:rowOff>19050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77D20B5C-8370-9AFD-278F-BB2A3D26A0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06075" y="2228849"/>
              <a:ext cx="1828800" cy="857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19050</xdr:colOff>
      <xdr:row>4</xdr:row>
      <xdr:rowOff>28575</xdr:rowOff>
    </xdr:from>
    <xdr:ext cx="1828800" cy="952500"/>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69154E9E-29D7-35BE-9EC7-1CF93AEE89D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515600" y="1228725"/>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7</xdr:col>
      <xdr:colOff>200025</xdr:colOff>
      <xdr:row>22</xdr:row>
      <xdr:rowOff>142875</xdr:rowOff>
    </xdr:from>
    <xdr:to>
      <xdr:col>16</xdr:col>
      <xdr:colOff>762000</xdr:colOff>
      <xdr:row>34</xdr:row>
      <xdr:rowOff>19050</xdr:rowOff>
    </xdr:to>
    <xdr:grpSp>
      <xdr:nvGrpSpPr>
        <xdr:cNvPr id="8" name="Group 7">
          <a:extLst>
            <a:ext uri="{FF2B5EF4-FFF2-40B4-BE49-F238E27FC236}">
              <a16:creationId xmlns:a16="http://schemas.microsoft.com/office/drawing/2014/main" id="{D71F6D47-8AEC-B5E6-1F7B-73302EF6871F}"/>
            </a:ext>
          </a:extLst>
        </xdr:cNvPr>
        <xdr:cNvGrpSpPr/>
      </xdr:nvGrpSpPr>
      <xdr:grpSpPr>
        <a:xfrm>
          <a:off x="6877050" y="5286375"/>
          <a:ext cx="7458075" cy="2933700"/>
          <a:chOff x="4981575" y="8267700"/>
          <a:chExt cx="9134475" cy="3190875"/>
        </a:xfrm>
      </xdr:grpSpPr>
      <xdr:graphicFrame macro="">
        <xdr:nvGraphicFramePr>
          <xdr:cNvPr id="6" name="Chart 5">
            <a:extLst>
              <a:ext uri="{FF2B5EF4-FFF2-40B4-BE49-F238E27FC236}">
                <a16:creationId xmlns:a16="http://schemas.microsoft.com/office/drawing/2014/main" id="{99BB2CF8-FC68-B07B-566B-F97EEA76FEAD}"/>
              </a:ext>
            </a:extLst>
          </xdr:cNvPr>
          <xdr:cNvGraphicFramePr/>
        </xdr:nvGraphicFramePr>
        <xdr:xfrm>
          <a:off x="4981575" y="8277225"/>
          <a:ext cx="4572000" cy="31813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0B38A942-A2A9-D0EC-70BB-4B3C58578E59}"/>
              </a:ext>
            </a:extLst>
          </xdr:cNvPr>
          <xdr:cNvGraphicFramePr/>
        </xdr:nvGraphicFramePr>
        <xdr:xfrm>
          <a:off x="9544050" y="8267700"/>
          <a:ext cx="4572000" cy="317182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285750</xdr:colOff>
      <xdr:row>1</xdr:row>
      <xdr:rowOff>152400</xdr:rowOff>
    </xdr:from>
    <xdr:to>
      <xdr:col>12</xdr:col>
      <xdr:colOff>552450</xdr:colOff>
      <xdr:row>16</xdr:row>
      <xdr:rowOff>38100</xdr:rowOff>
    </xdr:to>
    <xdr:graphicFrame macro="">
      <xdr:nvGraphicFramePr>
        <xdr:cNvPr id="4" name="Chart 3">
          <a:extLst>
            <a:ext uri="{FF2B5EF4-FFF2-40B4-BE49-F238E27FC236}">
              <a16:creationId xmlns:a16="http://schemas.microsoft.com/office/drawing/2014/main" id="{7FACCC5C-E1E8-57D2-70F3-1A8FA367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6889120372" backgroundQuery="1" createdVersion="8" refreshedVersion="8" minRefreshableVersion="3" recordCount="0" supportSubquery="1" supportAdvancedDrill="1" xr:uid="{3A4DF14C-487B-4CA5-8BFF-79E07F48D668}">
  <cacheSource type="external" connectionId="7"/>
  <cacheFields count="3">
    <cacheField name="[Indian_Employee_Data].[Gender].[Gender]" caption="Gender" numFmtId="0" hierarchy="2" level="1">
      <sharedItems count="3">
        <s v="Female"/>
        <s v="Male"/>
        <s v="Transgender"/>
      </sharedItems>
    </cacheField>
    <cacheField name="[Measures].[Sum of Monthly Base Salary (INR)]" caption="Sum of Monthly Base Salary (INR)" numFmtId="0" hierarchy="49" level="32767"/>
    <cacheField name="Unsupported0" numFmtId="0" hierarchy="64" level="32767">
      <extLst>
        <ext xmlns:x14="http://schemas.microsoft.com/office/spreadsheetml/2009/9/main" uri="{63CAB8AC-B538-458d-9737-405883B0398D}">
          <x14:cacheField ignore="1"/>
        </ext>
      </extLst>
    </cacheField>
  </cacheFields>
  <cacheHierarchies count="65">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0"/>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Unsupported0" caption="Employee ID" measure="1" count="0">
      <extLst>
        <ext xmlns:x14="http://schemas.microsoft.com/office/spreadsheetml/2009/9/main" uri="{8CF416AD-EC4C-4aba-99F5-12A058AE0983}">
          <x14:cacheHierarchy ignore="1"/>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87847224" backgroundQuery="1" createdVersion="8" refreshedVersion="8" minRefreshableVersion="3" recordCount="0" supportSubquery="1" supportAdvancedDrill="1" xr:uid="{A4A5C32C-7AF9-4526-942E-F1BA9BCAA648}">
  <cacheSource type="external" connectionId="7"/>
  <cacheFields count="2">
    <cacheField name="[Indian_Employee_Data].[Insurance tier].[Insurance tier]" caption="Insurance tier" numFmtId="0" hierarchy="7" level="1">
      <sharedItems count="3">
        <s v="Bronze"/>
        <s v="Gold"/>
        <s v="Silver"/>
      </sharedItems>
    </cacheField>
    <cacheField name="[Measures].[Count of Insurance tier]" caption="Count of Insurance tier" numFmtId="0" hierarchy="53"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7013889" backgroundQuery="1" createdVersion="8" refreshedVersion="8" minRefreshableVersion="3" recordCount="0" supportSubquery="1" supportAdvancedDrill="1" xr:uid="{77C083E4-831E-46F2-91E3-4AF62319F319}">
  <cacheSource type="external" connectionId="7"/>
  <cacheFields count="6">
    <cacheField name="[Measures].[Headcount]" caption="Headcount" numFmtId="0" hierarchy="41" level="32767"/>
    <cacheField name="[Measures].[Total Monthly Premium Cost]" caption="Total Monthly Premium Cost" numFmtId="0" hierarchy="42" level="32767"/>
    <cacheField name="[Measures].[Average Salary]" caption="Average Salary" numFmtId="0" hierarchy="43" level="32767"/>
    <cacheField name="[Measures].[High-Cost Employee %]" caption="High-Cost Employee %" numFmtId="0" hierarchy="44" level="32767"/>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5"/>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4"/>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oneField="1">
      <fieldsUsage count="1">
        <fieldUsage x="0"/>
      </fieldsUsage>
    </cacheHierarchy>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oneField="1">
      <fieldsUsage count="1">
        <fieldUsage x="2"/>
      </fieldsUsage>
    </cacheHierarchy>
    <cacheHierarchy uniqueName="[Measures].[High-Cost Employee %]" caption="High-Cost Employee %" measure="1" displayFolder="" measureGroup="Indian_Employee_Data" count="0" oneField="1">
      <fieldsUsage count="1">
        <fieldUsage x="3"/>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71643521" backgroundQuery="1" createdVersion="8" refreshedVersion="8" minRefreshableVersion="3" recordCount="0" supportSubquery="1" supportAdvancedDrill="1" xr:uid="{EDF3F804-2628-4761-AD2A-1ABF4517DC6C}">
  <cacheSource type="external" connectionId="7"/>
  <cacheFields count="3">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 name="[Measures].[Average of Monthly Premiums]" caption="Average of Monthly Premiums" numFmtId="0" hierarchy="57"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1"/>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0"/>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oneField="1" hidden="1">
      <fieldsUsage count="1">
        <fieldUsage x="2"/>
      </fieldsUsage>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68518519" backgroundQuery="1" createdVersion="8" refreshedVersion="8" minRefreshableVersion="3" recordCount="0" supportSubquery="1" supportAdvancedDrill="1" xr:uid="{142DFD6B-2A73-4327-A46B-2D75401FE647}">
  <cacheSource type="external" connectionId="7"/>
  <cacheFields count="3">
    <cacheField name="[Indian_Employee_Data].[Salary Tier].[Salary Tier]" caption="Salary Tier" numFmtId="0" hierarchy="10" level="1">
      <sharedItems count="4">
        <s v="Junior"/>
        <s v="Lead"/>
        <s v="Mid"/>
        <s v="Senior"/>
      </sharedItems>
    </cacheField>
    <cacheField name="[Indian_Employee_Data].[Gender].[Gender]" caption="Gender" numFmtId="0" hierarchy="2" level="1">
      <sharedItems count="2">
        <s v="Female"/>
        <s v="Male"/>
      </sharedItems>
    </cacheField>
    <cacheField name="[Measures].[Average of Monthly Base Salary (INR)]" caption="Average of Monthly Base Salary (INR)" numFmtId="0" hierarchy="50"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1"/>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66898149" backgroundQuery="1" createdVersion="8" refreshedVersion="8" minRefreshableVersion="3" recordCount="0" supportSubquery="1" supportAdvancedDrill="1" xr:uid="{C3C6D13C-1416-4BB4-AB9A-ACC9FB417F46}">
  <cacheSource type="external" connectionId="7"/>
  <cacheFields count="3">
    <cacheField name="[Indian_Employee_Data].[Department].[Department]" caption="Department" numFmtId="0" hierarchy="3" level="1">
      <sharedItems count="5">
        <s v="Finance"/>
        <s v="HR"/>
        <s v="Operations"/>
        <s v="Sales"/>
        <s v="Tech"/>
      </sharedItems>
    </cacheField>
    <cacheField name="[Indian_Employee_Data].[Salary Tier].[Salary Tier]" caption="Salary Tier" numFmtId="0" hierarchy="10" level="1">
      <sharedItems count="4">
        <s v="Junior"/>
        <s v="Lead"/>
        <s v="Mid"/>
        <s v="Senior"/>
      </sharedItems>
    </cacheField>
    <cacheField name="[Measures].[Gender Pay Gap]" caption="Gender Pay Gap" numFmtId="0" hierarchy="39"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0"/>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oneField="1">
      <fieldsUsage count="1">
        <fieldUsage x="2"/>
      </fieldsUsage>
    </cacheHierarchy>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50694446" backgroundQuery="1" createdVersion="8" refreshedVersion="8" minRefreshableVersion="3" recordCount="0" supportSubquery="1" supportAdvancedDrill="1" xr:uid="{21B59613-00A8-4E07-8403-63C8A55243AD}">
  <cacheSource type="external" connectionId="7"/>
  <cacheFields count="5">
    <cacheField name="[Indian_Employee_Data].[Insurance tier].[Insurance tier]" caption="Insurance tier" numFmtId="0" hierarchy="7" level="1">
      <sharedItems count="3">
        <s v="Bronze"/>
        <s v="Gold"/>
        <s v="Silver"/>
      </sharedItems>
    </cacheField>
    <cacheField name="[Measures].[Count of Insurance tier]" caption="Count of Insurance tier" numFmtId="0" hierarchy="53" level="32767"/>
    <cacheField name="[Indian_Employee_Data].[Location].[Location]" caption="Location" numFmtId="0" hierarchy="4" level="1">
      <sharedItems containsSemiMixedTypes="0" containsNonDate="0" containsString="0"/>
    </cacheField>
    <cacheField name="[Indian_Employee_Data].[Gender].[Gender]" caption="Gender" numFmtId="0" hierarchy="2" level="1">
      <sharedItems containsSemiMixedTypes="0" containsNonDate="0" containsString="0"/>
    </cacheField>
    <cacheField name="[Indian_Employee_Data].[Department].[Department]" caption="Department" numFmtId="0" hierarchy="3" level="1">
      <sharedItems containsSemiMixedTypes="0" containsNonDate="0" containsString="0"/>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4"/>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46874997" backgroundQuery="1" createdVersion="8" refreshedVersion="8" minRefreshableVersion="3" recordCount="0" supportSubquery="1" supportAdvancedDrill="1" xr:uid="{4B0A4995-BAA3-44EC-8698-D182915470AC}">
  <cacheSource type="external" connectionId="7"/>
  <cacheFields count="5">
    <cacheField name="[Indian_Employee_Data].[Corporate Benefit Plan].[Corporate Benefit Plan]" caption="Corporate Benefit Plan" numFmtId="0" hierarchy="6" level="1">
      <sharedItems count="3">
        <s v="Family Floater"/>
        <s v="Individual"/>
        <s v="Parents Included"/>
      </sharedItems>
    </cacheField>
    <cacheField name="[Measures].[Total Monthly Premium Cost]" caption="Total Monthly Premium Cost" numFmtId="0" hierarchy="42" level="32767"/>
    <cacheField name="[Indian_Employee_Data].[Location].[Location]" caption="Location" numFmtId="0" hierarchy="4" level="1">
      <sharedItems containsSemiMixedTypes="0" containsNonDate="0" containsString="0"/>
    </cacheField>
    <cacheField name="[Indian_Employee_Data].[Gender].[Gender]" caption="Gender" numFmtId="0" hierarchy="2" level="1">
      <sharedItems containsSemiMixedTypes="0" containsNonDate="0" containsString="0"/>
    </cacheField>
    <cacheField name="[Indian_Employee_Data].[Department].[Department]" caption="Department" numFmtId="0" hierarchy="3" level="1">
      <sharedItems containsSemiMixedTypes="0" containsNonDate="0" containsString="0"/>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4"/>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fieldsUsage count="2">
        <fieldUsage x="-1"/>
        <fieldUsage x="0"/>
      </fieldsUsage>
    </cacheHierarchy>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5428241" backgroundQuery="1" createdVersion="8" refreshedVersion="8" minRefreshableVersion="3" recordCount="0" supportSubquery="1" supportAdvancedDrill="1" xr:uid="{2BA6AFC5-5287-4090-8D72-4F871947FE25}">
  <cacheSource type="external" connectionId="7"/>
  <cacheFields count="5">
    <cacheField name="[Measures].[Count of Insurance tier]" caption="Count of Insurance tier" numFmtId="0" hierarchy="53" level="32767"/>
    <cacheField name="[Indian_Employee_Data].[Corporate Benefit Plan].[Corporate Benefit Plan]" caption="Corporate Benefit Plan" numFmtId="0" hierarchy="6" level="1">
      <sharedItems count="3">
        <s v="Family Floater"/>
        <s v="Individual"/>
        <s v="Parents Included"/>
      </sharedItems>
    </cacheField>
    <cacheField name="[Indian_Employee_Data].[Location].[Location]" caption="Location" numFmtId="0" hierarchy="4" level="1">
      <sharedItems containsSemiMixedTypes="0" containsNonDate="0" containsString="0"/>
    </cacheField>
    <cacheField name="[Indian_Employee_Data].[Gender].[Gender]" caption="Gender" numFmtId="0" hierarchy="2" level="1">
      <sharedItems containsSemiMixedTypes="0" containsNonDate="0" containsString="0"/>
    </cacheField>
    <cacheField name="[Indian_Employee_Data].[Department].[Department]" caption="Department" numFmtId="0" hierarchy="3" level="1">
      <sharedItems containsSemiMixedTypes="0" containsNonDate="0" containsString="0"/>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4"/>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fieldsUsage count="2">
        <fieldUsage x="-1"/>
        <fieldUsage x="1"/>
      </fieldsUsage>
    </cacheHierarchy>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56828704" backgroundQuery="1" createdVersion="8" refreshedVersion="8" minRefreshableVersion="3" recordCount="0" supportSubquery="1" supportAdvancedDrill="1" xr:uid="{3FE0D42A-B791-48EA-A385-2D59064E421D}">
  <cacheSource type="external" connectionId="7"/>
  <cacheFields count="5">
    <cacheField name="[Indian_Employee_Data].[Salary Tier].[Salary Tier]" caption="Salary Tier" numFmtId="0" hierarchy="10" level="1">
      <sharedItems count="4">
        <s v="Junior"/>
        <s v="Lead"/>
        <s v="Mid"/>
        <s v="Senior"/>
      </sharedItems>
    </cacheField>
    <cacheField name="[Indian_Employee_Data].[Gender].[Gender]" caption="Gender" numFmtId="0" hierarchy="2" level="1">
      <sharedItems count="2">
        <s v="Female"/>
        <s v="Male"/>
      </sharedItems>
    </cacheField>
    <cacheField name="[Measures].[Average of Monthly Base Salary (INR)]" caption="Average of Monthly Base Salary (INR)" numFmtId="0" hierarchy="50" level="32767"/>
    <cacheField name="[Indian_Employee_Data].[Location].[Location]" caption="Location" numFmtId="0" hierarchy="4" level="1">
      <sharedItems containsSemiMixedTypes="0" containsNonDate="0" containsString="0"/>
    </cacheField>
    <cacheField name="[Indian_Employee_Data].[Department].[Department]" caption="Department" numFmtId="0" hierarchy="3" level="1">
      <sharedItems containsSemiMixedTypes="0" containsNonDate="0" containsString="0"/>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1"/>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4"/>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3"/>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59606482" backgroundQuery="1" createdVersion="8" refreshedVersion="8" minRefreshableVersion="3" recordCount="0" supportSubquery="1" supportAdvancedDrill="1" xr:uid="{6923EA2F-CB55-448A-BA5C-54FEEED0B218}">
  <cacheSource type="external" connectionId="7"/>
  <cacheFields count="4">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 name="[Measures].[High-Cost Employee %]" caption="High-Cost Employee %" numFmtId="0" hierarchy="44" level="32767"/>
    <cacheField name="[Indian_Employee_Data].[Gender].[Gender]" caption="Gender" numFmtId="0" hierarchy="2" level="1">
      <sharedItems containsSemiMixedTypes="0" containsNonDate="0" containsString="0"/>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1"/>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0"/>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oneField="1">
      <fieldsUsage count="1">
        <fieldUsage x="2"/>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65046294" backgroundQuery="1" createdVersion="8" refreshedVersion="8" minRefreshableVersion="3" recordCount="0" supportSubquery="1" supportAdvancedDrill="1" xr:uid="{A699AAF8-9958-4770-A110-13D456D6FDB6}">
  <cacheSource type="external" connectionId="7"/>
  <cacheFields count="6">
    <cacheField name="[Measures].[Headcount]" caption="Headcount" numFmtId="0" hierarchy="41" level="32767"/>
    <cacheField name="[Measures].[Total Monthly Premium Cost]" caption="Total Monthly Premium Cost" numFmtId="0" hierarchy="42" level="32767"/>
    <cacheField name="[Measures].[Average Salary]" caption="Average Salary" numFmtId="0" hierarchy="43" level="32767"/>
    <cacheField name="[Measures].[High-Cost Employee %]" caption="High-Cost Employee %" numFmtId="0" hierarchy="44" level="32767"/>
    <cacheField name="[Indian_Employee_Data].[Vendor Global Group Name].[Vendor Global Group Name]" caption="Vendor Global Group Name" numFmtId="0" hierarchy="12" level="1">
      <sharedItems count="5">
        <s v="Core Operations Specialist"/>
        <s v="Corporate Finance Core"/>
        <s v="Corporate Talent Admin"/>
        <s v="Field Sales Execution"/>
        <s v="High-Value Technical Core"/>
      </sharedItems>
    </cacheField>
    <cacheField name="[Indian_Employee_Data].[Vendor Survey Job Code].[Vendor Survey Job Code]" caption="Vendor Survey Job Code" numFmtId="0" hierarchy="11" level="1">
      <sharedItems count="5">
        <s v="IN-OPS-02"/>
        <s v="IN-FIN-03"/>
        <s v="IN-HR-02"/>
        <s v="IN-SLS-01"/>
        <s v="IN-TECH-04"/>
      </sharedItems>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2" memberValueDatatype="130" unbalanced="0">
      <fieldsUsage count="2">
        <fieldUsage x="-1"/>
        <fieldUsage x="5"/>
      </fieldsUsage>
    </cacheHierarchy>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2" memberValueDatatype="130" unbalanced="0">
      <fieldsUsage count="2">
        <fieldUsage x="-1"/>
        <fieldUsage x="4"/>
      </fieldsUsage>
    </cacheHierarchy>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oneField="1">
      <fieldsUsage count="1">
        <fieldUsage x="0"/>
      </fieldsUsage>
    </cacheHierarchy>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oneField="1">
      <fieldsUsage count="1">
        <fieldUsage x="2"/>
      </fieldsUsage>
    </cacheHierarchy>
    <cacheHierarchy uniqueName="[Measures].[High-Cost Employee %]" caption="High-Cost Employee %" measure="1" displayFolder="" measureGroup="Indian_Employee_Data" count="0" oneField="1">
      <fieldsUsage count="1">
        <fieldUsage x="3"/>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3.001994328704" backgroundQuery="1" createdVersion="8" refreshedVersion="8" minRefreshableVersion="3" recordCount="0" supportSubquery="1" supportAdvancedDrill="1" xr:uid="{B559B0A3-80CE-4803-9627-F47BE72557FB}">
  <cacheSource type="external" connectionId="7"/>
  <cacheFields count="4">
    <cacheField name="[Indian_Employee_Data].[Gender].[Gender]" caption="Gender" numFmtId="0" hierarchy="2" level="1">
      <sharedItems count="2">
        <s v="Female"/>
        <s v="Male"/>
      </sharedItems>
    </cacheField>
    <cacheField name="[Indian_Employee_Data].[Salary Tier].[Salary Tier]" caption="Salary Tier" numFmtId="0" hierarchy="10" level="1">
      <sharedItems count="4">
        <s v="Junior"/>
        <s v="Lead"/>
        <s v="Mid"/>
        <s v="Senior"/>
      </sharedItems>
    </cacheField>
    <cacheField name="[Measures].[Average Salary]" caption="Average Salary" numFmtId="0" hierarchy="43" level="32767"/>
    <cacheField name="[Measures].[Count of Monthly Base Salary (INR)]" caption="Count of Monthly Base Salary (INR)" numFmtId="0" hierarchy="63"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0"/>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oneField="1">
      <fieldsUsage count="1">
        <fieldUsage x="2"/>
      </fieldsUsage>
    </cacheHierarchy>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4.990374537039" backgroundQuery="1" createdVersion="8" refreshedVersion="8" minRefreshableVersion="3" recordCount="0" supportSubquery="1" supportAdvancedDrill="1" xr:uid="{5F33FEA1-2800-4292-9EF4-72010EE54842}">
  <cacheSource type="external" connectionId="7"/>
  <cacheFields count="4">
    <cacheField name="[Indian_Employee_Data].[Department].[Department]" caption="Department" numFmtId="0" hierarchy="3" level="1">
      <sharedItems count="5">
        <s v="Finance"/>
        <s v="HR"/>
        <s v="Operations"/>
        <s v="Sales"/>
        <s v="Tech"/>
      </sharedItems>
    </cacheField>
    <cacheField name="[Indian_Employee_Data].[Salary Tier].[Salary Tier]" caption="Salary Tier" numFmtId="0" hierarchy="10" level="1">
      <sharedItems count="4">
        <s v="Junior"/>
        <s v="Lead"/>
        <s v="Mid"/>
        <s v="Senior"/>
      </sharedItems>
    </cacheField>
    <cacheField name="[Measures].[Count of Department]" caption="Count of Department" numFmtId="0" hierarchy="51" level="32767"/>
    <cacheField name="[Indian_Employee_Data].[Gender].[Gender]" caption="Gender" numFmtId="0" hierarchy="2" level="1">
      <sharedItems count="3">
        <s v="Female"/>
        <s v="Male"/>
        <s v="Transgender"/>
      </sharedItems>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0"/>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4.990472685182" backgroundQuery="1" createdVersion="8" refreshedVersion="8" minRefreshableVersion="3" recordCount="0" supportSubquery="1" supportAdvancedDrill="1" xr:uid="{F8116D4D-07C1-44AF-8927-D106D5ECBAA9}">
  <cacheSource type="external" connectionId="7"/>
  <cacheFields count="4">
    <cacheField name="[Indian_Employee_Data].[Salary Tier].[Salary Tier]" caption="Salary Tier" numFmtId="0" hierarchy="10" level="1">
      <sharedItems count="4">
        <s v="Junior"/>
        <s v="Lead"/>
        <s v="Mid"/>
        <s v="Senior"/>
      </sharedItems>
    </cacheField>
    <cacheField name="[Measures].[Count of Department]" caption="Count of Department" numFmtId="0" hierarchy="51" level="32767"/>
    <cacheField name="[Indian_Employee_Data].[Gender].[Gender]" caption="Gender" numFmtId="0" hierarchy="2" level="1">
      <sharedItems count="3">
        <s v="Female"/>
        <s v="Male"/>
        <s v="Transgender"/>
      </sharedItems>
    </cacheField>
    <cacheField name="[Indian_Employee_Data].[Location].[Location]" caption="Location" numFmtId="0" hierarchy="4" level="1">
      <sharedItems count="4">
        <s v="Bengaluru"/>
        <s v="Gurugram"/>
        <s v="Hyderabad"/>
        <s v="Noida"/>
      </sharedItems>
    </cacheField>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2"/>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3"/>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4.993006365738" backgroundQuery="1" createdVersion="8" refreshedVersion="8" minRefreshableVersion="3" recordCount="0" supportSubquery="1" supportAdvancedDrill="1" xr:uid="{45F19A8C-25CE-4AB0-BDF7-E010E62F5B20}">
  <cacheSource type="external" connectionId="7"/>
  <cacheFields count="4">
    <cacheField name="[Indian_Employee_Data].[Salary Tier].[Salary Tier]" caption="Salary Tier" numFmtId="0" hierarchy="10" level="1">
      <sharedItems count="4">
        <s v="Junior"/>
        <s v="Lead"/>
        <s v="Mid"/>
        <s v="Senior"/>
      </sharedItems>
    </cacheField>
    <cacheField name="[Measures].[Max of Monthly Base Salary (INR)]" caption="Max of Monthly Base Salary (INR)" numFmtId="0" hierarchy="54" level="32767"/>
    <cacheField name="[Indian_Employee_Data].[Department].[Department]" caption="Department" numFmtId="0" hierarchy="3" level="1">
      <sharedItems count="5">
        <s v="Finance"/>
        <s v="HR"/>
        <s v="Operations"/>
        <s v="Sales"/>
        <s v="Tech"/>
      </sharedItems>
    </cacheField>
    <cacheField name="[Measures].[Min of Monthly Base Salary (INR)]" caption="Min of Monthly Base Salary (INR)" numFmtId="0" hierarchy="55" level="32767"/>
  </cacheFields>
  <cacheHierarchies count="64">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2"/>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hidden="1">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4.993941898145" backgroundQuery="1" createdVersion="8" refreshedVersion="8" minRefreshableVersion="3" recordCount="0" supportSubquery="1" supportAdvancedDrill="1" xr:uid="{E75FE09B-7D5D-4174-8A6D-7457FE9D3E79}">
  <cacheSource type="external" connectionId="7"/>
  <cacheFields count="6">
    <cacheField name="[Indian_Employee_Data].[Salary Tier].[Salary Tier]" caption="Salary Tier" numFmtId="0" hierarchy="10" level="1">
      <sharedItems count="4">
        <s v="Junior"/>
        <s v="Lead"/>
        <s v="Mid"/>
        <s v="Senior"/>
      </sharedItems>
    </cacheField>
    <cacheField name="[Measures].[Sum of Monthly Base Salary (INR)]" caption="Sum of Monthly Base Salary (INR)" numFmtId="0" hierarchy="49" level="32767"/>
    <cacheField name="[Measures].[Count of Gender]" caption="Count of Gender" numFmtId="0" hierarchy="62" level="32767"/>
    <cacheField name="[Indian_Employee_Data].[Gender].[Gender]" caption="Gender" numFmtId="0" hierarchy="2" level="1">
      <sharedItems count="3">
        <s v="Female"/>
        <s v="Male"/>
        <s v="Transgender"/>
      </sharedItems>
    </cacheField>
    <cacheField name="Unsupported0" numFmtId="0" hierarchy="64" level="32767">
      <extLst>
        <ext xmlns:x14="http://schemas.microsoft.com/office/spreadsheetml/2009/9/main" uri="{63CAB8AC-B538-458d-9737-405883B0398D}">
          <x14:cacheField ignore="1"/>
        </ext>
      </extLst>
    </cacheField>
    <cacheField name="Unsupported1" numFmtId="0" hierarchy="65" level="32767">
      <extLst>
        <ext xmlns:x14="http://schemas.microsoft.com/office/spreadsheetml/2009/9/main" uri="{63CAB8AC-B538-458d-9737-405883B0398D}">
          <x14:cacheField ignore="1"/>
        </ext>
      </extLst>
    </cacheField>
  </cacheFields>
  <cacheHierarchies count="66">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Indian_Employee_Data"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Monthly Base Salary (INR)]" caption="Count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Unsupported0" caption="Employee ID" measure="1" count="0">
      <extLst>
        <ext xmlns:x14="http://schemas.microsoft.com/office/spreadsheetml/2009/9/main" uri="{8CF416AD-EC4C-4aba-99F5-12A058AE0983}">
          <x14:cacheHierarchy ignore="1"/>
        </ext>
      </extLst>
    </cacheHierarchy>
    <cacheHierarchy uniqueName="Unsupported1" caption="Employee ID" measure="1" count="0">
      <extLst>
        <ext xmlns:x14="http://schemas.microsoft.com/office/spreadsheetml/2009/9/main" uri="{8CF416AD-EC4C-4aba-99F5-12A058AE0983}">
          <x14:cacheHierarchy ignore="1"/>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2.834842013886" backgroundQuery="1" createdVersion="3" refreshedVersion="8" minRefreshableVersion="3" recordCount="0" supportSubquery="1" supportAdvancedDrill="1" xr:uid="{F0E34C39-40EC-49FC-B464-0EB533284C1E}">
  <cacheSource type="external" connectionId="7">
    <extLst>
      <ext xmlns:x14="http://schemas.microsoft.com/office/spreadsheetml/2009/9/main" uri="{F057638F-6D5F-4e77-A914-E7F072B9BCA8}">
        <x14:sourceConnection name="ThisWorkbookDataModel"/>
      </ext>
    </extLst>
  </cacheSource>
  <cacheFields count="0"/>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009441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3FC1D-ECF5-47B6-A0CC-23CF66C84764}" name="Plan mix by tier" cacheId="16" applyNumberFormats="0" applyBorderFormats="0" applyFontFormats="0" applyPatternFormats="0" applyAlignmentFormats="0" applyWidthHeightFormats="1" dataCaption="Values" tag="15edf32e-dff6-49c9-ae2a-faefe8f43788" updatedVersion="8" minRefreshableVersion="3" useAutoFormatting="1" subtotalHiddenItems="1" itemPrintTitles="1" createdVersion="8" indent="0" outline="1" outlineData="1" multipleFieldFilters="0" chartFormat="24" rowHeaderCaption="Insurance Tier" colHeaderCaption="Salary Band">
  <location ref="H9:I13"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nsurance tier" fld="1" subtotal="count" baseField="0" baseItem="0"/>
  </dataFields>
  <formats count="18">
    <format dxfId="976">
      <pivotArea type="all" dataOnly="0" outline="0" fieldPosition="0"/>
    </format>
    <format dxfId="977">
      <pivotArea outline="0" collapsedLevelsAreSubtotals="1" fieldPosition="0"/>
    </format>
    <format dxfId="978">
      <pivotArea field="0" type="button" dataOnly="0" labelOnly="1" outline="0" axis="axisRow" fieldPosition="0"/>
    </format>
    <format dxfId="979">
      <pivotArea dataOnly="0" labelOnly="1" fieldPosition="0">
        <references count="1">
          <reference field="0" count="0"/>
        </references>
      </pivotArea>
    </format>
    <format dxfId="980">
      <pivotArea dataOnly="0" labelOnly="1" grandRow="1" outline="0" fieldPosition="0"/>
    </format>
    <format dxfId="981">
      <pivotArea dataOnly="0" labelOnly="1" outline="0" axis="axisValues" fieldPosition="0"/>
    </format>
    <format dxfId="982">
      <pivotArea type="all" dataOnly="0" outline="0" fieldPosition="0"/>
    </format>
    <format dxfId="983">
      <pivotArea outline="0" collapsedLevelsAreSubtotals="1" fieldPosition="0"/>
    </format>
    <format dxfId="984">
      <pivotArea field="0" type="button" dataOnly="0" labelOnly="1" outline="0" axis="axisRow" fieldPosition="0"/>
    </format>
    <format dxfId="985">
      <pivotArea dataOnly="0" labelOnly="1" fieldPosition="0">
        <references count="1">
          <reference field="0" count="0"/>
        </references>
      </pivotArea>
    </format>
    <format dxfId="986">
      <pivotArea dataOnly="0" labelOnly="1" grandRow="1" outline="0" fieldPosition="0"/>
    </format>
    <format dxfId="987">
      <pivotArea dataOnly="0" labelOnly="1" outline="0" axis="axisValues" fieldPosition="0"/>
    </format>
    <format dxfId="882">
      <pivotArea type="all" dataOnly="0" outline="0" fieldPosition="0"/>
    </format>
    <format dxfId="881">
      <pivotArea outline="0" collapsedLevelsAreSubtotals="1" fieldPosition="0"/>
    </format>
    <format dxfId="880">
      <pivotArea field="0" type="button" dataOnly="0" labelOnly="1" outline="0" axis="axisRow" fieldPosition="0"/>
    </format>
    <format dxfId="879">
      <pivotArea dataOnly="0" labelOnly="1" fieldPosition="0">
        <references count="1">
          <reference field="0" count="0"/>
        </references>
      </pivotArea>
    </format>
    <format dxfId="878">
      <pivotArea dataOnly="0" labelOnly="1" grandRow="1" outline="0" fieldPosition="0"/>
    </format>
    <format dxfId="877">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0" count="1" selected="0">
            <x v="0"/>
          </reference>
        </references>
      </pivotArea>
    </chartFormat>
    <chartFormat chart="16" format="19">
      <pivotArea type="data" outline="0" fieldPosition="0">
        <references count="2">
          <reference field="4294967294" count="1" selected="0">
            <x v="0"/>
          </reference>
          <reference field="0" count="1" selected="0">
            <x v="1"/>
          </reference>
        </references>
      </pivotArea>
    </chartFormat>
    <chartFormat chart="16" format="20">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C250D-2826-42C4-99BC-75ECDC2E35F0}" name="Benefit plan mix" cacheId="17" applyNumberFormats="0" applyBorderFormats="0" applyFontFormats="0" applyPatternFormats="0" applyAlignmentFormats="0" applyWidthHeightFormats="1" dataCaption="Values" tag="e3cef267-f8f2-4d1e-a4f5-37fba32d6eef" updatedVersion="8" minRefreshableVersion="3" useAutoFormatting="1" subtotalHiddenItems="1" itemPrintTitles="1" createdVersion="8" indent="0" outline="1" outlineData="1" multipleFieldFilters="0" chartFormat="6" rowHeaderCaption="Insurance Tier" colHeaderCaption="Salary Band">
  <location ref="H15:I19" firstHeaderRow="1" firstDataRow="1" firstDataCol="1"/>
  <pivotFields count="5">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8">
    <format dxfId="964">
      <pivotArea type="all" dataOnly="0" outline="0" fieldPosition="0"/>
    </format>
    <format dxfId="965">
      <pivotArea outline="0" collapsedLevelsAreSubtotals="1" fieldPosition="0"/>
    </format>
    <format dxfId="966">
      <pivotArea field="0" type="button" dataOnly="0" labelOnly="1" outline="0" axis="axisRow" fieldPosition="0"/>
    </format>
    <format dxfId="967">
      <pivotArea dataOnly="0" labelOnly="1" fieldPosition="0">
        <references count="1">
          <reference field="0" count="0"/>
        </references>
      </pivotArea>
    </format>
    <format dxfId="968">
      <pivotArea dataOnly="0" labelOnly="1" grandRow="1" outline="0" fieldPosition="0"/>
    </format>
    <format dxfId="969">
      <pivotArea dataOnly="0" labelOnly="1" outline="0" axis="axisValues" fieldPosition="0"/>
    </format>
    <format dxfId="970">
      <pivotArea type="all" dataOnly="0" outline="0" fieldPosition="0"/>
    </format>
    <format dxfId="971">
      <pivotArea outline="0" collapsedLevelsAreSubtotals="1" fieldPosition="0"/>
    </format>
    <format dxfId="972">
      <pivotArea field="0" type="button" dataOnly="0" labelOnly="1" outline="0" axis="axisRow" fieldPosition="0"/>
    </format>
    <format dxfId="973">
      <pivotArea dataOnly="0" labelOnly="1" fieldPosition="0">
        <references count="1">
          <reference field="0" count="0"/>
        </references>
      </pivotArea>
    </format>
    <format dxfId="974">
      <pivotArea dataOnly="0" labelOnly="1" grandRow="1" outline="0" fieldPosition="0"/>
    </format>
    <format dxfId="975">
      <pivotArea dataOnly="0" labelOnly="1" outline="0" axis="axisValues" fieldPosition="0"/>
    </format>
    <format dxfId="876">
      <pivotArea type="all" dataOnly="0" outline="0" fieldPosition="0"/>
    </format>
    <format dxfId="875">
      <pivotArea outline="0" collapsedLevelsAreSubtotals="1" fieldPosition="0"/>
    </format>
    <format dxfId="874">
      <pivotArea field="0" type="button" dataOnly="0" labelOnly="1" outline="0" axis="axisRow" fieldPosition="0"/>
    </format>
    <format dxfId="873">
      <pivotArea dataOnly="0" labelOnly="1" fieldPosition="0">
        <references count="1">
          <reference field="0" count="0"/>
        </references>
      </pivotArea>
    </format>
    <format dxfId="872">
      <pivotArea dataOnly="0" labelOnly="1" grandRow="1" outline="0" fieldPosition="0"/>
    </format>
    <format dxfId="871">
      <pivotArea dataOnly="0" labelOnly="1" outline="0" axis="axisValues" fieldPosition="0"/>
    </format>
  </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508681-1BDF-45D9-B283-38DEA3BFE581}" name="Benefit Plans" cacheId="18" applyNumberFormats="0" applyBorderFormats="0" applyFontFormats="0" applyPatternFormats="0" applyAlignmentFormats="0" applyWidthHeightFormats="1" dataCaption="Values" tag="15edf32e-dff6-49c9-ae2a-faefe8f43788" updatedVersion="8" minRefreshableVersion="3" useAutoFormatting="1" subtotalHiddenItems="1" itemPrintTitles="1" createdVersion="8" indent="0" outline="1" outlineData="1" multipleFieldFilters="0" chartFormat="38" rowHeaderCaption="Benefit Plan" colHeaderCaption="Salary Band">
  <location ref="K9:L13"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fld="0" subtotal="count" baseField="0" baseItem="0"/>
  </dataFields>
  <formats count="18">
    <format dxfId="952">
      <pivotArea type="all" dataOnly="0" outline="0" fieldPosition="0"/>
    </format>
    <format dxfId="953">
      <pivotArea outline="0" collapsedLevelsAreSubtotals="1" fieldPosition="0"/>
    </format>
    <format dxfId="954">
      <pivotArea field="1" type="button" dataOnly="0" labelOnly="1" outline="0" axis="axisRow" fieldPosition="0"/>
    </format>
    <format dxfId="955">
      <pivotArea dataOnly="0" labelOnly="1" fieldPosition="0">
        <references count="1">
          <reference field="1" count="0"/>
        </references>
      </pivotArea>
    </format>
    <format dxfId="956">
      <pivotArea dataOnly="0" labelOnly="1" grandRow="1" outline="0" fieldPosition="0"/>
    </format>
    <format dxfId="957">
      <pivotArea dataOnly="0" labelOnly="1" outline="0" axis="axisValues" fieldPosition="0"/>
    </format>
    <format dxfId="958">
      <pivotArea type="all" dataOnly="0" outline="0" fieldPosition="0"/>
    </format>
    <format dxfId="959">
      <pivotArea outline="0" collapsedLevelsAreSubtotals="1" fieldPosition="0"/>
    </format>
    <format dxfId="960">
      <pivotArea field="1" type="button" dataOnly="0" labelOnly="1" outline="0" axis="axisRow" fieldPosition="0"/>
    </format>
    <format dxfId="961">
      <pivotArea dataOnly="0" labelOnly="1" fieldPosition="0">
        <references count="1">
          <reference field="1" count="0"/>
        </references>
      </pivotArea>
    </format>
    <format dxfId="962">
      <pivotArea dataOnly="0" labelOnly="1" grandRow="1" outline="0" fieldPosition="0"/>
    </format>
    <format dxfId="963">
      <pivotArea dataOnly="0" labelOnly="1" outline="0" axis="axisValues" fieldPosition="0"/>
    </format>
    <format dxfId="888">
      <pivotArea type="all" dataOnly="0" outline="0" fieldPosition="0"/>
    </format>
    <format dxfId="887">
      <pivotArea outline="0" collapsedLevelsAreSubtotals="1" fieldPosition="0"/>
    </format>
    <format dxfId="886">
      <pivotArea field="1" type="button" dataOnly="0" labelOnly="1" outline="0" axis="axisRow" fieldPosition="0"/>
    </format>
    <format dxfId="885">
      <pivotArea dataOnly="0" labelOnly="1" fieldPosition="0">
        <references count="1">
          <reference field="1" count="0"/>
        </references>
      </pivotArea>
    </format>
    <format dxfId="884">
      <pivotArea dataOnly="0" labelOnly="1" grandRow="1" outline="0" fieldPosition="0"/>
    </format>
    <format dxfId="88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551A7-4BAD-479E-A25E-56599883A594}" name="Gender pay gap by salary band" cacheId="19" applyNumberFormats="0" applyBorderFormats="0" applyFontFormats="0" applyPatternFormats="0" applyAlignmentFormats="0" applyWidthHeightFormats="1" dataCaption="Values" tag="11821c9f-de00-44c0-b844-c689420d9247" updatedVersion="8" minRefreshableVersion="3" subtotalHiddenItems="1" colGrandTotals="0" itemPrintTitles="1" createdVersion="8" indent="0" outline="1" outlineData="1" multipleFieldFilters="0" chartFormat="6" rowHeaderCaption="Salary Band" colHeaderCaption="Gender">
  <location ref="A10:C16" firstHeaderRow="1" firstDataRow="2" firstDataCol="1"/>
  <pivotFields count="5">
    <pivotField axis="axisRow" allDrilled="1" subtotalTop="0" showAll="0" defaultSubtotal="0" defaultAttributeDrillState="1">
      <items count="4">
        <item x="0"/>
        <item x="2"/>
        <item x="3"/>
        <item x="1"/>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x v="1"/>
    </i>
  </colItems>
  <dataFields count="1">
    <dataField name="Avg monthly salary" fld="2" subtotal="average" baseField="0" baseItem="0" numFmtId="165"/>
  </dataFields>
  <formats count="29">
    <format dxfId="932">
      <pivotArea outline="0" collapsedLevelsAreSubtotals="1" fieldPosition="0"/>
    </format>
    <format dxfId="933">
      <pivotArea outline="0" fieldPosition="0">
        <references count="1">
          <reference field="4294967294" count="1">
            <x v="0"/>
          </reference>
        </references>
      </pivotArea>
    </format>
    <format dxfId="934">
      <pivotArea type="all" dataOnly="0" outline="0" fieldPosition="0"/>
    </format>
    <format dxfId="935">
      <pivotArea outline="0" collapsedLevelsAreSubtotals="1" fieldPosition="0"/>
    </format>
    <format dxfId="936">
      <pivotArea type="origin" dataOnly="0" labelOnly="1" outline="0" fieldPosition="0"/>
    </format>
    <format dxfId="937">
      <pivotArea field="1" type="button" dataOnly="0" labelOnly="1" outline="0" axis="axisCol" fieldPosition="0"/>
    </format>
    <format dxfId="938">
      <pivotArea type="topRight" dataOnly="0" labelOnly="1" outline="0" fieldPosition="0"/>
    </format>
    <format dxfId="939">
      <pivotArea field="0" type="button" dataOnly="0" labelOnly="1" outline="0" axis="axisRow" fieldPosition="0"/>
    </format>
    <format dxfId="940">
      <pivotArea dataOnly="0" labelOnly="1" fieldPosition="0">
        <references count="1">
          <reference field="0" count="0"/>
        </references>
      </pivotArea>
    </format>
    <format dxfId="941">
      <pivotArea dataOnly="0" labelOnly="1" grandRow="1" outline="0" fieldPosition="0"/>
    </format>
    <format dxfId="942">
      <pivotArea dataOnly="0" labelOnly="1" fieldPosition="0">
        <references count="1">
          <reference field="1" count="0"/>
        </references>
      </pivotArea>
    </format>
    <format dxfId="943">
      <pivotArea type="all" dataOnly="0" outline="0" fieldPosition="0"/>
    </format>
    <format dxfId="944">
      <pivotArea outline="0" collapsedLevelsAreSubtotals="1" fieldPosition="0"/>
    </format>
    <format dxfId="945">
      <pivotArea type="origin" dataOnly="0" labelOnly="1" outline="0" fieldPosition="0"/>
    </format>
    <format dxfId="946">
      <pivotArea field="1" type="button" dataOnly="0" labelOnly="1" outline="0" axis="axisCol" fieldPosition="0"/>
    </format>
    <format dxfId="947">
      <pivotArea type="topRight" dataOnly="0" labelOnly="1" outline="0" fieldPosition="0"/>
    </format>
    <format dxfId="948">
      <pivotArea field="0" type="button" dataOnly="0" labelOnly="1" outline="0" axis="axisRow" fieldPosition="0"/>
    </format>
    <format dxfId="949">
      <pivotArea dataOnly="0" labelOnly="1" fieldPosition="0">
        <references count="1">
          <reference field="0" count="0"/>
        </references>
      </pivotArea>
    </format>
    <format dxfId="950">
      <pivotArea dataOnly="0" labelOnly="1" grandRow="1" outline="0" fieldPosition="0"/>
    </format>
    <format dxfId="951">
      <pivotArea dataOnly="0" labelOnly="1" fieldPosition="0">
        <references count="1">
          <reference field="1" count="0"/>
        </references>
      </pivotArea>
    </format>
    <format dxfId="870">
      <pivotArea type="all" dataOnly="0" outline="0" fieldPosition="0"/>
    </format>
    <format dxfId="869">
      <pivotArea outline="0" collapsedLevelsAreSubtotals="1" fieldPosition="0"/>
    </format>
    <format dxfId="868">
      <pivotArea type="origin" dataOnly="0" labelOnly="1" outline="0" fieldPosition="0"/>
    </format>
    <format dxfId="867">
      <pivotArea field="1" type="button" dataOnly="0" labelOnly="1" outline="0" axis="axisCol" fieldPosition="0"/>
    </format>
    <format dxfId="866">
      <pivotArea type="topRight" dataOnly="0" labelOnly="1" outline="0" fieldPosition="0"/>
    </format>
    <format dxfId="865">
      <pivotArea field="0" type="button" dataOnly="0" labelOnly="1" outline="0" axis="axisRow" fieldPosition="0"/>
    </format>
    <format dxfId="864">
      <pivotArea dataOnly="0" labelOnly="1" fieldPosition="0">
        <references count="1">
          <reference field="0" count="0"/>
        </references>
      </pivotArea>
    </format>
    <format dxfId="863">
      <pivotArea dataOnly="0" labelOnly="1" grandRow="1" outline="0" fieldPosition="0"/>
    </format>
    <format dxfId="862">
      <pivotArea dataOnly="0" labelOnly="1" fieldPosition="0">
        <references count="1">
          <reference field="1" count="0"/>
        </references>
      </pivotArea>
    </format>
  </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F97F05-30B3-4E0F-AAF7-994759044024}" name="High-cost % by department x location" cacheId="20" applyNumberFormats="0" applyBorderFormats="0" applyFontFormats="0" applyPatternFormats="0" applyAlignmentFormats="0" applyWidthHeightFormats="1" dataCaption="Values" tag="1b76a591-1284-4bd3-aab4-21e5b7b4f4f0" updatedVersion="8" minRefreshableVersion="3" subtotalHiddenItems="1" itemPrintTitles="1" createdVersion="8" indent="0" outline="1" outlineData="1" multipleFieldFilters="0" chartFormat="11" rowHeaderCaption="Department" colHeaderCaption="Location">
  <location ref="A1:F8"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5">
    <i>
      <x/>
    </i>
    <i>
      <x v="1"/>
    </i>
    <i>
      <x v="2"/>
    </i>
    <i>
      <x v="3"/>
    </i>
    <i t="grand">
      <x/>
    </i>
  </colItems>
  <dataFields count="1">
    <dataField fld="2" subtotal="count" baseField="0" baseItem="0" numFmtId="9"/>
  </dataFields>
  <formats count="31">
    <format dxfId="911">
      <pivotArea outline="0" collapsedLevelsAreSubtotals="1" fieldPosition="0"/>
    </format>
    <format dxfId="912">
      <pivotArea type="all" dataOnly="0" outline="0" fieldPosition="0"/>
    </format>
    <format dxfId="913">
      <pivotArea outline="0" collapsedLevelsAreSubtotals="1" fieldPosition="0"/>
    </format>
    <format dxfId="914">
      <pivotArea type="origin" dataOnly="0" labelOnly="1" outline="0" fieldPosition="0"/>
    </format>
    <format dxfId="915">
      <pivotArea field="0" type="button" dataOnly="0" labelOnly="1" outline="0" axis="axisCol" fieldPosition="0"/>
    </format>
    <format dxfId="916">
      <pivotArea type="topRight" dataOnly="0" labelOnly="1" outline="0" fieldPosition="0"/>
    </format>
    <format dxfId="917">
      <pivotArea field="1" type="button" dataOnly="0" labelOnly="1" outline="0" axis="axisRow" fieldPosition="0"/>
    </format>
    <format dxfId="918">
      <pivotArea dataOnly="0" labelOnly="1" fieldPosition="0">
        <references count="1">
          <reference field="1" count="0"/>
        </references>
      </pivotArea>
    </format>
    <format dxfId="919">
      <pivotArea dataOnly="0" labelOnly="1" grandRow="1" outline="0" fieldPosition="0"/>
    </format>
    <format dxfId="920">
      <pivotArea dataOnly="0" labelOnly="1" fieldPosition="0">
        <references count="1">
          <reference field="0" count="0"/>
        </references>
      </pivotArea>
    </format>
    <format dxfId="921">
      <pivotArea dataOnly="0" labelOnly="1" grandCol="1" outline="0" fieldPosition="0"/>
    </format>
    <format dxfId="922">
      <pivotArea type="all" dataOnly="0" outline="0" fieldPosition="0"/>
    </format>
    <format dxfId="923">
      <pivotArea outline="0" collapsedLevelsAreSubtotals="1" fieldPosition="0"/>
    </format>
    <format dxfId="924">
      <pivotArea type="origin" dataOnly="0" labelOnly="1" outline="0" fieldPosition="0"/>
    </format>
    <format dxfId="925">
      <pivotArea field="0" type="button" dataOnly="0" labelOnly="1" outline="0" axis="axisCol" fieldPosition="0"/>
    </format>
    <format dxfId="926">
      <pivotArea type="topRight" dataOnly="0" labelOnly="1" outline="0" fieldPosition="0"/>
    </format>
    <format dxfId="927">
      <pivotArea field="1" type="button" dataOnly="0" labelOnly="1" outline="0" axis="axisRow" fieldPosition="0"/>
    </format>
    <format dxfId="928">
      <pivotArea dataOnly="0" labelOnly="1" fieldPosition="0">
        <references count="1">
          <reference field="1" count="0"/>
        </references>
      </pivotArea>
    </format>
    <format dxfId="929">
      <pivotArea dataOnly="0" labelOnly="1" grandRow="1" outline="0" fieldPosition="0"/>
    </format>
    <format dxfId="930">
      <pivotArea dataOnly="0" labelOnly="1" fieldPosition="0">
        <references count="1">
          <reference field="0" count="0"/>
        </references>
      </pivotArea>
    </format>
    <format dxfId="931">
      <pivotArea dataOnly="0" labelOnly="1" grandCol="1" outline="0" fieldPosition="0"/>
    </format>
    <format dxfId="910">
      <pivotArea type="all" dataOnly="0" outline="0" fieldPosition="0"/>
    </format>
    <format dxfId="909">
      <pivotArea outline="0" collapsedLevelsAreSubtotals="1" fieldPosition="0"/>
    </format>
    <format dxfId="908">
      <pivotArea type="origin" dataOnly="0" labelOnly="1" outline="0" fieldPosition="0"/>
    </format>
    <format dxfId="907">
      <pivotArea field="0" type="button" dataOnly="0" labelOnly="1" outline="0" axis="axisCol" fieldPosition="0"/>
    </format>
    <format dxfId="906">
      <pivotArea type="topRight" dataOnly="0" labelOnly="1" outline="0" fieldPosition="0"/>
    </format>
    <format dxfId="905">
      <pivotArea field="1" type="button" dataOnly="0" labelOnly="1" outline="0" axis="axisRow" fieldPosition="0"/>
    </format>
    <format dxfId="904">
      <pivotArea dataOnly="0" labelOnly="1" fieldPosition="0">
        <references count="1">
          <reference field="1" count="0"/>
        </references>
      </pivotArea>
    </format>
    <format dxfId="903">
      <pivotArea dataOnly="0" labelOnly="1" grandRow="1" outline="0" fieldPosition="0"/>
    </format>
    <format dxfId="902">
      <pivotArea dataOnly="0" labelOnly="1" fieldPosition="0">
        <references count="1">
          <reference field="0" count="0"/>
        </references>
      </pivotArea>
    </format>
    <format dxfId="901">
      <pivotArea dataOnly="0" labelOnly="1" grandCol="1" outline="0" fieldPosition="0"/>
    </format>
  </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26590C-2000-4A9A-8EB3-B4BFBBA433A4}" name="Matrics" cacheId="21" applyNumberFormats="0" applyBorderFormats="0" applyFontFormats="0" applyPatternFormats="0" applyAlignmentFormats="0" applyWidthHeightFormats="1" dataCaption="Values" tag="1e35109a-7572-480f-baaf-80a800b74a18" updatedVersion="8" minRefreshableVersion="3" useAutoFormatting="1" subtotalHiddenItems="1" itemPrintTitles="1" createdVersion="8" indent="0" compact="0" compactData="0" multipleFieldFilters="0">
  <location ref="H1:M7" firstHeaderRow="0" firstDataRow="1" firstDataCol="2"/>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s>
  <rowFields count="2">
    <field x="4"/>
    <field x="5"/>
  </rowFields>
  <rowItems count="6">
    <i>
      <x/>
      <x/>
    </i>
    <i>
      <x v="1"/>
      <x v="1"/>
    </i>
    <i>
      <x v="2"/>
      <x v="2"/>
    </i>
    <i>
      <x v="3"/>
      <x v="3"/>
    </i>
    <i>
      <x v="4"/>
      <x v="4"/>
    </i>
    <i t="grand">
      <x/>
    </i>
  </rowItems>
  <colFields count="1">
    <field x="-2"/>
  </colFields>
  <colItems count="4">
    <i>
      <x/>
    </i>
    <i i="1">
      <x v="1"/>
    </i>
    <i i="2">
      <x v="2"/>
    </i>
    <i i="3">
      <x v="3"/>
    </i>
  </colItems>
  <dataFields count="4">
    <dataField fld="1" subtotal="count" baseField="0" baseItem="0"/>
    <dataField fld="3" subtotal="count" baseField="0" baseItem="0" numFmtId="10"/>
    <dataField fld="0" subtotal="count" baseField="0" baseItem="0"/>
    <dataField fld="2" subtotal="count" baseField="0" baseItem="0"/>
  </dataFields>
  <formats count="38">
    <format dxfId="1013">
      <pivotArea outline="0" collapsedLevelsAreSubtotals="1" fieldPosition="0">
        <references count="1">
          <reference field="4294967294" count="1" selected="0">
            <x v="1"/>
          </reference>
        </references>
      </pivotArea>
    </format>
    <format dxfId="1012">
      <pivotArea dataOnly="0" labelOnly="1" outline="0" fieldPosition="0">
        <references count="1">
          <reference field="4294967294" count="4">
            <x v="0"/>
            <x v="1"/>
            <x v="2"/>
            <x v="3"/>
          </reference>
        </references>
      </pivotArea>
    </format>
    <format dxfId="1011">
      <pivotArea type="all" dataOnly="0" outline="0" fieldPosition="0"/>
    </format>
    <format dxfId="1010">
      <pivotArea outline="0" collapsedLevelsAreSubtotals="1" fieldPosition="0"/>
    </format>
    <format dxfId="1009">
      <pivotArea field="4" type="button" dataOnly="0" labelOnly="1" outline="0" axis="axisRow" fieldPosition="0"/>
    </format>
    <format dxfId="1008">
      <pivotArea field="5" type="button" dataOnly="0" labelOnly="1" outline="0" axis="axisRow" fieldPosition="1"/>
    </format>
    <format dxfId="1007">
      <pivotArea dataOnly="0" labelOnly="1" outline="0" fieldPosition="0">
        <references count="1">
          <reference field="4" count="0"/>
        </references>
      </pivotArea>
    </format>
    <format dxfId="1006">
      <pivotArea dataOnly="0" labelOnly="1" grandRow="1" outline="0" fieldPosition="0"/>
    </format>
    <format dxfId="1005">
      <pivotArea dataOnly="0" labelOnly="1" outline="0" fieldPosition="0">
        <references count="2">
          <reference field="4" count="1" selected="0">
            <x v="0"/>
          </reference>
          <reference field="5" count="1">
            <x v="0"/>
          </reference>
        </references>
      </pivotArea>
    </format>
    <format dxfId="1004">
      <pivotArea dataOnly="0" labelOnly="1" outline="0" fieldPosition="0">
        <references count="2">
          <reference field="4" count="1" selected="0">
            <x v="1"/>
          </reference>
          <reference field="5" count="1">
            <x v="1"/>
          </reference>
        </references>
      </pivotArea>
    </format>
    <format dxfId="1003">
      <pivotArea dataOnly="0" labelOnly="1" outline="0" fieldPosition="0">
        <references count="2">
          <reference field="4" count="1" selected="0">
            <x v="2"/>
          </reference>
          <reference field="5" count="1">
            <x v="2"/>
          </reference>
        </references>
      </pivotArea>
    </format>
    <format dxfId="1002">
      <pivotArea dataOnly="0" labelOnly="1" outline="0" fieldPosition="0">
        <references count="2">
          <reference field="4" count="1" selected="0">
            <x v="3"/>
          </reference>
          <reference field="5" count="1">
            <x v="3"/>
          </reference>
        </references>
      </pivotArea>
    </format>
    <format dxfId="1001">
      <pivotArea dataOnly="0" labelOnly="1" outline="0" fieldPosition="0">
        <references count="2">
          <reference field="4" count="1" selected="0">
            <x v="4"/>
          </reference>
          <reference field="5" count="1">
            <x v="4"/>
          </reference>
        </references>
      </pivotArea>
    </format>
    <format dxfId="1000">
      <pivotArea dataOnly="0" labelOnly="1" outline="0" fieldPosition="0">
        <references count="1">
          <reference field="4294967294" count="4">
            <x v="0"/>
            <x v="1"/>
            <x v="2"/>
            <x v="3"/>
          </reference>
        </references>
      </pivotArea>
    </format>
    <format dxfId="999">
      <pivotArea type="all" dataOnly="0" outline="0" fieldPosition="0"/>
    </format>
    <format dxfId="998">
      <pivotArea outline="0" collapsedLevelsAreSubtotals="1" fieldPosition="0"/>
    </format>
    <format dxfId="997">
      <pivotArea field="4" type="button" dataOnly="0" labelOnly="1" outline="0" axis="axisRow" fieldPosition="0"/>
    </format>
    <format dxfId="996">
      <pivotArea field="5" type="button" dataOnly="0" labelOnly="1" outline="0" axis="axisRow" fieldPosition="1"/>
    </format>
    <format dxfId="995">
      <pivotArea dataOnly="0" labelOnly="1" outline="0" fieldPosition="0">
        <references count="1">
          <reference field="4" count="0"/>
        </references>
      </pivotArea>
    </format>
    <format dxfId="994">
      <pivotArea dataOnly="0" labelOnly="1" grandRow="1" outline="0" fieldPosition="0"/>
    </format>
    <format dxfId="993">
      <pivotArea dataOnly="0" labelOnly="1" outline="0" fieldPosition="0">
        <references count="2">
          <reference field="4" count="1" selected="0">
            <x v="0"/>
          </reference>
          <reference field="5" count="1">
            <x v="0"/>
          </reference>
        </references>
      </pivotArea>
    </format>
    <format dxfId="992">
      <pivotArea dataOnly="0" labelOnly="1" outline="0" fieldPosition="0">
        <references count="2">
          <reference field="4" count="1" selected="0">
            <x v="1"/>
          </reference>
          <reference field="5" count="1">
            <x v="1"/>
          </reference>
        </references>
      </pivotArea>
    </format>
    <format dxfId="991">
      <pivotArea dataOnly="0" labelOnly="1" outline="0" fieldPosition="0">
        <references count="2">
          <reference field="4" count="1" selected="0">
            <x v="2"/>
          </reference>
          <reference field="5" count="1">
            <x v="2"/>
          </reference>
        </references>
      </pivotArea>
    </format>
    <format dxfId="990">
      <pivotArea dataOnly="0" labelOnly="1" outline="0" fieldPosition="0">
        <references count="2">
          <reference field="4" count="1" selected="0">
            <x v="3"/>
          </reference>
          <reference field="5" count="1">
            <x v="3"/>
          </reference>
        </references>
      </pivotArea>
    </format>
    <format dxfId="989">
      <pivotArea dataOnly="0" labelOnly="1" outline="0" fieldPosition="0">
        <references count="2">
          <reference field="4" count="1" selected="0">
            <x v="4"/>
          </reference>
          <reference field="5" count="1">
            <x v="4"/>
          </reference>
        </references>
      </pivotArea>
    </format>
    <format dxfId="988">
      <pivotArea dataOnly="0" labelOnly="1" outline="0" fieldPosition="0">
        <references count="1">
          <reference field="4294967294" count="4">
            <x v="0"/>
            <x v="1"/>
            <x v="2"/>
            <x v="3"/>
          </reference>
        </references>
      </pivotArea>
    </format>
    <format dxfId="900">
      <pivotArea type="all" dataOnly="0" outline="0" fieldPosition="0"/>
    </format>
    <format dxfId="899">
      <pivotArea outline="0" collapsedLevelsAreSubtotals="1" fieldPosition="0"/>
    </format>
    <format dxfId="898">
      <pivotArea field="4" type="button" dataOnly="0" labelOnly="1" outline="0" axis="axisRow" fieldPosition="0"/>
    </format>
    <format dxfId="897">
      <pivotArea field="5" type="button" dataOnly="0" labelOnly="1" outline="0" axis="axisRow" fieldPosition="1"/>
    </format>
    <format dxfId="896">
      <pivotArea dataOnly="0" labelOnly="1" outline="0" fieldPosition="0">
        <references count="1">
          <reference field="4" count="0"/>
        </references>
      </pivotArea>
    </format>
    <format dxfId="895">
      <pivotArea dataOnly="0" labelOnly="1" grandRow="1" outline="0" fieldPosition="0"/>
    </format>
    <format dxfId="894">
      <pivotArea dataOnly="0" labelOnly="1" outline="0" fieldPosition="0">
        <references count="2">
          <reference field="4" count="1" selected="0">
            <x v="0"/>
          </reference>
          <reference field="5" count="1">
            <x v="0"/>
          </reference>
        </references>
      </pivotArea>
    </format>
    <format dxfId="893">
      <pivotArea dataOnly="0" labelOnly="1" outline="0" fieldPosition="0">
        <references count="2">
          <reference field="4" count="1" selected="0">
            <x v="1"/>
          </reference>
          <reference field="5" count="1">
            <x v="1"/>
          </reference>
        </references>
      </pivotArea>
    </format>
    <format dxfId="892">
      <pivotArea dataOnly="0" labelOnly="1" outline="0" fieldPosition="0">
        <references count="2">
          <reference field="4" count="1" selected="0">
            <x v="2"/>
          </reference>
          <reference field="5" count="1">
            <x v="2"/>
          </reference>
        </references>
      </pivotArea>
    </format>
    <format dxfId="891">
      <pivotArea dataOnly="0" labelOnly="1" outline="0" fieldPosition="0">
        <references count="2">
          <reference field="4" count="1" selected="0">
            <x v="3"/>
          </reference>
          <reference field="5" count="1">
            <x v="3"/>
          </reference>
        </references>
      </pivotArea>
    </format>
    <format dxfId="890">
      <pivotArea dataOnly="0" labelOnly="1" outline="0" fieldPosition="0">
        <references count="2">
          <reference field="4" count="1" selected="0">
            <x v="4"/>
          </reference>
          <reference field="5" count="1">
            <x v="4"/>
          </reference>
        </references>
      </pivotArea>
    </format>
    <format dxfId="889">
      <pivotArea dataOnly="0" labelOnly="1" outline="0" fieldPosition="0">
        <references count="1">
          <reference field="4294967294" count="4">
            <x v="0"/>
            <x v="1"/>
            <x v="2"/>
            <x v="3"/>
          </reference>
        </references>
      </pivotArea>
    </format>
  </formats>
  <pivotHierarchies count="6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2688CE-29D5-4F19-A7E1-192965CDC801}" name="PivotTable21" cacheId="10" applyNumberFormats="0" applyBorderFormats="0" applyFontFormats="0" applyPatternFormats="0" applyAlignmentFormats="0" applyWidthHeightFormats="1" dataCaption="Values" tag="381c7355-507c-4e26-8ee3-0347d9794c23" updatedVersion="8" minRefreshableVersion="3" useAutoFormatting="1" subtotalHiddenItems="1" itemPrintTitles="1" createdVersion="8" indent="0" outline="1" outlineData="1" multipleFieldFilters="0" chartFormat="6" rowHeaderCaption="Insurance Tier" colHeaderCaption="Salary Band">
  <location ref="A20:B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fld="1" subtotal="count" baseField="0" baseItem="0"/>
  </dataFields>
  <formats count="12">
    <format dxfId="855">
      <pivotArea type="all" dataOnly="0" outline="0" fieldPosition="0"/>
    </format>
    <format dxfId="854">
      <pivotArea outline="0" collapsedLevelsAreSubtotals="1" fieldPosition="0"/>
    </format>
    <format dxfId="853">
      <pivotArea field="0" type="button" dataOnly="0" labelOnly="1" outline="0" axis="axisRow" fieldPosition="0"/>
    </format>
    <format dxfId="852">
      <pivotArea dataOnly="0" labelOnly="1" fieldPosition="0">
        <references count="1">
          <reference field="0" count="0"/>
        </references>
      </pivotArea>
    </format>
    <format dxfId="851">
      <pivotArea dataOnly="0" labelOnly="1" grandRow="1" outline="0" fieldPosition="0"/>
    </format>
    <format dxfId="850">
      <pivotArea dataOnly="0" labelOnly="1" outline="0" axis="axisValues" fieldPosition="0"/>
    </format>
    <format dxfId="736">
      <pivotArea type="all" dataOnly="0" outline="0" fieldPosition="0"/>
    </format>
    <format dxfId="735">
      <pivotArea outline="0" collapsedLevelsAreSubtotals="1" fieldPosition="0"/>
    </format>
    <format dxfId="734">
      <pivotArea field="0" type="button" dataOnly="0" labelOnly="1" outline="0" axis="axisRow" fieldPosition="0"/>
    </format>
    <format dxfId="733">
      <pivotArea dataOnly="0" labelOnly="1" fieldPosition="0">
        <references count="1">
          <reference field="0" count="0"/>
        </references>
      </pivotArea>
    </format>
    <format dxfId="732">
      <pivotArea dataOnly="0" labelOnly="1" grandRow="1" outline="0" fieldPosition="0"/>
    </format>
    <format dxfId="73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D51409-6E04-4170-AFEC-A7E399ADE2F0}" name="PivotTable2" cacheId="78" applyNumberFormats="0" applyBorderFormats="0" applyFontFormats="0" applyPatternFormats="0" applyAlignmentFormats="0" applyWidthHeightFormats="1" dataCaption="Values" tag="2ba1ae04-5159-41bc-96b8-a27a9934aaf4" updatedVersion="8" minRefreshableVersion="3" subtotalHiddenItems="1" itemPrintTitles="1" createdVersion="8" indent="0" outline="1" outlineData="1" multipleFieldFilters="0" rowHeaderCaption="Band/ Gender" colHeaderCaption="Department">
  <location ref="A1:G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e="0"/>
        <item x="1" e="0"/>
        <item x="2" e="0"/>
        <item x="3" e="0"/>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5">
    <i>
      <x/>
    </i>
    <i>
      <x v="1"/>
    </i>
    <i>
      <x v="2"/>
    </i>
    <i>
      <x v="3"/>
    </i>
    <i t="grand">
      <x/>
    </i>
  </rowItems>
  <colFields count="1">
    <field x="0"/>
  </colFields>
  <colItems count="6">
    <i>
      <x/>
    </i>
    <i>
      <x v="1"/>
    </i>
    <i>
      <x v="2"/>
    </i>
    <i>
      <x v="3"/>
    </i>
    <i>
      <x v="4"/>
    </i>
    <i t="grand">
      <x/>
    </i>
  </colItems>
  <dataFields count="1">
    <dataField name="Headcount" fld="2" subtotal="count" baseField="0" baseItem="0"/>
  </dataFields>
  <formats count="30">
    <format dxfId="839">
      <pivotArea type="all" dataOnly="0" outline="0" fieldPosition="0"/>
    </format>
    <format dxfId="838">
      <pivotArea outline="0" collapsedLevelsAreSubtotals="1" fieldPosition="0"/>
    </format>
    <format dxfId="837">
      <pivotArea type="origin" dataOnly="0" labelOnly="1" outline="0" fieldPosition="0"/>
    </format>
    <format dxfId="836">
      <pivotArea field="0" type="button" dataOnly="0" labelOnly="1" outline="0" axis="axisCol" fieldPosition="0"/>
    </format>
    <format dxfId="835">
      <pivotArea type="topRight" dataOnly="0" labelOnly="1" outline="0" fieldPosition="0"/>
    </format>
    <format dxfId="834">
      <pivotArea field="1" type="button" dataOnly="0" labelOnly="1" outline="0" axis="axisRow" fieldPosition="0"/>
    </format>
    <format dxfId="833">
      <pivotArea dataOnly="0" labelOnly="1" fieldPosition="0">
        <references count="1">
          <reference field="1" count="0"/>
        </references>
      </pivotArea>
    </format>
    <format dxfId="832">
      <pivotArea dataOnly="0" labelOnly="1" grandRow="1" outline="0" fieldPosition="0"/>
    </format>
    <format dxfId="831">
      <pivotArea dataOnly="0" labelOnly="1" fieldPosition="0">
        <references count="1">
          <reference field="0" count="0"/>
        </references>
      </pivotArea>
    </format>
    <format dxfId="830">
      <pivotArea dataOnly="0" labelOnly="1" grandCol="1" outline="0" fieldPosition="0"/>
    </format>
    <format dxfId="720">
      <pivotArea type="all" dataOnly="0" outline="0" fieldPosition="0"/>
    </format>
    <format dxfId="719">
      <pivotArea outline="0" collapsedLevelsAreSubtotals="1" fieldPosition="0"/>
    </format>
    <format dxfId="718">
      <pivotArea type="origin" dataOnly="0" labelOnly="1" outline="0" fieldPosition="0"/>
    </format>
    <format dxfId="717">
      <pivotArea field="0" type="button" dataOnly="0" labelOnly="1" outline="0" axis="axisCol" fieldPosition="0"/>
    </format>
    <format dxfId="716">
      <pivotArea type="topRight" dataOnly="0" labelOnly="1" outline="0" fieldPosition="0"/>
    </format>
    <format dxfId="715">
      <pivotArea field="1" type="button" dataOnly="0" labelOnly="1" outline="0" axis="axisRow" fieldPosition="0"/>
    </format>
    <format dxfId="714">
      <pivotArea dataOnly="0" labelOnly="1" fieldPosition="0">
        <references count="1">
          <reference field="1" count="0"/>
        </references>
      </pivotArea>
    </format>
    <format dxfId="713">
      <pivotArea dataOnly="0" labelOnly="1" grandRow="1" outline="0" fieldPosition="0"/>
    </format>
    <format dxfId="712">
      <pivotArea dataOnly="0" labelOnly="1" fieldPosition="0">
        <references count="1">
          <reference field="0" count="0"/>
        </references>
      </pivotArea>
    </format>
    <format dxfId="71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axis="axisCol" fieldPosition="0"/>
    </format>
    <format dxfId="36">
      <pivotArea type="topRight" dataOnly="0" labelOnly="1" outline="0"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fieldPosition="0">
        <references count="1">
          <reference field="0" count="0"/>
        </references>
      </pivotArea>
    </format>
    <format dxfId="31">
      <pivotArea dataOnly="0" labelOnly="1" grandCol="1" outline="0"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D0E73E-5E78-496A-942D-975D2D7FD085}" name="PivotTable12" cacheId="1" applyNumberFormats="0" applyBorderFormats="0" applyFontFormats="0" applyPatternFormats="0" applyAlignmentFormats="0" applyWidthHeightFormats="1" dataCaption="Values" tag="2ba1ae04-5159-41bc-96b8-a27a9934aaf4" updatedVersion="8" minRefreshableVersion="3" useAutoFormatting="1" subtotalHiddenItems="1" colGrandTotals="0" itemPrintTitles="1" createdVersion="8" indent="0" outline="1" outlineData="1" multipleFieldFilters="0" rowHeaderCaption="Gender" colHeaderCaption="Salary Band">
  <location ref="D20:F24"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Sum of Monthly Base Salary (INR)" fld="1" showDataAs="percentOfCol" baseField="0" baseItem="0" numFmtId="10"/>
    <dataField name="Sum of Monthly Base Salary (INR)2" fld="2" baseField="0" baseItem="2" numFmtId="165">
      <extLst>
        <ext xmlns:x14="http://schemas.microsoft.com/office/spreadsheetml/2009/9/main" uri="{E15A36E0-9728-4e99-A89B-3F7291B0FE68}">
          <x14:dataField sourceField="1" uniqueName="[__Xl2].[Measures].[Sum of Monthly Base Salary (INR)]"/>
        </ext>
      </extLst>
    </dataField>
  </dataFields>
  <formats count="12">
    <format dxfId="829">
      <pivotArea type="all" dataOnly="0" outline="0" fieldPosition="0"/>
    </format>
    <format dxfId="828">
      <pivotArea outline="0" collapsedLevelsAreSubtotals="1" fieldPosition="0"/>
    </format>
    <format dxfId="827">
      <pivotArea field="0" type="button" dataOnly="0" labelOnly="1" outline="0" axis="axisRow" fieldPosition="0"/>
    </format>
    <format dxfId="826">
      <pivotArea dataOnly="0" labelOnly="1" fieldPosition="0">
        <references count="1">
          <reference field="0" count="0"/>
        </references>
      </pivotArea>
    </format>
    <format dxfId="825">
      <pivotArea dataOnly="0" labelOnly="1" grandRow="1" outline="0" fieldPosition="0"/>
    </format>
    <format dxfId="824">
      <pivotArea dataOnly="0" labelOnly="1" outline="0" fieldPosition="0">
        <references count="1">
          <reference field="4294967294" count="2">
            <x v="0"/>
            <x v="1"/>
          </reference>
        </references>
      </pivotArea>
    </format>
    <format dxfId="710">
      <pivotArea type="all" dataOnly="0" outline="0" fieldPosition="0"/>
    </format>
    <format dxfId="709">
      <pivotArea outline="0" collapsedLevelsAreSubtotals="1" fieldPosition="0"/>
    </format>
    <format dxfId="708">
      <pivotArea field="0" type="button" dataOnly="0" labelOnly="1" outline="0" axis="axisRow" fieldPosition="0"/>
    </format>
    <format dxfId="707">
      <pivotArea dataOnly="0" labelOnly="1" fieldPosition="0">
        <references count="1">
          <reference field="0" count="0"/>
        </references>
      </pivotArea>
    </format>
    <format dxfId="706">
      <pivotArea dataOnly="0" labelOnly="1" grandRow="1" outline="0" fieldPosition="0"/>
    </format>
    <format dxfId="705">
      <pivotArea dataOnly="0" labelOnly="1" outline="0" fieldPosition="0">
        <references count="1">
          <reference field="4294967294" count="2">
            <x v="0"/>
            <x v="1"/>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ary Band vs Gen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57131C-0BF7-4CA8-9032-A2E29C98AA32}" name="PivotTable11" cacheId="135" applyNumberFormats="0" applyBorderFormats="0" applyFontFormats="0" applyPatternFormats="0" applyAlignmentFormats="0" applyWidthHeightFormats="1" dataCaption="Values" tag="2ba1ae04-5159-41bc-96b8-a27a9934aaf4" updatedVersion="8" minRefreshableVersion="3" subtotalHiddenItems="1" colGrandTotals="0" itemPrintTitles="1" createdVersion="8" indent="0" outline="1" outlineData="1" multipleFieldFilters="0" rowHeaderCaption="Salary Band/ Gender" colHeaderCaption="Salary Band">
  <location ref="K9:O14" firstHeaderRow="0" firstDataRow="1" firstDataCol="1"/>
  <pivotFields count="6">
    <pivotField axis="axisRow" allDrilled="1" subtotalTop="0" showAll="0" dataSourceSort="1" defaultAttributeDrillState="1">
      <items count="5">
        <item x="0" e="0"/>
        <item x="1" e="0"/>
        <item x="2" e="0"/>
        <item x="3" e="0"/>
        <item t="default"/>
      </items>
    </pivotField>
    <pivotField dataField="1" subtotalTop="0" showAll="0" defaultSubtotal="0"/>
    <pivotField dataField="1" subtotalTop="0" showAll="0" defaultSubtotal="0"/>
    <pivotField axis="axisRow" allDrilled="1" subtotalTop="0" showAll="0" dataSourceSort="1" defaultAttributeDrillState="1">
      <items count="4">
        <item x="0"/>
        <item x="1"/>
        <item x="2"/>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3"/>
  </rowFields>
  <rowItems count="5">
    <i>
      <x/>
    </i>
    <i>
      <x v="1"/>
    </i>
    <i>
      <x v="2"/>
    </i>
    <i>
      <x v="3"/>
    </i>
    <i t="grand">
      <x/>
    </i>
  </rowItems>
  <colFields count="1">
    <field x="-2"/>
  </colFields>
  <colItems count="4">
    <i>
      <x/>
    </i>
    <i i="1">
      <x v="1"/>
    </i>
    <i i="2">
      <x v="2"/>
    </i>
    <i i="3">
      <x v="3"/>
    </i>
  </colItems>
  <dataFields count="4">
    <dataField name="Headcount" fld="2" subtotal="count" baseField="0" baseItem="0"/>
    <dataField name="Gender %" fld="4" subtotal="count" baseField="0" baseItem="0" numFmtId="9">
      <extLst>
        <ext xmlns:x14="http://schemas.microsoft.com/office/spreadsheetml/2009/9/main" uri="{E15A36E0-9728-4e99-A89B-3F7291B0FE68}">
          <x14:dataField pivotShowAs="percentOfParentRow" sourceField="2" uniqueName="[__Xl2].[Measures].[Count of Gender]"/>
        </ext>
      </extLst>
    </dataField>
    <dataField name="Monthly Salary %" fld="1" baseField="0" baseItem="0" numFmtId="9">
      <extLst>
        <ext xmlns:x14="http://schemas.microsoft.com/office/spreadsheetml/2009/9/main" uri="{E15A36E0-9728-4e99-A89B-3F7291B0FE68}">
          <x14:dataField pivotShowAs="percentOfParentRow"/>
        </ext>
      </extLst>
    </dataField>
    <dataField name="Total Monthly Salary" fld="5" baseField="0" baseItem="0" numFmtId="165">
      <extLst>
        <ext xmlns:x14="http://schemas.microsoft.com/office/spreadsheetml/2009/9/main" uri="{E15A36E0-9728-4e99-A89B-3F7291B0FE68}">
          <x14:dataField sourceField="1" uniqueName="[__Xl2].[Measures].[Sum of Monthly Base Salary (INR)]"/>
        </ext>
      </extLst>
    </dataField>
  </dataFields>
  <formats count="22">
    <format dxfId="261">
      <pivotArea dataOnly="0" labelOnly="1" outline="0" fieldPosition="0">
        <references count="1">
          <reference field="4294967294" count="1">
            <x v="0"/>
          </reference>
        </references>
      </pivotArea>
    </format>
    <format dxfId="262">
      <pivotArea outline="0" fieldPosition="0">
        <references count="1">
          <reference field="4294967294" count="1">
            <x v="1"/>
          </reference>
        </references>
      </pivotArea>
    </format>
    <format dxfId="263">
      <pivotArea type="all" dataOnly="0" outline="0" fieldPosition="0"/>
    </format>
    <format dxfId="264">
      <pivotArea outline="0" collapsedLevelsAreSubtotals="1" fieldPosition="0"/>
    </format>
    <format dxfId="265">
      <pivotArea field="0" type="button" dataOnly="0" labelOnly="1" outline="0" axis="axisRow" fieldPosition="0"/>
    </format>
    <format dxfId="266">
      <pivotArea dataOnly="0" labelOnly="1" fieldPosition="0">
        <references count="1">
          <reference field="0" count="0"/>
        </references>
      </pivotArea>
    </format>
    <format dxfId="267">
      <pivotArea dataOnly="0" labelOnly="1" fieldPosition="0">
        <references count="1">
          <reference field="0" count="0" defaultSubtotal="1"/>
        </references>
      </pivotArea>
    </format>
    <format dxfId="268">
      <pivotArea dataOnly="0" labelOnly="1" grandRow="1" outline="0" fieldPosition="0"/>
    </format>
    <format dxfId="269">
      <pivotArea dataOnly="0" labelOnly="1" outline="0" fieldPosition="0">
        <references count="1">
          <reference field="4294967294" count="4">
            <x v="0"/>
            <x v="1"/>
            <x v="2"/>
            <x v="3"/>
          </reference>
        </references>
      </pivotArea>
    </format>
    <format dxfId="270">
      <pivotArea type="all" dataOnly="0" outline="0" fieldPosition="0"/>
    </format>
    <format dxfId="271">
      <pivotArea outline="0" collapsedLevelsAreSubtotals="1" fieldPosition="0"/>
    </format>
    <format dxfId="272">
      <pivotArea field="0" type="button" dataOnly="0" labelOnly="1" outline="0" axis="axisRow" fieldPosition="0"/>
    </format>
    <format dxfId="273">
      <pivotArea dataOnly="0" labelOnly="1" fieldPosition="0">
        <references count="1">
          <reference field="0" count="0"/>
        </references>
      </pivotArea>
    </format>
    <format dxfId="274">
      <pivotArea dataOnly="0" labelOnly="1" fieldPosition="0">
        <references count="1">
          <reference field="0" count="0" defaultSubtotal="1"/>
        </references>
      </pivotArea>
    </format>
    <format dxfId="275">
      <pivotArea dataOnly="0" labelOnly="1" grandRow="1" outline="0" fieldPosition="0"/>
    </format>
    <format dxfId="276">
      <pivotArea dataOnly="0" labelOnly="1" outline="0" fieldPosition="0">
        <references count="1">
          <reference field="4294967294" count="4">
            <x v="0"/>
            <x v="1"/>
            <x v="2"/>
            <x v="3"/>
          </reference>
        </references>
      </pivotArea>
    </format>
    <format dxfId="277">
      <pivotArea type="all" dataOnly="0" outline="0" fieldPosition="0"/>
    </format>
    <format dxfId="278">
      <pivotArea outline="0" collapsedLevelsAreSubtotals="1" fieldPosition="0"/>
    </format>
    <format dxfId="279">
      <pivotArea field="0" type="button" dataOnly="0" labelOnly="1" outline="0" axis="axisRow" fieldPosition="0"/>
    </format>
    <format dxfId="280">
      <pivotArea dataOnly="0" labelOnly="1" fieldPosition="0">
        <references count="1">
          <reference field="0" count="0"/>
        </references>
      </pivotArea>
    </format>
    <format dxfId="281">
      <pivotArea dataOnly="0" labelOnly="1" grandRow="1" outline="0" fieldPosition="0"/>
    </format>
    <format dxfId="282">
      <pivotArea dataOnly="0" labelOnly="1" outline="0" fieldPosition="0">
        <references count="1">
          <reference field="4294967294" count="4">
            <x v="0"/>
            <x v="1"/>
            <x v="2"/>
            <x v="3"/>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nthly Salary %"/>
    <pivotHierarchy dragToData="1"/>
    <pivotHierarchy dragToData="1" caption="Salary Band vs Gen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eadcount"/>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0"/>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1A21F8-2813-417E-B9E5-9097743D51E9}" name="PivotTable1" cacheId="23" applyNumberFormats="0" applyBorderFormats="0" applyFontFormats="0" applyPatternFormats="0" applyAlignmentFormats="0" applyWidthHeightFormats="1" dataCaption="Values" tag="2ba1ae04-5159-41bc-96b8-a27a9934aaf4" updatedVersion="8" minRefreshableVersion="3" subtotalHiddenItems="1" itemPrintTitles="1" createdVersion="8" indent="0" outline="1" outlineData="1" multipleFieldFilters="0" chartFormat="6" rowHeaderCaption="Gender" colHeaderCaption="Salary Band">
  <location ref="A27:G34" firstHeaderRow="1" firstDataRow="3" firstDataCol="1"/>
  <pivotFields count="4">
    <pivotField axis="axisCol" allDrilled="1" showAll="0" dataSourceSort="1" defaultAttributeDrillState="1">
      <items count="3">
        <item s="1" x="0"/>
        <item s="1" x="1"/>
        <item t="default"/>
      </items>
    </pivotField>
    <pivotField axis="axisRow" allDrilled="1" showAll="0" defaultAttributeDrillState="1">
      <items count="5">
        <item x="0"/>
        <item x="2"/>
        <item x="3"/>
        <item x="1"/>
        <item t="default"/>
      </items>
    </pivotField>
    <pivotField dataField="1" showAll="0"/>
    <pivotField dataField="1" showAll="0"/>
  </pivotFields>
  <rowFields count="1">
    <field x="1"/>
  </rowFields>
  <rowItems count="5">
    <i>
      <x/>
    </i>
    <i>
      <x v="1"/>
    </i>
    <i>
      <x v="2"/>
    </i>
    <i>
      <x v="3"/>
    </i>
    <i t="grand">
      <x/>
    </i>
  </rowItems>
  <colFields count="2">
    <field x="0"/>
    <field x="-2"/>
  </colFields>
  <colItems count="6">
    <i>
      <x/>
      <x/>
    </i>
    <i r="1" i="1">
      <x v="1"/>
    </i>
    <i>
      <x v="1"/>
      <x/>
    </i>
    <i r="1" i="1">
      <x v="1"/>
    </i>
    <i t="grand">
      <x/>
    </i>
    <i t="grand" i="1">
      <x/>
    </i>
  </colItems>
  <dataFields count="2">
    <dataField fld="2" subtotal="count" baseField="0" baseItem="0"/>
    <dataField name="Count of Monthly Base Salary (INR)" fld="3" subtotal="count" baseField="1" baseItem="0"/>
  </dataFields>
  <formats count="49">
    <format dxfId="813">
      <pivotArea type="all" dataOnly="0" outline="0" fieldPosition="0"/>
    </format>
    <format dxfId="812">
      <pivotArea outline="0" collapsedLevelsAreSubtotals="1" fieldPosition="0"/>
    </format>
    <format dxfId="811">
      <pivotArea type="origin" dataOnly="0" labelOnly="1" outline="0" fieldPosition="0"/>
    </format>
    <format dxfId="810">
      <pivotArea field="0" type="button" dataOnly="0" labelOnly="1" outline="0" axis="axisCol" fieldPosition="0"/>
    </format>
    <format dxfId="809">
      <pivotArea field="-2" type="button" dataOnly="0" labelOnly="1" outline="0" axis="axisCol" fieldPosition="1"/>
    </format>
    <format dxfId="808">
      <pivotArea type="topRight" dataOnly="0" labelOnly="1" outline="0" fieldPosition="0"/>
    </format>
    <format dxfId="807">
      <pivotArea field="1" type="button" dataOnly="0" labelOnly="1" outline="0" axis="axisRow" fieldPosition="0"/>
    </format>
    <format dxfId="806">
      <pivotArea dataOnly="0" labelOnly="1" fieldPosition="0">
        <references count="1">
          <reference field="1" count="0"/>
        </references>
      </pivotArea>
    </format>
    <format dxfId="805">
      <pivotArea dataOnly="0" labelOnly="1" grandRow="1" outline="0" fieldPosition="0"/>
    </format>
    <format dxfId="804">
      <pivotArea dataOnly="0" labelOnly="1" fieldPosition="0">
        <references count="1">
          <reference field="0" count="0"/>
        </references>
      </pivotArea>
    </format>
    <format dxfId="803">
      <pivotArea field="0" dataOnly="0" labelOnly="1" grandCol="1" outline="0" axis="axisCol" fieldPosition="0">
        <references count="1">
          <reference field="4294967294" count="1" selected="0">
            <x v="0"/>
          </reference>
        </references>
      </pivotArea>
    </format>
    <format dxfId="802">
      <pivotArea field="0" dataOnly="0" labelOnly="1" grandCol="1" outline="0" axis="axisCol" fieldPosition="0">
        <references count="1">
          <reference field="4294967294" count="1" selected="0">
            <x v="1"/>
          </reference>
        </references>
      </pivotArea>
    </format>
    <format dxfId="801">
      <pivotArea dataOnly="0" labelOnly="1" outline="0" fieldPosition="0">
        <references count="2">
          <reference field="4294967294" count="2">
            <x v="0"/>
            <x v="1"/>
          </reference>
          <reference field="0" count="1" selected="0">
            <x v="0"/>
          </reference>
        </references>
      </pivotArea>
    </format>
    <format dxfId="800">
      <pivotArea dataOnly="0" labelOnly="1" outline="0" fieldPosition="0">
        <references count="2">
          <reference field="4294967294" count="2">
            <x v="0"/>
            <x v="1"/>
          </reference>
          <reference field="0" count="1" selected="0">
            <x v="1"/>
          </reference>
        </references>
      </pivotArea>
    </format>
    <format dxfId="694">
      <pivotArea type="all" dataOnly="0" outline="0" fieldPosition="0"/>
    </format>
    <format dxfId="693">
      <pivotArea outline="0" collapsedLevelsAreSubtotals="1" fieldPosition="0"/>
    </format>
    <format dxfId="692">
      <pivotArea type="origin" dataOnly="0" labelOnly="1" outline="0" fieldPosition="0"/>
    </format>
    <format dxfId="691">
      <pivotArea field="0" type="button" dataOnly="0" labelOnly="1" outline="0" axis="axisCol" fieldPosition="0"/>
    </format>
    <format dxfId="690">
      <pivotArea field="-2" type="button" dataOnly="0" labelOnly="1" outline="0" axis="axisCol" fieldPosition="1"/>
    </format>
    <format dxfId="689">
      <pivotArea type="topRight" dataOnly="0" labelOnly="1" outline="0" fieldPosition="0"/>
    </format>
    <format dxfId="688">
      <pivotArea field="1" type="button" dataOnly="0" labelOnly="1" outline="0" axis="axisRow" fieldPosition="0"/>
    </format>
    <format dxfId="687">
      <pivotArea dataOnly="0" labelOnly="1" fieldPosition="0">
        <references count="1">
          <reference field="1" count="0"/>
        </references>
      </pivotArea>
    </format>
    <format dxfId="686">
      <pivotArea dataOnly="0" labelOnly="1" grandRow="1" outline="0" fieldPosition="0"/>
    </format>
    <format dxfId="685">
      <pivotArea dataOnly="0" labelOnly="1" fieldPosition="0">
        <references count="1">
          <reference field="0" count="0"/>
        </references>
      </pivotArea>
    </format>
    <format dxfId="684">
      <pivotArea dataOnly="0" labelOnly="1" outline="0" fieldPosition="0">
        <references count="2">
          <reference field="4294967294" count="2">
            <x v="0"/>
            <x v="1"/>
          </reference>
          <reference field="0" count="1" selected="0">
            <x v="0"/>
          </reference>
        </references>
      </pivotArea>
    </format>
    <format dxfId="683">
      <pivotArea dataOnly="0" labelOnly="1" outline="0" fieldPosition="0">
        <references count="2">
          <reference field="4294967294" count="2">
            <x v="0"/>
            <x v="1"/>
          </reference>
          <reference field="0" count="1" selected="0">
            <x v="1"/>
          </reference>
        </references>
      </pivotArea>
    </format>
    <format dxfId="94">
      <pivotArea dataOnly="0" labelOnly="1" fieldPosition="0">
        <references count="1">
          <reference field="0" count="1">
            <x v="1"/>
          </reference>
        </references>
      </pivotArea>
    </format>
    <format dxfId="93">
      <pivotArea dataOnly="0" labelOnly="1" fieldPosition="0">
        <references count="1">
          <reference field="0" count="1">
            <x v="0"/>
          </reference>
        </references>
      </pivotArea>
    </format>
    <format dxfId="92">
      <pivotArea field="0" dataOnly="0" labelOnly="1" grandCol="1" outline="0" axis="axisCol" fieldPosition="0">
        <references count="1">
          <reference field="4294967294" count="1" selected="0">
            <x v="0"/>
          </reference>
        </references>
      </pivotArea>
    </format>
    <format dxfId="90">
      <pivotArea field="0" dataOnly="0" labelOnly="1" grandCol="1" outline="0" axis="axisCol" fieldPosition="0">
        <references count="1">
          <reference field="4294967294" count="1" selected="0">
            <x v="1"/>
          </reference>
        </references>
      </pivotArea>
    </format>
    <format dxfId="78">
      <pivotArea type="all" dataOnly="0" outline="0" fieldPosition="0"/>
    </format>
    <format dxfId="73">
      <pivotArea outline="0" collapsedLevelsAreSubtotals="1" fieldPosition="0"/>
    </format>
    <format dxfId="72">
      <pivotArea type="origin" dataOnly="0" labelOnly="1" outline="0" fieldPosition="0"/>
    </format>
    <format dxfId="71">
      <pivotArea field="0" type="button" dataOnly="0" labelOnly="1" outline="0" axis="axisCol" fieldPosition="0"/>
    </format>
    <format dxfId="70">
      <pivotArea field="-2" type="button" dataOnly="0" labelOnly="1" outline="0" axis="axisCol" fieldPosition="1"/>
    </format>
    <format dxfId="69">
      <pivotArea type="topRight" dataOnly="0" labelOnly="1" outline="0" fieldPosition="0"/>
    </format>
    <format dxfId="68">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fieldPosition="0">
        <references count="1">
          <reference field="0" count="0"/>
        </references>
      </pivotArea>
    </format>
    <format dxfId="63">
      <pivotArea field="0" dataOnly="0" labelOnly="1" grandCol="1" outline="0" axis="axisCol" fieldPosition="0">
        <references count="1">
          <reference field="4294967294" count="1" selected="0">
            <x v="0"/>
          </reference>
        </references>
      </pivotArea>
    </format>
    <format dxfId="61">
      <pivotArea field="0" dataOnly="0" labelOnly="1" grandCol="1" outline="0" axis="axisCol" fieldPosition="0">
        <references count="1">
          <reference field="4294967294" count="1" selected="0">
            <x v="1"/>
          </reference>
        </references>
      </pivotArea>
    </format>
    <format dxfId="59">
      <pivotArea dataOnly="0" labelOnly="1" outline="0" fieldPosition="0">
        <references count="2">
          <reference field="4294967294" count="2">
            <x v="0"/>
            <x v="1"/>
          </reference>
          <reference field="0" count="1" selected="0">
            <x v="0"/>
          </reference>
        </references>
      </pivotArea>
    </format>
    <format dxfId="57">
      <pivotArea dataOnly="0" labelOnly="1" outline="0" fieldPosition="0">
        <references count="2">
          <reference field="4294967294" count="2">
            <x v="0"/>
            <x v="1"/>
          </reference>
          <reference field="0" count="1" selected="0">
            <x v="1"/>
          </reference>
        </references>
      </pivotArea>
    </format>
    <format dxfId="55">
      <pivotArea outline="0" collapsedLevelsAreSubtotals="1" fieldPosition="0">
        <references count="2">
          <reference field="4294967294" count="2" selected="0">
            <x v="0"/>
            <x v="1"/>
          </reference>
          <reference field="0" count="1" selected="0">
            <x v="0"/>
          </reference>
        </references>
      </pivotArea>
    </format>
    <format dxfId="54">
      <pivotArea outline="0" collapsedLevelsAreSubtotals="1" fieldPosition="0">
        <references count="2">
          <reference field="4294967294" count="2" selected="0">
            <x v="0"/>
            <x v="1"/>
          </reference>
          <reference field="0" count="1" selected="0">
            <x v="1"/>
          </reference>
        </references>
      </pivotArea>
    </format>
    <format dxfId="53">
      <pivotArea field="0" grandCol="1" outline="0" collapsedLevelsAreSubtotals="1" axis="axisCol" fieldPosition="0">
        <references count="1">
          <reference field="4294967294" count="2" selected="0">
            <x v="0"/>
            <x v="1"/>
          </reference>
        </references>
      </pivotArea>
    </format>
    <format dxfId="52">
      <pivotArea type="origin" dataOnly="0" labelOnly="1" outline="0" offset="A2" fieldPosition="0"/>
    </format>
    <format dxfId="51">
      <pivotArea field="1" type="button" dataOnly="0" labelOnly="1" outline="0" axis="axisRow"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Gender Pay Gap (M-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ary Band vs Gen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Monthly Base Salary (INR)"/>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3564E2-35AF-4B53-A92E-E2756695067A}" name="PivotTable3" cacheId="90" applyNumberFormats="0" applyBorderFormats="0" applyFontFormats="0" applyPatternFormats="0" applyAlignmentFormats="0" applyWidthHeightFormats="1" dataCaption="Values" tag="78f8f34a-8fb8-4814-b5c7-5d3c19f19613" updatedVersion="8" minRefreshableVersion="3" useAutoFormatting="1" subtotalHiddenItems="1" itemPrintTitles="1" createdVersion="8" indent="0" outline="1" outlineData="1" multipleFieldFilters="0" rowHeaderCaption="Band/ Gender" colHeaderCaption="Location">
  <location ref="I1:N7" firstHeaderRow="1" firstDataRow="2" firstDataCol="1"/>
  <pivotFields count="4">
    <pivotField axis="axisRow" allDrilled="1" subtotalTop="0" showAll="0" dataSourceSort="1" defaultSubtotal="0" defaultAttributeDrillState="1">
      <items count="4">
        <item x="0" e="0"/>
        <item x="1" e="0"/>
        <item x="2" e="0"/>
        <item x="3" e="0"/>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s>
  <rowFields count="2">
    <field x="0"/>
    <field x="2"/>
  </rowFields>
  <rowItems count="5">
    <i>
      <x/>
    </i>
    <i>
      <x v="1"/>
    </i>
    <i>
      <x v="2"/>
    </i>
    <i>
      <x v="3"/>
    </i>
    <i t="grand">
      <x/>
    </i>
  </rowItems>
  <colFields count="1">
    <field x="3"/>
  </colFields>
  <colItems count="5">
    <i>
      <x/>
    </i>
    <i>
      <x v="1"/>
    </i>
    <i>
      <x v="2"/>
    </i>
    <i>
      <x v="3"/>
    </i>
    <i t="grand">
      <x/>
    </i>
  </colItems>
  <dataFields count="1">
    <dataField name="Headcount" fld="1" subtotal="count" baseField="0" baseItem="0"/>
  </dataFields>
  <formats count="38">
    <format dxfId="766">
      <pivotArea type="all" dataOnly="0" outline="0" fieldPosition="0"/>
    </format>
    <format dxfId="765">
      <pivotArea outline="0" collapsedLevelsAreSubtotals="1" fieldPosition="0"/>
    </format>
    <format dxfId="764">
      <pivotArea type="origin" dataOnly="0" labelOnly="1" outline="0" fieldPosition="0"/>
    </format>
    <format dxfId="763">
      <pivotArea field="3" type="button" dataOnly="0" labelOnly="1" outline="0" axis="axisCol" fieldPosition="0"/>
    </format>
    <format dxfId="762">
      <pivotArea type="topRight" dataOnly="0" labelOnly="1" outline="0" fieldPosition="0"/>
    </format>
    <format dxfId="761">
      <pivotArea field="0" type="button" dataOnly="0" labelOnly="1" outline="0" axis="axisRow" fieldPosition="0"/>
    </format>
    <format dxfId="760">
      <pivotArea dataOnly="0" labelOnly="1" fieldPosition="0">
        <references count="1">
          <reference field="0" count="0"/>
        </references>
      </pivotArea>
    </format>
    <format dxfId="759">
      <pivotArea dataOnly="0" labelOnly="1" grandRow="1" outline="0" fieldPosition="0"/>
    </format>
    <format dxfId="758">
      <pivotArea dataOnly="0" labelOnly="1" fieldPosition="0">
        <references count="2">
          <reference field="0" count="1" selected="0">
            <x v="0"/>
          </reference>
          <reference field="2" count="2">
            <x v="0"/>
            <x v="1"/>
          </reference>
        </references>
      </pivotArea>
    </format>
    <format dxfId="757">
      <pivotArea dataOnly="0" labelOnly="1" fieldPosition="0">
        <references count="2">
          <reference field="0" count="1" selected="0">
            <x v="1"/>
          </reference>
          <reference field="2" count="2">
            <x v="0"/>
            <x v="1"/>
          </reference>
        </references>
      </pivotArea>
    </format>
    <format dxfId="756">
      <pivotArea dataOnly="0" labelOnly="1" fieldPosition="0">
        <references count="2">
          <reference field="0" count="1" selected="0">
            <x v="2"/>
          </reference>
          <reference field="2" count="0"/>
        </references>
      </pivotArea>
    </format>
    <format dxfId="755">
      <pivotArea dataOnly="0" labelOnly="1" fieldPosition="0">
        <references count="2">
          <reference field="0" count="1" selected="0">
            <x v="3"/>
          </reference>
          <reference field="2" count="0"/>
        </references>
      </pivotArea>
    </format>
    <format dxfId="754">
      <pivotArea dataOnly="0" labelOnly="1" fieldPosition="0">
        <references count="1">
          <reference field="3" count="0"/>
        </references>
      </pivotArea>
    </format>
    <format dxfId="753">
      <pivotArea dataOnly="0" labelOnly="1" grandCol="1" outline="0" fieldPosition="0"/>
    </format>
    <format dxfId="649">
      <pivotArea type="all" dataOnly="0" outline="0" fieldPosition="0"/>
    </format>
    <format dxfId="648">
      <pivotArea outline="0" collapsedLevelsAreSubtotals="1" fieldPosition="0"/>
    </format>
    <format dxfId="647">
      <pivotArea type="origin" dataOnly="0" labelOnly="1" outline="0" fieldPosition="0"/>
    </format>
    <format dxfId="646">
      <pivotArea field="3" type="button" dataOnly="0" labelOnly="1" outline="0" axis="axisCol" fieldPosition="0"/>
    </format>
    <format dxfId="645">
      <pivotArea type="topRight" dataOnly="0" labelOnly="1" outline="0" fieldPosition="0"/>
    </format>
    <format dxfId="644">
      <pivotArea field="0" type="button" dataOnly="0" labelOnly="1" outline="0" axis="axisRow" fieldPosition="0"/>
    </format>
    <format dxfId="643">
      <pivotArea dataOnly="0" labelOnly="1" fieldPosition="0">
        <references count="1">
          <reference field="0" count="0"/>
        </references>
      </pivotArea>
    </format>
    <format dxfId="642">
      <pivotArea dataOnly="0" labelOnly="1" grandRow="1" outline="0" fieldPosition="0"/>
    </format>
    <format dxfId="641">
      <pivotArea dataOnly="0" labelOnly="1" fieldPosition="0">
        <references count="2">
          <reference field="0" count="1" selected="0">
            <x v="0"/>
          </reference>
          <reference field="2" count="2">
            <x v="0"/>
            <x v="1"/>
          </reference>
        </references>
      </pivotArea>
    </format>
    <format dxfId="640">
      <pivotArea dataOnly="0" labelOnly="1" fieldPosition="0">
        <references count="2">
          <reference field="0" count="1" selected="0">
            <x v="1"/>
          </reference>
          <reference field="2" count="2">
            <x v="0"/>
            <x v="1"/>
          </reference>
        </references>
      </pivotArea>
    </format>
    <format dxfId="639">
      <pivotArea dataOnly="0" labelOnly="1" fieldPosition="0">
        <references count="2">
          <reference field="0" count="1" selected="0">
            <x v="2"/>
          </reference>
          <reference field="2" count="0"/>
        </references>
      </pivotArea>
    </format>
    <format dxfId="638">
      <pivotArea dataOnly="0" labelOnly="1" fieldPosition="0">
        <references count="2">
          <reference field="0" count="1" selected="0">
            <x v="3"/>
          </reference>
          <reference field="2" count="0"/>
        </references>
      </pivotArea>
    </format>
    <format dxfId="637">
      <pivotArea dataOnly="0" labelOnly="1" fieldPosition="0">
        <references count="1">
          <reference field="3" count="0"/>
        </references>
      </pivotArea>
    </format>
    <format dxfId="636">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3" type="button" dataOnly="0" labelOnly="1" outline="0" axis="axisCol" fieldPosition="0"/>
    </format>
    <format dxfId="46">
      <pivotArea type="topRight" dataOnly="0" labelOnly="1" outline="0"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fieldPosition="0">
        <references count="1">
          <reference field="3" count="0"/>
        </references>
      </pivotArea>
    </format>
    <format dxfId="41">
      <pivotArea dataOnly="0" labelOnly="1" grandCol="1" outline="0"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Head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36D652-7330-492E-B354-9EAA1664443E}" name="PivotTable5" cacheId="117" applyNumberFormats="0" applyBorderFormats="0" applyFontFormats="0" applyPatternFormats="0" applyAlignmentFormats="0" applyWidthHeightFormats="1" dataCaption="Values" tag="1f30994b-54df-4629-884d-87cb9bbd0ca9" updatedVersion="8" minRefreshableVersion="3" useAutoFormatting="1" subtotalHiddenItems="1" colGrandTotals="0" itemPrintTitles="1" createdVersion="8" indent="0" outline="1" outlineData="1" multipleFieldFilters="0" rowHeaderCaption="Department" colHeaderCaption="Band/ Monthly Salary">
  <location ref="A9:I17" firstHeaderRow="1" firstDataRow="3"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Fields count="2">
    <field x="0"/>
    <field x="-2"/>
  </colFields>
  <colItems count="8">
    <i>
      <x/>
      <x/>
    </i>
    <i r="1" i="1">
      <x v="1"/>
    </i>
    <i>
      <x v="1"/>
      <x/>
    </i>
    <i r="1" i="1">
      <x v="1"/>
    </i>
    <i>
      <x v="2"/>
      <x/>
    </i>
    <i r="1" i="1">
      <x v="1"/>
    </i>
    <i>
      <x v="3"/>
      <x/>
    </i>
    <i r="1" i="1">
      <x v="1"/>
    </i>
  </colItems>
  <dataFields count="2">
    <dataField name="Max Salary" fld="1" subtotal="max" baseField="0" baseItem="0" numFmtId="165"/>
    <dataField name="Min Salary" fld="3" subtotal="min" baseField="2" baseItem="0" numFmtId="165"/>
  </dataFields>
  <formats count="41">
    <format dxfId="752">
      <pivotArea type="all" dataOnly="0" outline="0" fieldPosition="0"/>
    </format>
    <format dxfId="751">
      <pivotArea outline="0" collapsedLevelsAreSubtotals="1" fieldPosition="0"/>
    </format>
    <format dxfId="750">
      <pivotArea type="origin" dataOnly="0" labelOnly="1" outline="0" fieldPosition="0"/>
    </format>
    <format dxfId="749">
      <pivotArea field="0" type="button" dataOnly="0" labelOnly="1" outline="0" axis="axisCol" fieldPosition="0"/>
    </format>
    <format dxfId="748">
      <pivotArea type="topRight" dataOnly="0" labelOnly="1" outline="0" fieldPosition="0"/>
    </format>
    <format dxfId="747">
      <pivotArea field="2" type="button" dataOnly="0" labelOnly="1" outline="0" axis="axisRow" fieldPosition="0"/>
    </format>
    <format dxfId="746">
      <pivotArea dataOnly="0" labelOnly="1" fieldPosition="0">
        <references count="1">
          <reference field="2" count="0"/>
        </references>
      </pivotArea>
    </format>
    <format dxfId="745">
      <pivotArea dataOnly="0" labelOnly="1" grandRow="1" outline="0" fieldPosition="0"/>
    </format>
    <format dxfId="744">
      <pivotArea dataOnly="0" labelOnly="1" fieldPosition="0">
        <references count="1">
          <reference field="0" count="0"/>
        </references>
      </pivotArea>
    </format>
    <format dxfId="743">
      <pivotArea dataOnly="0" labelOnly="1" grandCol="1" outline="0" fieldPosition="0"/>
    </format>
    <format dxfId="635">
      <pivotArea type="all" dataOnly="0" outline="0" fieldPosition="0"/>
    </format>
    <format dxfId="634">
      <pivotArea outline="0" collapsedLevelsAreSubtotals="1" fieldPosition="0"/>
    </format>
    <format dxfId="633">
      <pivotArea type="origin" dataOnly="0" labelOnly="1" outline="0" fieldPosition="0"/>
    </format>
    <format dxfId="632">
      <pivotArea field="0" type="button" dataOnly="0" labelOnly="1" outline="0" axis="axisCol" fieldPosition="0"/>
    </format>
    <format dxfId="631">
      <pivotArea type="topRight" dataOnly="0" labelOnly="1" outline="0" fieldPosition="0"/>
    </format>
    <format dxfId="630">
      <pivotArea field="2" type="button" dataOnly="0" labelOnly="1" outline="0" axis="axisRow" fieldPosition="0"/>
    </format>
    <format dxfId="629">
      <pivotArea dataOnly="0" labelOnly="1" fieldPosition="0">
        <references count="1">
          <reference field="2" count="0"/>
        </references>
      </pivotArea>
    </format>
    <format dxfId="628">
      <pivotArea dataOnly="0" labelOnly="1" grandRow="1" outline="0" fieldPosition="0"/>
    </format>
    <format dxfId="627">
      <pivotArea dataOnly="0" labelOnly="1" fieldPosition="0">
        <references count="1">
          <reference field="0" count="0"/>
        </references>
      </pivotArea>
    </format>
    <format dxfId="626">
      <pivotArea dataOnly="0" labelOnly="1" grandCol="1" outline="0" fieldPosition="0"/>
    </format>
    <format dxfId="625">
      <pivotArea outline="0" fieldPosition="0">
        <references count="1">
          <reference field="4294967294" count="1">
            <x v="1"/>
          </reference>
        </references>
      </pivotArea>
    </format>
    <format dxfId="519">
      <pivotArea type="all" dataOnly="0" outline="0" fieldPosition="0"/>
    </format>
    <format dxfId="518">
      <pivotArea outline="0" collapsedLevelsAreSubtotals="1" fieldPosition="0"/>
    </format>
    <format dxfId="517">
      <pivotArea type="origin" dataOnly="0" labelOnly="1" outline="0" fieldPosition="0"/>
    </format>
    <format dxfId="516">
      <pivotArea field="2" type="button" dataOnly="0" labelOnly="1" outline="0" axis="axisRow" fieldPosition="0"/>
    </format>
    <format dxfId="515">
      <pivotArea dataOnly="0" labelOnly="1" fieldPosition="0">
        <references count="1">
          <reference field="2" count="0"/>
        </references>
      </pivotArea>
    </format>
    <format dxfId="514">
      <pivotArea dataOnly="0" labelOnly="1" fieldPosition="0">
        <references count="1">
          <reference field="0" count="0"/>
        </references>
      </pivotArea>
    </format>
    <format dxfId="513">
      <pivotArea dataOnly="0" labelOnly="1" outline="0" fieldPosition="0">
        <references count="2">
          <reference field="4294967294" count="2">
            <x v="0"/>
            <x v="1"/>
          </reference>
          <reference field="0" count="1" selected="0">
            <x v="0"/>
          </reference>
        </references>
      </pivotArea>
    </format>
    <format dxfId="512">
      <pivotArea dataOnly="0" labelOnly="1" outline="0" fieldPosition="0">
        <references count="2">
          <reference field="4294967294" count="2">
            <x v="0"/>
            <x v="1"/>
          </reference>
          <reference field="0" count="1" selected="0">
            <x v="1"/>
          </reference>
        </references>
      </pivotArea>
    </format>
    <format dxfId="511">
      <pivotArea dataOnly="0" labelOnly="1" outline="0" fieldPosition="0">
        <references count="2">
          <reference field="4294967294" count="2">
            <x v="0"/>
            <x v="1"/>
          </reference>
          <reference field="0" count="1" selected="0">
            <x v="2"/>
          </reference>
        </references>
      </pivotArea>
    </format>
    <format dxfId="510">
      <pivotArea dataOnly="0" labelOnly="1" outline="0" fieldPosition="0">
        <references count="2">
          <reference field="4294967294" count="2">
            <x v="0"/>
            <x v="1"/>
          </reference>
          <reference field="0" count="1" selected="0">
            <x v="3"/>
          </reference>
        </references>
      </pivotArea>
    </format>
    <format dxfId="441">
      <pivotArea dataOnly="0" labelOnly="1" fieldPosition="0">
        <references count="1">
          <reference field="0" count="0"/>
        </references>
      </pivotArea>
    </format>
    <format dxfId="294">
      <pivotArea field="0" type="button" dataOnly="0" labelOnly="1" outline="0" axis="axisCol" fieldPosition="0"/>
    </format>
    <format dxfId="292">
      <pivotArea field="-2" type="button" dataOnly="0" labelOnly="1" outline="0" axis="axisCol" fieldPosition="1"/>
    </format>
    <format dxfId="290">
      <pivotArea type="topRight" dataOnly="0" labelOnly="1" outline="0" fieldPosition="0"/>
    </format>
    <format dxfId="288">
      <pivotArea field="0" type="button" dataOnly="0" labelOnly="1" outline="0" axis="axisCol" fieldPosition="0"/>
    </format>
    <format dxfId="287">
      <pivotArea field="-2" type="button" dataOnly="0" labelOnly="1" outline="0" axis="axisCol" fieldPosition="1"/>
    </format>
    <format dxfId="286">
      <pivotArea type="topRight" dataOnly="0" labelOnly="1" outline="0" fieldPosition="0"/>
    </format>
    <format dxfId="285">
      <pivotArea type="topRight" dataOnly="0" labelOnly="1" outline="0" offset="F1" fieldPosition="0"/>
    </format>
    <format dxfId="284">
      <pivotArea dataOnly="0" labelOnly="1" offset="A256" fieldPosition="0">
        <references count="1">
          <reference field="0" count="1">
            <x v="0"/>
          </reference>
        </references>
      </pivotArea>
    </format>
    <format dxfId="283">
      <pivotArea dataOnly="0" labelOnly="1" offset="A256" fieldPosition="0">
        <references count="1">
          <reference field="0" count="1">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Salary"/>
    <pivotHierarchy dragToData="1" caption="Min Salary"/>
    <pivotHierarchy dragToData="1"/>
    <pivotHierarchy dragToData="1"/>
    <pivotHierarchy dragToData="1"/>
    <pivotHierarchy dragToData="1" caption="Min of Monthly Premium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96AA7A-A9CB-4E35-A4EA-C8A7C2000CC6}" name="PivotTable20" cacheId="13" applyNumberFormats="0" applyBorderFormats="0" applyFontFormats="0" applyPatternFormats="0" applyAlignmentFormats="0" applyWidthHeightFormats="1" dataCaption="Values" tag="093017a2-b01c-4034-afb0-c4d62d1ef054" updatedVersion="8" minRefreshableVersion="3" useAutoFormatting="1" subtotalHiddenItems="1" itemPrintTitles="1" createdVersion="8" indent="0" outline="1" outlineData="1" multipleFieldFilters="0" chartFormat="4" rowHeaderCaption="Department" colHeaderCaption="Locations">
  <location ref="G1:L8"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name="Average of Monthly Premiums" fld="2" subtotal="average" baseField="1" baseItem="0" numFmtId="165"/>
  </dataFields>
  <formats count="10">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axis="axisCol" fieldPosition="0"/>
    </format>
    <format dxfId="16">
      <pivotArea type="topRight" dataOnly="0" labelOnly="1" outline="0"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fieldPosition="0">
        <references count="1">
          <reference field="0" count="0"/>
        </references>
      </pivotArea>
    </format>
    <format dxfId="11">
      <pivotArea dataOnly="0" labelOnly="1" grandCol="1" outline="0"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078AA1-661A-4F49-A552-741D81BD8B9E}" name="PivotTable19" cacheId="12" applyNumberFormats="0" applyBorderFormats="0" applyFontFormats="0" applyPatternFormats="0" applyAlignmentFormats="0" applyWidthHeightFormats="1" dataCaption="Values" tag="87280b58-3f6b-4c21-a435-5e68354b7efa" updatedVersion="8" minRefreshableVersion="3" useAutoFormatting="1" subtotalHiddenItems="1" itemPrintTitles="1" createdVersion="8" indent="0" outline="1" outlineData="1" multipleFieldFilters="0" rowHeaderCaption="Department">
  <location ref="A1:E26"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s>
  <rowFields count="2">
    <field x="4"/>
    <field x="5"/>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10"/>
  </dataFields>
  <formats count="11">
    <format dxfId="1017">
      <pivotArea outline="0" collapsedLevelsAreSubtotals="1" fieldPosition="0">
        <references count="1">
          <reference field="4294967294" count="1" selected="0">
            <x v="3"/>
          </reference>
        </references>
      </pivotArea>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fieldPosition="0">
        <references count="2">
          <reference field="4" count="1" selected="0">
            <x v="0"/>
          </reference>
          <reference field="5" count="0"/>
        </references>
      </pivotArea>
    </format>
    <format dxfId="24">
      <pivotArea dataOnly="0" labelOnly="1" fieldPosition="0">
        <references count="2">
          <reference field="4" count="1" selected="0">
            <x v="1"/>
          </reference>
          <reference field="5" count="0"/>
        </references>
      </pivotArea>
    </format>
    <format dxfId="23">
      <pivotArea dataOnly="0" labelOnly="1" fieldPosition="0">
        <references count="2">
          <reference field="4" count="1" selected="0">
            <x v="2"/>
          </reference>
          <reference field="5" count="0"/>
        </references>
      </pivotArea>
    </format>
    <format dxfId="22">
      <pivotArea dataOnly="0" labelOnly="1" fieldPosition="0">
        <references count="2">
          <reference field="4" count="1" selected="0">
            <x v="3"/>
          </reference>
          <reference field="5" count="0"/>
        </references>
      </pivotArea>
    </format>
    <format dxfId="21">
      <pivotArea dataOnly="0" labelOnly="1" outline="0" fieldPosition="0">
        <references count="1">
          <reference field="4294967294" count="4">
            <x v="0"/>
            <x v="1"/>
            <x v="2"/>
            <x v="3"/>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A09A2E-BB82-44EE-9718-5B7687259B47}" name="PivotTable11" cacheId="14" applyNumberFormats="0" applyBorderFormats="0" applyFontFormats="0" applyPatternFormats="0" applyAlignmentFormats="0" applyWidthHeightFormats="1" dataCaption="Values" tag="d550a711-d8ab-4ed8-8bd9-313f9e72055a" updatedVersion="8" minRefreshableVersion="3" subtotalHiddenItems="1" colGrandTotals="0" itemPrintTitles="1" createdVersion="8" indent="0" outline="1" outlineData="1" multipleFieldFilters="0">
  <location ref="A10:C16"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5">
    <i>
      <x/>
    </i>
    <i>
      <x v="1"/>
    </i>
    <i>
      <x v="2"/>
    </i>
    <i>
      <x v="3"/>
    </i>
    <i t="grand">
      <x/>
    </i>
  </rowItems>
  <colFields count="1">
    <field x="1"/>
  </colFields>
  <colItems count="2">
    <i>
      <x/>
    </i>
    <i>
      <x v="1"/>
    </i>
  </colItems>
  <dataFields count="1">
    <dataField name="Average of Monthly Base Salary (INR)" fld="2" subtotal="average" baseField="0" baseItem="0" numFmtId="165"/>
  </dataFields>
  <formats count="2">
    <format dxfId="1015">
      <pivotArea outline="0" collapsedLevelsAreSubtotals="1" fieldPosition="0"/>
    </format>
    <format dxfId="1014">
      <pivotArea outline="0" fieldPosition="0">
        <references count="1">
          <reference field="4294967294" count="1">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Monthly Base Salary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B224AF-8C57-4989-91C4-03E83BF505AC}" name="PivotTable10" cacheId="15" applyNumberFormats="0" applyBorderFormats="0" applyFontFormats="0" applyPatternFormats="0" applyAlignmentFormats="0" applyWidthHeightFormats="1" dataCaption="Values" tag="d2454189-bd5e-40b1-968f-259b85a283ed" updatedVersion="8" minRefreshableVersion="3" useAutoFormatting="1" itemPrintTitles="1" createdVersion="8" indent="0" outline="1" outlineData="1" multipleFieldFilters="0">
  <location ref="A1:F8"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fld="2" subtotal="count" baseField="0" baseItem="0" numFmtId="164"/>
  </dataFields>
  <formats count="1">
    <format dxfId="1016">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6" xr16:uid="{035A4461-6486-4394-AE11-9D8AA88E3506}" autoFormatId="16" applyNumberFormats="0" applyBorderFormats="0" applyFontFormats="0" applyPatternFormats="0" applyAlignmentFormats="0" applyWidthHeightFormats="0">
  <queryTableRefresh nextId="9">
    <queryTableFields count="4">
      <queryTableField id="5" name="Internal Department" tableColumnId="5"/>
      <queryTableField id="6" name="Vendor Survey Job Code" tableColumnId="6"/>
      <queryTableField id="7" name="Vendor Global Group Name" tableColumnId="7"/>
      <queryTableField id="8" name="Industry Peer Segme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2" xr16:uid="{F1A4B3BB-9E79-49A4-A9EC-BEB1CA29B139}" autoFormatId="16" applyNumberFormats="0" applyBorderFormats="0" applyFontFormats="0" applyPatternFormats="0" applyAlignmentFormats="0" applyWidthHeightFormats="0">
  <queryTableRefresh nextId="14">
    <queryTableFields count="13">
      <queryTableField id="1" name="Employee ID" tableColumnId="1"/>
      <queryTableField id="2" name="Full Name" tableColumnId="2"/>
      <queryTableField id="3" name="Gender" tableColumnId="3"/>
      <queryTableField id="4" name="Department" tableColumnId="4"/>
      <queryTableField id="5" name="Location" tableColumnId="5"/>
      <queryTableField id="6" name="Monthly Base Salary (INR)" tableColumnId="6"/>
      <queryTableField id="7" name="Corporate Benefit Plan" tableColumnId="7"/>
      <queryTableField id="8" name="Insurance tier" tableColumnId="8"/>
      <queryTableField id="9" name="Monthly Premiums" tableColumnId="9"/>
      <queryTableField id="10" name="Salary Bracket" tableColumnId="10"/>
      <queryTableField id="11" name="Salary Tier" tableColumnId="11"/>
      <queryTableField id="12" name="Vendor Survey Job Code" tableColumnId="12"/>
      <queryTableField id="13" name="Vendor Global Group Name" tableColumnId="13"/>
    </queryTableFields>
  </queryTableRefresh>
  <extLst>
    <ext xmlns:x15="http://schemas.microsoft.com/office/spreadsheetml/2010/11/main" uri="{883FBD77-0823-4a55-B5E3-86C4891E6966}">
      <x15:queryTable sourceDataName="Query - Query_Audit_Exceptions(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CEF7CF-4BB2-45E1-A9C0-63D2CE91842F}" autoFormatId="16" applyNumberFormats="0" applyBorderFormats="0" applyFontFormats="0" applyPatternFormats="0" applyAlignmentFormats="0" applyWidthHeightFormats="0">
  <queryTableRefresh nextId="18">
    <queryTableFields count="13">
      <queryTableField id="1" name="Employee ID" tableColumnId="1"/>
      <queryTableField id="2" name="Full Name" tableColumnId="2"/>
      <queryTableField id="3" name="Gender" tableColumnId="3"/>
      <queryTableField id="4" name="Department" tableColumnId="4"/>
      <queryTableField id="5" name="Location" tableColumnId="5"/>
      <queryTableField id="6" name="Monthly Base Salary (INR)" tableColumnId="6"/>
      <queryTableField id="7" name="Corporate Benefit Plan" tableColumnId="7"/>
      <queryTableField id="8" name="Insurance tier" tableColumnId="8"/>
      <queryTableField id="9" name="Monthly Premiums" tableColumnId="9"/>
      <queryTableField id="10" name="Salary Bracket" tableColumnId="10"/>
      <queryTableField id="12" name="Salary Tier" tableColumnId="12"/>
      <queryTableField id="13" name="Vendor Survey Job Code" tableColumnId="11"/>
      <queryTableField id="14" name="Vendor Global Group Name" tableColumnId="13"/>
    </queryTableFields>
  </queryTableRefresh>
  <extLst>
    <ext xmlns:x15="http://schemas.microsoft.com/office/spreadsheetml/2010/11/main" uri="{883FBD77-0823-4a55-B5E3-86C4891E6966}">
      <x15:queryTable sourceDataName="Query - Indian_Employee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6E60B9-E22B-47DC-A7CD-CB342323F8CD}" sourceName="[Indian_Employee_Data].[Gender]">
  <pivotTables>
    <pivotTable tabId="29" name="High-cost % by department x location"/>
    <pivotTable tabId="29" name="Benefit plan mix"/>
    <pivotTable tabId="29" name="Plan mix by tier"/>
    <pivotTable tabId="29" name="Benefit Plans"/>
  </pivotTables>
  <data>
    <olap pivotCacheId="900944189">
      <levels count="2">
        <level uniqueName="[Indian_Employee_Data].[Gender].[(All)]" sourceCaption="(All)" count="0"/>
        <level uniqueName="[Indian_Employee_Data].[Gender].[Gender]" sourceCaption="Gender" count="3">
          <ranges>
            <range startItem="0">
              <i n="[Indian_Employee_Data].[Gender].&amp;[Female]" c="Female"/>
              <i n="[Indian_Employee_Data].[Gender].&amp;[Male]" c="Male"/>
              <i n="[Indian_Employee_Data].[Gender].&amp;[Transgender]" c="Transgender"/>
            </range>
          </ranges>
        </level>
      </levels>
      <selections count="1">
        <selection n="[Indian_Employee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616D6D3-C5AC-41DC-97B8-679DD714990B}" sourceName="[Indian_Employee_Data].[Location]">
  <pivotTables>
    <pivotTable tabId="29" name="High-cost % by department x location"/>
    <pivotTable tabId="29" name="Benefit plan mix"/>
    <pivotTable tabId="29" name="Gender pay gap by salary band"/>
    <pivotTable tabId="29" name="Benefit Plans"/>
    <pivotTable tabId="29" name="Plan mix by tier"/>
  </pivotTables>
  <data>
    <olap pivotCacheId="900944189">
      <levels count="2">
        <level uniqueName="[Indian_Employee_Data].[Location].[(All)]" sourceCaption="(All)" count="0"/>
        <level uniqueName="[Indian_Employee_Data].[Location].[Location]" sourceCaption="Location" count="4">
          <ranges>
            <range startItem="0">
              <i n="[Indian_Employee_Data].[Location].&amp;[Bengaluru]" c="Bengaluru"/>
              <i n="[Indian_Employee_Data].[Location].&amp;[Gurugram]" c="Gurugram"/>
              <i n="[Indian_Employee_Data].[Location].&amp;[Hyderabad]" c="Hyderabad"/>
              <i n="[Indian_Employee_Data].[Location].&amp;[Noida]" c="Noida"/>
            </range>
          </ranges>
        </level>
      </levels>
      <selections count="1">
        <selection n="[Indian_Employee_Data].[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F045EA-A1D5-400E-994A-EDDC79E34091}" sourceName="[Indian_Employee_Data].[Department]">
  <pivotTables>
    <pivotTable tabId="29" name="High-cost % by department x location"/>
    <pivotTable tabId="29" name="Benefit plan mix"/>
    <pivotTable tabId="29" name="Gender pay gap by salary band"/>
    <pivotTable tabId="29" name="Plan mix by tier"/>
    <pivotTable tabId="29" name="Benefit Plans"/>
  </pivotTables>
  <data>
    <olap pivotCacheId="900944189">
      <levels count="2">
        <level uniqueName="[Indian_Employee_Data].[Department].[(All)]" sourceCaption="(All)" count="0"/>
        <level uniqueName="[Indian_Employee_Data].[Department].[Department]" sourceCaption="Department" count="5">
          <ranges>
            <range startItem="0">
              <i n="[Indian_Employee_Data].[Department].&amp;[Finance]" c="Finance"/>
              <i n="[Indian_Employee_Data].[Department].&amp;[HR]" c="HR"/>
              <i n="[Indian_Employee_Data].[Department].&amp;[Operations]" c="Operations"/>
              <i n="[Indian_Employee_Data].[Department].&amp;[Sales]" c="Sales"/>
              <i n="[Indian_Employee_Data].[Department].&amp;[Tech]" c="Tech"/>
            </range>
          </ranges>
        </level>
      </levels>
      <selections count="1">
        <selection n="[Indian_Employee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D6FD82-DA8A-420A-A8DC-006FB6D9A97A}" cache="Slicer_Gender" caption="Gender" level="1" rowHeight="257175"/>
  <slicer name="Location" xr10:uid="{24A9BECF-F1E1-495E-915C-3921E7413E89}" cache="Slicer_Location" caption="Location" level="1" rowHeight="257175"/>
  <slicer name="Department" xr10:uid="{5C60461C-587E-435E-9951-85E4B9DD48D1}" cache="Slicer_Department" caption="Department"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834C37-4B0B-4468-B70D-73A9785D357F}" name="Vendor_Map" displayName="Vendor_Map" ref="A1:D6" tableType="queryTable" totalsRowShown="0">
  <autoFilter ref="A1:D6" xr:uid="{52834C37-4B0B-4468-B70D-73A9785D357F}"/>
  <tableColumns count="4">
    <tableColumn id="5" xr3:uid="{E62A75E8-FCD8-42DA-A74B-6C2CF1BAA52F}" uniqueName="5" name="Internal Department" queryTableFieldId="5"/>
    <tableColumn id="6" xr3:uid="{B29FA472-7354-4ADA-B605-21E4B2244834}" uniqueName="6" name="Vendor Survey Job Code" queryTableFieldId="6"/>
    <tableColumn id="7" xr3:uid="{3E086D25-7B8E-4EB4-9C1B-A591646B31E2}" uniqueName="7" name="Vendor Global Group Name" queryTableFieldId="7"/>
    <tableColumn id="8" xr3:uid="{876016ED-B68A-433C-A16D-60B11DAB3E0B}" uniqueName="8" name="Industry Peer Segme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5A6978-5A8F-48D0-B09E-1B4235FF2841}" name="Query_Audit_Exceptions_2" displayName="Query_Audit_Exceptions_2_1" ref="A1:M2" tableType="queryTable" insertRow="1" totalsRowShown="0">
  <autoFilter ref="A1:M2" xr:uid="{4B5A6978-5A8F-48D0-B09E-1B4235FF2841}"/>
  <tableColumns count="13">
    <tableColumn id="1" xr3:uid="{E2BEEA7D-671D-4D7E-8CC5-92259CF12922}" uniqueName="1" name="Employee ID" queryTableFieldId="1"/>
    <tableColumn id="2" xr3:uid="{77957262-6F0D-4016-BE25-C116CB96D4D7}" uniqueName="2" name="Full Name" queryTableFieldId="2"/>
    <tableColumn id="3" xr3:uid="{638141A7-D4B2-4550-8524-B4FFE4C320C1}" uniqueName="3" name="Gender" queryTableFieldId="3"/>
    <tableColumn id="4" xr3:uid="{7C85394C-7A8E-4460-B91B-2CF9FB9B7934}" uniqueName="4" name="Department" queryTableFieldId="4"/>
    <tableColumn id="5" xr3:uid="{1DBF2BD4-62E0-4A3B-8E9D-52936DB8AD93}" uniqueName="5" name="Location" queryTableFieldId="5"/>
    <tableColumn id="6" xr3:uid="{849756C9-B219-4E8D-84BA-A5BE9087F7FB}" uniqueName="6" name="Monthly Base Salary (INR)" queryTableFieldId="6"/>
    <tableColumn id="7" xr3:uid="{0DF583EB-7C75-4379-A3DC-30CC4F54064D}" uniqueName="7" name="Corporate Benefit Plan" queryTableFieldId="7"/>
    <tableColumn id="8" xr3:uid="{A1B17668-2BB5-4DDC-BB79-BF08805A9DB8}" uniqueName="8" name="Insurance tier" queryTableFieldId="8"/>
    <tableColumn id="9" xr3:uid="{AA59F5EA-0046-4E29-B857-E249ECFD8A93}" uniqueName="9" name="Monthly Premiums" queryTableFieldId="9"/>
    <tableColumn id="10" xr3:uid="{4DFCF2F4-2A4C-4C61-9937-F3F53660F633}" uniqueName="10" name="Salary Bracket" queryTableFieldId="10"/>
    <tableColumn id="11" xr3:uid="{7834AEA4-5361-4980-819F-3475F855D5BA}" uniqueName="11" name="Salary Tier" queryTableFieldId="11"/>
    <tableColumn id="12" xr3:uid="{7CBD5DA3-E6D6-4387-A5CC-5037D30D7FBB}" uniqueName="12" name="Vendor Survey Job Code" queryTableFieldId="12"/>
    <tableColumn id="13" xr3:uid="{75A4CE08-6BC1-4386-8015-530A0A715693}" uniqueName="13" name="Vendor Global Group Name"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6CF894-59D3-42EB-97BC-2B17229502BE}" name="Indian_Employee_Data" displayName="Indian_Employee_Data" ref="A1:M494" tableType="queryTable" totalsRowCount="1">
  <tableColumns count="13">
    <tableColumn id="1" xr3:uid="{8C204637-BCFC-43CC-A9A9-BCE1A224FF5B}" uniqueName="1" name="Employee ID" queryTableFieldId="1" dataDxfId="1024"/>
    <tableColumn id="2" xr3:uid="{3E42DD54-9A44-4026-8EB5-CC20979D7DB9}" uniqueName="2" name="Full Name" queryTableFieldId="2"/>
    <tableColumn id="3" xr3:uid="{987AE9FA-E0A4-4EDB-A6B6-D2F1A6AB6D69}" uniqueName="3" name="Gender" queryTableFieldId="3"/>
    <tableColumn id="4" xr3:uid="{0507D812-A98B-4D9A-BCAD-1742096B1146}" uniqueName="4" name="Department" queryTableFieldId="4" dataDxfId="1023"/>
    <tableColumn id="5" xr3:uid="{ACB5C6B9-4369-4A7B-9933-C037F27EF70F}" uniqueName="5" name="Location" queryTableFieldId="5" dataDxfId="1022"/>
    <tableColumn id="6" xr3:uid="{E51F64BC-C3C2-4F8E-8757-4FC1DC88B0E6}" uniqueName="6" name="Monthly Base Salary (INR)" queryTableFieldId="6" dataDxfId="1021" totalsRowDxfId="1020"/>
    <tableColumn id="7" xr3:uid="{FE62D00D-30DE-433A-8365-BD3C650A6FFE}" uniqueName="7" name="Corporate Benefit Plan" queryTableFieldId="7"/>
    <tableColumn id="8" xr3:uid="{89830E44-0D4A-458F-B18F-6868240072D5}" uniqueName="8" name="Insurance tier" queryTableFieldId="8"/>
    <tableColumn id="9" xr3:uid="{1CC275F6-B295-4243-B7FB-964BB7025E15}" uniqueName="9" name="Monthly Premiums" queryTableFieldId="9" dataDxfId="1019" totalsRowDxfId="1018"/>
    <tableColumn id="10" xr3:uid="{D8FBA63A-E393-41A1-9257-7A8DD657BD7F}" uniqueName="10" name="Salary Bracket" queryTableFieldId="10"/>
    <tableColumn id="12" xr3:uid="{026F994E-BC17-4B2E-BC45-639B8818261D}" uniqueName="12" name="Salary Tier" queryTableFieldId="12"/>
    <tableColumn id="11" xr3:uid="{BB271618-A2DD-4D6B-8F14-F2A30EC9396E}" uniqueName="11" name="Vendor Survey Job Code" queryTableFieldId="13"/>
    <tableColumn id="13" xr3:uid="{99A3DF2C-A6CE-4828-B1BE-52FD9AB24C6E}" uniqueName="13" name="Vendor Global Group Nam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FD1AB-BD38-4486-A229-5420ABB66E1C}">
  <dimension ref="A1:H31"/>
  <sheetViews>
    <sheetView tabSelected="1" workbookViewId="0">
      <selection activeCell="A10" sqref="A10:XFD10"/>
    </sheetView>
  </sheetViews>
  <sheetFormatPr defaultRowHeight="15" x14ac:dyDescent="0.25"/>
  <cols>
    <col min="1" max="1" width="38.140625" style="12" customWidth="1"/>
    <col min="2" max="2" width="66.7109375" style="12" customWidth="1"/>
    <col min="3" max="8" width="9.5703125" style="12" customWidth="1"/>
  </cols>
  <sheetData>
    <row r="1" spans="1:8" ht="33.950000000000003" customHeight="1" x14ac:dyDescent="0.4">
      <c r="A1" s="36" t="s">
        <v>974</v>
      </c>
      <c r="B1" s="37"/>
      <c r="C1" s="37"/>
      <c r="D1" s="37"/>
      <c r="E1" s="37"/>
      <c r="F1" s="37"/>
      <c r="G1" s="37"/>
      <c r="H1" s="37"/>
    </row>
    <row r="2" spans="1:8" ht="24" customHeight="1" x14ac:dyDescent="0.25">
      <c r="A2" s="38" t="s">
        <v>975</v>
      </c>
      <c r="B2" s="37"/>
      <c r="C2" s="37"/>
      <c r="D2" s="37"/>
      <c r="E2" s="37"/>
      <c r="F2" s="37"/>
      <c r="G2" s="37"/>
      <c r="H2" s="37"/>
    </row>
    <row r="3" spans="1:8" x14ac:dyDescent="0.25">
      <c r="A3" s="11"/>
      <c r="B3" s="11"/>
      <c r="C3" s="11"/>
      <c r="D3" s="11"/>
      <c r="E3" s="11"/>
      <c r="F3" s="11"/>
      <c r="G3" s="11"/>
      <c r="H3" s="11"/>
    </row>
    <row r="4" spans="1:8" x14ac:dyDescent="0.25">
      <c r="A4" s="13" t="s">
        <v>976</v>
      </c>
      <c r="B4" s="13" t="s">
        <v>977</v>
      </c>
      <c r="C4" s="11"/>
      <c r="D4" s="11"/>
      <c r="E4" s="11"/>
      <c r="F4" s="11"/>
      <c r="G4" s="11"/>
      <c r="H4" s="11"/>
    </row>
    <row r="5" spans="1:8" ht="30" x14ac:dyDescent="0.25">
      <c r="A5" s="14" t="s">
        <v>978</v>
      </c>
      <c r="B5" s="15" t="s">
        <v>979</v>
      </c>
      <c r="C5" s="11"/>
      <c r="D5" s="11"/>
      <c r="E5" s="11"/>
      <c r="F5" s="11"/>
      <c r="G5" s="11"/>
      <c r="H5" s="11"/>
    </row>
    <row r="6" spans="1:8" x14ac:dyDescent="0.25">
      <c r="A6" s="14" t="s">
        <v>980</v>
      </c>
      <c r="B6" s="15" t="s">
        <v>981</v>
      </c>
      <c r="C6" s="11"/>
      <c r="D6" s="11"/>
      <c r="E6" s="11"/>
      <c r="F6" s="11"/>
      <c r="G6" s="11"/>
      <c r="H6" s="11"/>
    </row>
    <row r="7" spans="1:8" x14ac:dyDescent="0.25">
      <c r="A7" s="156" t="s">
        <v>1035</v>
      </c>
      <c r="B7" s="157" t="s">
        <v>1036</v>
      </c>
      <c r="C7" s="11"/>
      <c r="D7" s="11"/>
      <c r="E7" s="11"/>
      <c r="F7" s="11"/>
      <c r="G7" s="11"/>
      <c r="H7" s="11"/>
    </row>
    <row r="8" spans="1:8" s="140" customFormat="1" ht="30" x14ac:dyDescent="0.25">
      <c r="A8" s="156" t="s">
        <v>982</v>
      </c>
      <c r="B8" s="157" t="s">
        <v>983</v>
      </c>
      <c r="C8" s="158"/>
      <c r="D8" s="158"/>
      <c r="E8" s="158"/>
      <c r="F8" s="158"/>
      <c r="G8" s="158"/>
      <c r="H8" s="158"/>
    </row>
    <row r="9" spans="1:8" ht="30" x14ac:dyDescent="0.25">
      <c r="A9" s="14" t="s">
        <v>984</v>
      </c>
      <c r="B9" s="15" t="s">
        <v>985</v>
      </c>
      <c r="C9" s="11"/>
      <c r="D9" s="11"/>
      <c r="E9" s="11"/>
      <c r="F9" s="11"/>
      <c r="G9" s="11"/>
      <c r="H9" s="11"/>
    </row>
    <row r="10" spans="1:8" x14ac:dyDescent="0.25">
      <c r="A10" s="14" t="s">
        <v>986</v>
      </c>
      <c r="B10" s="15" t="s">
        <v>987</v>
      </c>
      <c r="C10" s="11"/>
      <c r="D10" s="11"/>
      <c r="E10" s="11"/>
      <c r="F10" s="11"/>
      <c r="G10" s="11"/>
      <c r="H10" s="11"/>
    </row>
    <row r="11" spans="1:8" x14ac:dyDescent="0.25">
      <c r="A11" s="14" t="s">
        <v>988</v>
      </c>
      <c r="B11" s="15" t="s">
        <v>989</v>
      </c>
      <c r="C11" s="11"/>
      <c r="D11" s="11"/>
      <c r="E11" s="11"/>
      <c r="F11" s="11"/>
      <c r="G11" s="11"/>
      <c r="H11" s="11"/>
    </row>
    <row r="12" spans="1:8" x14ac:dyDescent="0.25">
      <c r="A12" s="11"/>
      <c r="B12" s="11"/>
      <c r="C12" s="11"/>
      <c r="D12" s="11"/>
      <c r="E12" s="11"/>
      <c r="F12" s="11"/>
      <c r="G12" s="11"/>
      <c r="H12" s="11"/>
    </row>
    <row r="13" spans="1:8" x14ac:dyDescent="0.25">
      <c r="A13" s="11"/>
      <c r="B13" s="11"/>
      <c r="C13" s="11"/>
      <c r="D13" s="11"/>
      <c r="E13" s="11"/>
      <c r="F13" s="11"/>
      <c r="G13" s="11"/>
      <c r="H13" s="11"/>
    </row>
    <row r="14" spans="1:8" x14ac:dyDescent="0.25">
      <c r="A14" s="11"/>
      <c r="B14" s="11"/>
      <c r="C14" s="11"/>
      <c r="D14" s="11"/>
      <c r="E14" s="11"/>
      <c r="F14" s="11"/>
      <c r="G14" s="11"/>
      <c r="H14" s="11"/>
    </row>
    <row r="15" spans="1:8" x14ac:dyDescent="0.25">
      <c r="A15" s="11"/>
      <c r="B15" s="11"/>
      <c r="C15" s="11"/>
      <c r="D15" s="11"/>
      <c r="E15" s="11"/>
      <c r="F15" s="11"/>
      <c r="G15" s="11"/>
      <c r="H15" s="11"/>
    </row>
    <row r="16" spans="1:8" x14ac:dyDescent="0.25">
      <c r="A16" s="11"/>
      <c r="B16" s="11"/>
      <c r="C16" s="11"/>
      <c r="D16" s="11"/>
      <c r="E16" s="11"/>
      <c r="F16" s="11"/>
      <c r="G16" s="11"/>
      <c r="H16" s="11"/>
    </row>
    <row r="17" spans="1:8" x14ac:dyDescent="0.25">
      <c r="A17" s="11"/>
      <c r="B17" s="11"/>
      <c r="C17" s="11"/>
      <c r="D17" s="11"/>
      <c r="E17" s="11"/>
      <c r="F17" s="11"/>
      <c r="G17" s="11"/>
      <c r="H17" s="11"/>
    </row>
    <row r="18" spans="1:8" x14ac:dyDescent="0.25">
      <c r="A18" s="11"/>
      <c r="B18" s="11"/>
      <c r="C18" s="11"/>
      <c r="D18" s="11"/>
      <c r="E18" s="11"/>
      <c r="F18" s="11"/>
      <c r="G18" s="11"/>
      <c r="H18" s="11"/>
    </row>
    <row r="19" spans="1:8" x14ac:dyDescent="0.25">
      <c r="A19" s="11"/>
      <c r="B19" s="11"/>
      <c r="C19" s="11"/>
      <c r="D19" s="11"/>
      <c r="E19" s="11"/>
      <c r="F19" s="11"/>
      <c r="G19" s="11"/>
      <c r="H19" s="11"/>
    </row>
    <row r="20" spans="1:8" x14ac:dyDescent="0.25">
      <c r="A20" s="11"/>
      <c r="B20" s="11"/>
      <c r="C20" s="11"/>
      <c r="D20" s="11"/>
      <c r="E20" s="11"/>
      <c r="F20" s="11"/>
      <c r="G20" s="11"/>
      <c r="H20" s="11"/>
    </row>
    <row r="21" spans="1:8" x14ac:dyDescent="0.25">
      <c r="A21" s="11"/>
      <c r="B21" s="11"/>
      <c r="C21" s="11"/>
      <c r="D21" s="11"/>
      <c r="E21" s="11"/>
      <c r="F21" s="11"/>
      <c r="G21" s="11"/>
      <c r="H21" s="11"/>
    </row>
    <row r="22" spans="1:8" x14ac:dyDescent="0.25">
      <c r="A22" s="11"/>
      <c r="B22" s="11"/>
      <c r="C22" s="11"/>
      <c r="D22" s="11"/>
      <c r="E22" s="11"/>
      <c r="F22" s="11"/>
      <c r="G22" s="11"/>
      <c r="H22" s="11"/>
    </row>
    <row r="23" spans="1:8" x14ac:dyDescent="0.25">
      <c r="A23" s="11"/>
      <c r="B23" s="11"/>
      <c r="C23" s="11"/>
      <c r="D23" s="11"/>
      <c r="E23" s="11"/>
      <c r="F23" s="11"/>
      <c r="G23" s="11"/>
      <c r="H23" s="11"/>
    </row>
    <row r="24" spans="1:8" x14ac:dyDescent="0.25">
      <c r="A24" s="11"/>
      <c r="B24" s="11"/>
      <c r="C24" s="11"/>
      <c r="D24" s="11"/>
      <c r="E24" s="11"/>
      <c r="F24" s="11"/>
      <c r="G24" s="11"/>
      <c r="H24" s="11"/>
    </row>
    <row r="25" spans="1:8" x14ac:dyDescent="0.25">
      <c r="A25" s="11"/>
      <c r="B25" s="11"/>
      <c r="C25" s="11"/>
      <c r="D25" s="11"/>
      <c r="E25" s="11"/>
      <c r="F25" s="11"/>
      <c r="G25" s="11"/>
      <c r="H25" s="11"/>
    </row>
    <row r="26" spans="1:8" x14ac:dyDescent="0.25">
      <c r="A26" s="11"/>
      <c r="B26" s="11"/>
      <c r="C26" s="11"/>
      <c r="D26" s="11"/>
      <c r="E26" s="11"/>
      <c r="F26" s="11"/>
      <c r="G26" s="11"/>
      <c r="H26" s="11"/>
    </row>
    <row r="27" spans="1:8" x14ac:dyDescent="0.25">
      <c r="A27" s="11"/>
      <c r="B27" s="11"/>
      <c r="C27" s="11"/>
      <c r="D27" s="11"/>
      <c r="E27" s="11"/>
      <c r="F27" s="11"/>
      <c r="G27" s="11"/>
      <c r="H27" s="11"/>
    </row>
    <row r="28" spans="1:8" x14ac:dyDescent="0.25">
      <c r="A28" s="11"/>
      <c r="B28" s="11"/>
      <c r="C28" s="11"/>
      <c r="D28" s="11"/>
      <c r="E28" s="11"/>
      <c r="F28" s="11"/>
      <c r="G28" s="11"/>
      <c r="H28" s="11"/>
    </row>
    <row r="29" spans="1:8" x14ac:dyDescent="0.25">
      <c r="A29" s="11"/>
      <c r="B29" s="11"/>
      <c r="C29" s="11"/>
      <c r="D29" s="11"/>
      <c r="E29" s="11"/>
      <c r="F29" s="11"/>
      <c r="G29" s="11"/>
      <c r="H29" s="11"/>
    </row>
    <row r="30" spans="1:8" x14ac:dyDescent="0.25">
      <c r="A30" s="11"/>
      <c r="B30" s="11"/>
      <c r="C30" s="11"/>
      <c r="D30" s="11"/>
      <c r="E30" s="11"/>
      <c r="F30" s="11"/>
      <c r="G30" s="11"/>
      <c r="H30" s="11"/>
    </row>
    <row r="31" spans="1:8" x14ac:dyDescent="0.25">
      <c r="A31" s="11"/>
      <c r="B31" s="11"/>
      <c r="C31" s="11"/>
      <c r="D31" s="11"/>
      <c r="E31" s="11"/>
      <c r="F31" s="11"/>
      <c r="G31" s="11"/>
      <c r="H31" s="11"/>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E9512-F14B-4787-A1B8-0CB867E164C5}">
  <dimension ref="A1:N60"/>
  <sheetViews>
    <sheetView showGridLines="0" topLeftCell="A5" workbookViewId="0">
      <selection activeCell="AF6" sqref="AF6"/>
    </sheetView>
  </sheetViews>
  <sheetFormatPr defaultRowHeight="15" x14ac:dyDescent="0.25"/>
  <cols>
    <col min="1" max="14" width="10.42578125" style="17" customWidth="1"/>
  </cols>
  <sheetData>
    <row r="1" spans="1:14" ht="28.5" x14ac:dyDescent="0.45">
      <c r="A1" s="49" t="s">
        <v>1001</v>
      </c>
      <c r="B1" s="50"/>
      <c r="C1" s="50"/>
      <c r="D1" s="50"/>
      <c r="E1" s="50"/>
      <c r="F1" s="50"/>
      <c r="G1" s="50"/>
      <c r="H1" s="50"/>
      <c r="I1" s="50"/>
      <c r="J1" s="50"/>
      <c r="K1" s="50"/>
      <c r="L1" s="50"/>
      <c r="M1" s="50"/>
      <c r="N1" s="50"/>
    </row>
    <row r="2" spans="1:14" x14ac:dyDescent="0.25">
      <c r="A2" s="51" t="s">
        <v>1002</v>
      </c>
      <c r="B2" s="52"/>
      <c r="C2" s="52"/>
      <c r="D2" s="52"/>
      <c r="E2" s="52"/>
      <c r="F2" s="52"/>
      <c r="G2" s="52"/>
      <c r="H2" s="52"/>
      <c r="I2" s="52"/>
      <c r="J2" s="52"/>
      <c r="K2" s="52"/>
      <c r="L2" s="52"/>
      <c r="M2" s="52"/>
      <c r="N2" s="52"/>
    </row>
    <row r="3" spans="1:14" x14ac:dyDescent="0.25">
      <c r="A3" s="21" t="s">
        <v>1</v>
      </c>
      <c r="B3" s="18" t="s">
        <v>996</v>
      </c>
      <c r="C3" s="21" t="s">
        <v>22</v>
      </c>
      <c r="D3" s="18" t="s">
        <v>996</v>
      </c>
      <c r="E3" s="21" t="s">
        <v>0</v>
      </c>
      <c r="F3" s="18" t="s">
        <v>996</v>
      </c>
      <c r="G3" s="16"/>
      <c r="H3" s="16" t="s">
        <v>1011</v>
      </c>
      <c r="I3" s="16"/>
      <c r="J3" s="51" t="s">
        <v>1011</v>
      </c>
      <c r="K3" s="52"/>
      <c r="L3" s="52"/>
      <c r="M3" s="52"/>
      <c r="N3" s="52"/>
    </row>
    <row r="4" spans="1:14" x14ac:dyDescent="0.25">
      <c r="A4" s="16"/>
      <c r="B4" s="16"/>
      <c r="C4" s="16"/>
      <c r="D4" s="16"/>
      <c r="E4" s="16"/>
      <c r="F4" s="16"/>
      <c r="G4" s="16"/>
      <c r="H4" s="16"/>
      <c r="I4" s="16"/>
      <c r="J4" s="16"/>
      <c r="K4" s="16"/>
      <c r="L4" s="16"/>
      <c r="M4" s="16"/>
      <c r="N4" s="16"/>
    </row>
    <row r="5" spans="1:14" ht="18.75" x14ac:dyDescent="0.3">
      <c r="A5" s="44" t="s">
        <v>970</v>
      </c>
      <c r="B5" s="45"/>
      <c r="C5" s="45"/>
      <c r="D5" s="44" t="s">
        <v>998</v>
      </c>
      <c r="E5" s="45"/>
      <c r="F5" s="45"/>
      <c r="G5" s="44" t="s">
        <v>1003</v>
      </c>
      <c r="H5" s="45"/>
      <c r="I5" s="45"/>
      <c r="J5" s="44" t="s">
        <v>1000</v>
      </c>
      <c r="K5" s="45"/>
      <c r="L5" s="45"/>
      <c r="M5" s="16"/>
      <c r="N5" s="16"/>
    </row>
    <row r="6" spans="1:14" x14ac:dyDescent="0.25">
      <c r="A6" s="53">
        <f>GETPIVOTDATA("[Measures].[Headcount]",'Rewards &amp; Benefits Allocation'!$A$1)</f>
        <v>492</v>
      </c>
      <c r="B6" s="47"/>
      <c r="C6" s="47"/>
      <c r="D6" s="54">
        <f>GETPIVOTDATA("[Measures].[Average Salary]",'Rewards &amp; Benefits Allocation'!$A$1)</f>
        <v>130673.85365853658</v>
      </c>
      <c r="E6" s="55"/>
      <c r="F6" s="55"/>
      <c r="G6" s="54">
        <f>GETPIVOTDATA("[Measures].[Total Monthly Premium Cost]",'Rewards &amp; Benefits Allocation'!$A$1)</f>
        <v>2583000</v>
      </c>
      <c r="H6" s="47"/>
      <c r="I6" s="47"/>
      <c r="J6" s="46">
        <f>GETPIVOTDATA("[Measures].[High-Cost Employee %]",'Rewards &amp; Benefits Allocation'!$A$1)</f>
        <v>0.23373983739837398</v>
      </c>
      <c r="K6" s="47"/>
      <c r="L6" s="47"/>
      <c r="M6" s="16"/>
      <c r="N6" s="16"/>
    </row>
    <row r="7" spans="1:14" x14ac:dyDescent="0.25">
      <c r="A7" s="47"/>
      <c r="B7" s="47"/>
      <c r="C7" s="47"/>
      <c r="D7" s="47"/>
      <c r="E7" s="47"/>
      <c r="F7" s="47"/>
      <c r="G7" s="47"/>
      <c r="H7" s="47"/>
      <c r="I7" s="47"/>
      <c r="J7" s="47"/>
      <c r="K7" s="47"/>
      <c r="L7" s="47"/>
      <c r="M7" s="16"/>
      <c r="N7" s="16"/>
    </row>
    <row r="8" spans="1:14" x14ac:dyDescent="0.25">
      <c r="A8" s="48"/>
      <c r="B8" s="48"/>
      <c r="C8" s="48"/>
      <c r="D8" s="48"/>
      <c r="E8" s="48"/>
      <c r="F8" s="48"/>
      <c r="G8" s="48"/>
      <c r="H8" s="48"/>
      <c r="I8" s="48"/>
      <c r="J8" s="48"/>
      <c r="K8" s="48"/>
      <c r="L8" s="48"/>
      <c r="M8" s="16"/>
      <c r="N8" s="16"/>
    </row>
    <row r="9" spans="1:14" x14ac:dyDescent="0.25">
      <c r="A9" s="16"/>
      <c r="B9" s="16"/>
      <c r="C9" s="16"/>
      <c r="D9" s="16"/>
      <c r="E9" s="16"/>
      <c r="F9" s="16"/>
      <c r="G9" s="16"/>
      <c r="H9" s="16"/>
      <c r="I9" s="16"/>
      <c r="J9" s="16"/>
      <c r="K9" s="16"/>
      <c r="L9" s="16"/>
      <c r="M9" s="16"/>
      <c r="N9" s="16"/>
    </row>
    <row r="10" spans="1:14" x14ac:dyDescent="0.25">
      <c r="A10" s="39" t="s">
        <v>1004</v>
      </c>
      <c r="B10" s="40"/>
      <c r="C10" s="40"/>
      <c r="D10" s="40"/>
      <c r="E10" s="40"/>
      <c r="F10" s="40"/>
      <c r="G10" s="40"/>
      <c r="H10" s="39" t="s">
        <v>1005</v>
      </c>
      <c r="I10" s="40"/>
      <c r="J10" s="40"/>
      <c r="K10" s="40"/>
      <c r="L10" s="40"/>
      <c r="M10" s="40"/>
      <c r="N10" s="40"/>
    </row>
    <row r="11" spans="1:14" x14ac:dyDescent="0.25">
      <c r="A11" s="19"/>
      <c r="B11" s="19"/>
      <c r="C11" s="19"/>
      <c r="D11" s="19"/>
      <c r="E11" s="19"/>
      <c r="F11" s="19"/>
      <c r="G11" s="19"/>
      <c r="H11" s="19"/>
      <c r="I11" s="19"/>
      <c r="J11" s="19"/>
      <c r="K11" s="19"/>
      <c r="L11" s="19"/>
      <c r="M11" s="19"/>
      <c r="N11" s="19"/>
    </row>
    <row r="12" spans="1:14" x14ac:dyDescent="0.25">
      <c r="A12" s="19"/>
      <c r="B12" s="19"/>
      <c r="C12" s="19"/>
      <c r="D12" s="19"/>
      <c r="E12" s="19"/>
      <c r="F12" s="19"/>
      <c r="G12" s="19"/>
      <c r="H12" s="19"/>
      <c r="I12" s="19"/>
      <c r="J12" s="19"/>
      <c r="K12" s="19"/>
      <c r="L12" s="19"/>
      <c r="M12" s="19"/>
      <c r="N12" s="19"/>
    </row>
    <row r="13" spans="1:14" x14ac:dyDescent="0.25">
      <c r="A13" s="19"/>
      <c r="B13" s="19"/>
      <c r="C13" s="19"/>
      <c r="D13" s="19"/>
      <c r="E13" s="19"/>
      <c r="F13" s="19"/>
      <c r="G13" s="19"/>
      <c r="H13" s="19"/>
      <c r="I13" s="19"/>
      <c r="J13" s="19"/>
      <c r="K13" s="19"/>
      <c r="L13" s="19"/>
      <c r="M13" s="19"/>
      <c r="N13" s="19"/>
    </row>
    <row r="14" spans="1:14" x14ac:dyDescent="0.25">
      <c r="A14" s="19"/>
      <c r="B14" s="19"/>
      <c r="C14" s="19"/>
      <c r="D14" s="19"/>
      <c r="E14" s="19"/>
      <c r="F14" s="19"/>
      <c r="G14" s="19"/>
      <c r="H14" s="19"/>
      <c r="I14" s="19"/>
      <c r="J14" s="19"/>
      <c r="K14" s="19"/>
      <c r="L14" s="19"/>
      <c r="M14" s="19"/>
      <c r="N14" s="19"/>
    </row>
    <row r="15" spans="1:14" x14ac:dyDescent="0.25">
      <c r="A15" s="19"/>
      <c r="B15" s="19"/>
      <c r="C15" s="19"/>
      <c r="D15" s="19"/>
      <c r="E15" s="19"/>
      <c r="F15" s="19"/>
      <c r="G15" s="19"/>
      <c r="H15" s="19"/>
      <c r="I15" s="19"/>
      <c r="J15" s="19"/>
      <c r="K15" s="19"/>
      <c r="L15" s="19"/>
      <c r="M15" s="19"/>
      <c r="N15" s="19"/>
    </row>
    <row r="16" spans="1:14" x14ac:dyDescent="0.25">
      <c r="A16" s="19"/>
      <c r="B16" s="19"/>
      <c r="C16" s="19"/>
      <c r="D16" s="19"/>
      <c r="E16" s="19"/>
      <c r="F16" s="19"/>
      <c r="G16" s="19"/>
      <c r="H16" s="19"/>
      <c r="I16" s="19"/>
      <c r="J16" s="19"/>
      <c r="K16" s="19"/>
      <c r="L16" s="19"/>
      <c r="M16" s="19"/>
      <c r="N16" s="19"/>
    </row>
    <row r="17" spans="1:14" x14ac:dyDescent="0.25">
      <c r="A17" s="19"/>
      <c r="B17" s="19"/>
      <c r="C17" s="19"/>
      <c r="D17" s="19"/>
      <c r="E17" s="19"/>
      <c r="F17" s="19"/>
      <c r="G17" s="19"/>
      <c r="H17" s="19"/>
      <c r="I17" s="19"/>
      <c r="J17" s="19"/>
      <c r="K17" s="19"/>
      <c r="L17" s="19"/>
      <c r="M17" s="19"/>
      <c r="N17" s="19"/>
    </row>
    <row r="18" spans="1:14" x14ac:dyDescent="0.25">
      <c r="A18" s="19"/>
      <c r="B18" s="19"/>
      <c r="C18" s="19"/>
      <c r="D18" s="19"/>
      <c r="E18" s="19"/>
      <c r="F18" s="19"/>
      <c r="G18" s="19"/>
      <c r="H18" s="19"/>
      <c r="I18" s="19"/>
      <c r="J18" s="19"/>
      <c r="K18" s="19"/>
      <c r="L18" s="19"/>
      <c r="M18" s="19"/>
      <c r="N18" s="19"/>
    </row>
    <row r="19" spans="1:14" x14ac:dyDescent="0.25">
      <c r="A19" s="19"/>
      <c r="B19" s="19"/>
      <c r="C19" s="19"/>
      <c r="D19" s="19"/>
      <c r="E19" s="19"/>
      <c r="F19" s="19"/>
      <c r="G19" s="19"/>
      <c r="H19" s="19"/>
      <c r="I19" s="19"/>
      <c r="J19" s="19"/>
      <c r="K19" s="19"/>
      <c r="L19" s="19"/>
      <c r="M19" s="19"/>
      <c r="N19" s="19"/>
    </row>
    <row r="20" spans="1:14" x14ac:dyDescent="0.25">
      <c r="A20" s="19"/>
      <c r="B20" s="19"/>
      <c r="C20" s="19"/>
      <c r="D20" s="19"/>
      <c r="E20" s="19"/>
      <c r="F20" s="19"/>
      <c r="G20" s="19"/>
      <c r="H20" s="19"/>
      <c r="I20" s="19"/>
      <c r="J20" s="19"/>
      <c r="K20" s="19"/>
      <c r="L20" s="19"/>
      <c r="M20" s="19"/>
      <c r="N20" s="19"/>
    </row>
    <row r="21" spans="1:14" x14ac:dyDescent="0.25">
      <c r="A21" s="19"/>
      <c r="B21" s="19"/>
      <c r="C21" s="19"/>
      <c r="D21" s="19"/>
      <c r="E21" s="19"/>
      <c r="F21" s="19"/>
      <c r="G21" s="19"/>
      <c r="H21" s="19"/>
      <c r="I21" s="19"/>
      <c r="J21" s="19"/>
      <c r="K21" s="19"/>
      <c r="L21" s="19"/>
      <c r="M21" s="19"/>
      <c r="N21" s="19"/>
    </row>
    <row r="22" spans="1:14" x14ac:dyDescent="0.25">
      <c r="A22" s="19"/>
      <c r="B22" s="19"/>
      <c r="C22" s="19"/>
      <c r="D22" s="19"/>
      <c r="E22" s="19"/>
      <c r="F22" s="19"/>
      <c r="G22" s="19"/>
      <c r="H22" s="19"/>
      <c r="I22" s="19"/>
      <c r="J22" s="19"/>
      <c r="K22" s="19"/>
      <c r="L22" s="19"/>
      <c r="M22" s="19"/>
      <c r="N22" s="19"/>
    </row>
    <row r="23" spans="1:14" x14ac:dyDescent="0.25">
      <c r="A23" s="19"/>
      <c r="B23" s="19"/>
      <c r="C23" s="19"/>
      <c r="D23" s="19"/>
      <c r="E23" s="19"/>
      <c r="F23" s="19"/>
      <c r="G23" s="19"/>
      <c r="H23" s="19"/>
      <c r="I23" s="19"/>
      <c r="J23" s="19"/>
      <c r="K23" s="19"/>
      <c r="L23" s="19"/>
      <c r="M23" s="19"/>
      <c r="N23" s="19"/>
    </row>
    <row r="24" spans="1:14" x14ac:dyDescent="0.25">
      <c r="A24" s="19"/>
      <c r="B24" s="19"/>
      <c r="C24" s="19"/>
      <c r="D24" s="19"/>
      <c r="E24" s="19"/>
      <c r="F24" s="19"/>
      <c r="G24" s="19"/>
      <c r="H24" s="19"/>
      <c r="I24" s="19"/>
      <c r="J24" s="19"/>
      <c r="K24" s="19"/>
      <c r="L24" s="19"/>
      <c r="M24" s="19"/>
      <c r="N24" s="19"/>
    </row>
    <row r="25" spans="1:14" x14ac:dyDescent="0.25">
      <c r="A25" s="20"/>
      <c r="B25" s="20"/>
      <c r="C25" s="20"/>
      <c r="D25" s="20"/>
      <c r="E25" s="20"/>
      <c r="F25" s="20"/>
      <c r="G25" s="20"/>
      <c r="H25" s="20"/>
      <c r="I25" s="20"/>
      <c r="J25" s="20"/>
      <c r="K25" s="20"/>
      <c r="L25" s="20"/>
      <c r="M25" s="20"/>
      <c r="N25" s="20"/>
    </row>
    <row r="26" spans="1:14" x14ac:dyDescent="0.25">
      <c r="A26" s="16"/>
      <c r="B26" s="16"/>
      <c r="C26" s="16"/>
      <c r="D26" s="16"/>
      <c r="E26" s="16"/>
      <c r="F26" s="16"/>
      <c r="G26" s="16"/>
      <c r="H26" s="16"/>
      <c r="I26" s="16"/>
      <c r="J26" s="16"/>
      <c r="K26" s="16"/>
      <c r="L26" s="16"/>
      <c r="M26" s="16"/>
      <c r="N26" s="16"/>
    </row>
    <row r="27" spans="1:14" x14ac:dyDescent="0.25">
      <c r="A27" s="39" t="s">
        <v>1006</v>
      </c>
      <c r="B27" s="40"/>
      <c r="C27" s="40"/>
      <c r="D27" s="40"/>
      <c r="E27" s="40"/>
      <c r="F27" s="40"/>
      <c r="G27" s="40"/>
      <c r="H27" s="39" t="s">
        <v>1007</v>
      </c>
      <c r="I27" s="40"/>
      <c r="J27" s="40"/>
      <c r="K27" s="40"/>
      <c r="L27" s="40"/>
      <c r="M27" s="40"/>
      <c r="N27" s="40"/>
    </row>
    <row r="28" spans="1:14" x14ac:dyDescent="0.25">
      <c r="A28" s="19"/>
      <c r="B28" s="19"/>
      <c r="C28" s="19"/>
      <c r="D28" s="19"/>
      <c r="E28" s="19"/>
      <c r="F28" s="19"/>
      <c r="G28" s="19"/>
      <c r="H28" s="19"/>
      <c r="I28" s="19"/>
      <c r="J28" s="19"/>
      <c r="K28" s="19"/>
      <c r="L28" s="19"/>
      <c r="M28" s="19"/>
      <c r="N28" s="19"/>
    </row>
    <row r="29" spans="1:14" x14ac:dyDescent="0.25">
      <c r="A29" s="19"/>
      <c r="B29" s="19"/>
      <c r="C29" s="19"/>
      <c r="D29" s="19"/>
      <c r="E29" s="19"/>
      <c r="F29" s="19"/>
      <c r="G29" s="19"/>
      <c r="H29" s="19"/>
      <c r="I29" s="19"/>
      <c r="J29" s="19"/>
      <c r="K29" s="19"/>
      <c r="L29" s="19"/>
      <c r="M29" s="19"/>
      <c r="N29" s="19"/>
    </row>
    <row r="30" spans="1:14" x14ac:dyDescent="0.25">
      <c r="A30" s="19"/>
      <c r="B30" s="19"/>
      <c r="C30" s="19"/>
      <c r="D30" s="19"/>
      <c r="E30" s="19"/>
      <c r="F30" s="19"/>
      <c r="G30" s="19"/>
      <c r="H30" s="19"/>
      <c r="I30" s="19"/>
      <c r="J30" s="19"/>
      <c r="K30" s="19"/>
      <c r="L30" s="19"/>
      <c r="M30" s="19"/>
      <c r="N30" s="19"/>
    </row>
    <row r="31" spans="1:14" x14ac:dyDescent="0.25">
      <c r="A31" s="19"/>
      <c r="B31" s="19"/>
      <c r="C31" s="19"/>
      <c r="D31" s="19"/>
      <c r="E31" s="19"/>
      <c r="F31" s="19"/>
      <c r="G31" s="19"/>
      <c r="H31" s="19"/>
      <c r="I31" s="19"/>
      <c r="J31" s="19"/>
      <c r="K31" s="19"/>
      <c r="L31" s="19"/>
      <c r="M31" s="19"/>
      <c r="N31" s="19"/>
    </row>
    <row r="32" spans="1:14" x14ac:dyDescent="0.25">
      <c r="A32" s="19"/>
      <c r="B32" s="19"/>
      <c r="C32" s="19"/>
      <c r="D32" s="19"/>
      <c r="E32" s="19"/>
      <c r="F32" s="19"/>
      <c r="G32" s="19"/>
      <c r="H32" s="19"/>
      <c r="I32" s="19"/>
      <c r="J32" s="19"/>
      <c r="K32" s="19"/>
      <c r="L32" s="19"/>
      <c r="M32" s="19"/>
      <c r="N32" s="19"/>
    </row>
    <row r="33" spans="1:14" x14ac:dyDescent="0.25">
      <c r="A33" s="19"/>
      <c r="B33" s="19"/>
      <c r="C33" s="19"/>
      <c r="D33" s="19"/>
      <c r="E33" s="19"/>
      <c r="F33" s="19"/>
      <c r="G33" s="19"/>
      <c r="H33" s="19"/>
      <c r="I33" s="19"/>
      <c r="J33" s="19"/>
      <c r="K33" s="19"/>
      <c r="L33" s="19"/>
      <c r="M33" s="19"/>
      <c r="N33" s="19"/>
    </row>
    <row r="34" spans="1:14" x14ac:dyDescent="0.25">
      <c r="A34" s="19"/>
      <c r="B34" s="19"/>
      <c r="C34" s="19"/>
      <c r="D34" s="19"/>
      <c r="E34" s="19"/>
      <c r="F34" s="19"/>
      <c r="G34" s="19"/>
      <c r="H34" s="19"/>
      <c r="I34" s="19"/>
      <c r="J34" s="19"/>
      <c r="K34" s="19"/>
      <c r="L34" s="19"/>
      <c r="M34" s="19"/>
      <c r="N34" s="19"/>
    </row>
    <row r="35" spans="1:14" x14ac:dyDescent="0.25">
      <c r="A35" s="19"/>
      <c r="B35" s="19"/>
      <c r="C35" s="19"/>
      <c r="D35" s="19"/>
      <c r="E35" s="19"/>
      <c r="F35" s="19"/>
      <c r="G35" s="19"/>
      <c r="H35" s="19"/>
      <c r="I35" s="19"/>
      <c r="J35" s="19"/>
      <c r="K35" s="19"/>
      <c r="L35" s="19"/>
      <c r="M35" s="19"/>
      <c r="N35" s="19"/>
    </row>
    <row r="36" spans="1:14" x14ac:dyDescent="0.25">
      <c r="A36" s="19"/>
      <c r="B36" s="19"/>
      <c r="C36" s="19"/>
      <c r="D36" s="19"/>
      <c r="E36" s="19"/>
      <c r="F36" s="19"/>
      <c r="G36" s="19"/>
      <c r="H36" s="19"/>
      <c r="I36" s="19"/>
      <c r="J36" s="19"/>
      <c r="K36" s="19"/>
      <c r="L36" s="19"/>
      <c r="M36" s="19"/>
      <c r="N36" s="19"/>
    </row>
    <row r="37" spans="1:14" x14ac:dyDescent="0.25">
      <c r="A37" s="19"/>
      <c r="B37" s="19"/>
      <c r="C37" s="19"/>
      <c r="D37" s="19"/>
      <c r="E37" s="19"/>
      <c r="F37" s="19"/>
      <c r="G37" s="19"/>
      <c r="H37" s="19"/>
      <c r="I37" s="19"/>
      <c r="J37" s="19"/>
      <c r="K37" s="19"/>
      <c r="L37" s="19"/>
      <c r="M37" s="19"/>
      <c r="N37" s="19"/>
    </row>
    <row r="38" spans="1:14" x14ac:dyDescent="0.25">
      <c r="A38" s="19"/>
      <c r="B38" s="19"/>
      <c r="C38" s="19"/>
      <c r="D38" s="19"/>
      <c r="E38" s="19"/>
      <c r="F38" s="19"/>
      <c r="G38" s="19"/>
      <c r="H38" s="19"/>
      <c r="I38" s="19"/>
      <c r="J38" s="19"/>
      <c r="K38" s="19"/>
      <c r="L38" s="19"/>
      <c r="M38" s="19"/>
      <c r="N38" s="19"/>
    </row>
    <row r="39" spans="1:14" x14ac:dyDescent="0.25">
      <c r="A39" s="19"/>
      <c r="B39" s="19"/>
      <c r="C39" s="19"/>
      <c r="D39" s="19"/>
      <c r="E39" s="19"/>
      <c r="F39" s="19"/>
      <c r="G39" s="19"/>
      <c r="H39" s="19"/>
      <c r="I39" s="19"/>
      <c r="J39" s="19"/>
      <c r="K39" s="19"/>
      <c r="L39" s="19"/>
      <c r="M39" s="19"/>
      <c r="N39" s="19"/>
    </row>
    <row r="40" spans="1:14" x14ac:dyDescent="0.25">
      <c r="A40" s="19"/>
      <c r="B40" s="19"/>
      <c r="C40" s="19"/>
      <c r="D40" s="19"/>
      <c r="E40" s="19"/>
      <c r="F40" s="19"/>
      <c r="G40" s="19"/>
      <c r="H40" s="19"/>
      <c r="I40" s="19"/>
      <c r="J40" s="19"/>
      <c r="K40" s="19"/>
      <c r="L40" s="19"/>
      <c r="M40" s="19"/>
      <c r="N40" s="19"/>
    </row>
    <row r="41" spans="1:14" x14ac:dyDescent="0.25">
      <c r="A41" s="19"/>
      <c r="B41" s="19"/>
      <c r="C41" s="19"/>
      <c r="D41" s="19"/>
      <c r="E41" s="19"/>
      <c r="F41" s="19"/>
      <c r="G41" s="19"/>
      <c r="H41" s="19"/>
      <c r="I41" s="19"/>
      <c r="J41" s="19"/>
      <c r="K41" s="19"/>
      <c r="L41" s="19"/>
      <c r="M41" s="19"/>
      <c r="N41" s="19"/>
    </row>
    <row r="42" spans="1:14" x14ac:dyDescent="0.25">
      <c r="A42" s="20"/>
      <c r="B42" s="20"/>
      <c r="C42" s="20"/>
      <c r="D42" s="20"/>
      <c r="E42" s="20"/>
      <c r="F42" s="20"/>
      <c r="G42" s="20"/>
      <c r="H42" s="20"/>
      <c r="I42" s="20"/>
      <c r="J42" s="20"/>
      <c r="K42" s="20"/>
      <c r="L42" s="20"/>
      <c r="M42" s="20"/>
      <c r="N42" s="20"/>
    </row>
    <row r="43" spans="1:14" x14ac:dyDescent="0.25">
      <c r="A43" s="16"/>
      <c r="B43" s="16"/>
      <c r="C43" s="16"/>
      <c r="D43" s="16"/>
      <c r="E43" s="16"/>
      <c r="F43" s="16"/>
      <c r="G43" s="16"/>
      <c r="H43" s="16"/>
      <c r="I43" s="16"/>
      <c r="J43" s="16"/>
      <c r="K43" s="16"/>
      <c r="L43" s="16"/>
      <c r="M43" s="16"/>
      <c r="N43" s="16"/>
    </row>
    <row r="44" spans="1:14" x14ac:dyDescent="0.25">
      <c r="A44" s="39" t="s">
        <v>1008</v>
      </c>
      <c r="B44" s="40"/>
      <c r="C44" s="40"/>
      <c r="D44" s="40"/>
      <c r="E44" s="40"/>
      <c r="F44" s="40"/>
      <c r="G44" s="40"/>
      <c r="H44" s="40"/>
      <c r="I44" s="40"/>
      <c r="J44" s="40"/>
      <c r="K44" s="40"/>
      <c r="L44" s="40"/>
      <c r="M44" s="40"/>
      <c r="N44" s="40"/>
    </row>
    <row r="45" spans="1:14" ht="15.75" x14ac:dyDescent="0.25">
      <c r="A45" s="23" t="s">
        <v>0</v>
      </c>
      <c r="B45" s="23" t="s">
        <v>1</v>
      </c>
      <c r="C45" s="23" t="s">
        <v>998</v>
      </c>
      <c r="D45" s="23" t="s">
        <v>999</v>
      </c>
      <c r="E45" s="23" t="s">
        <v>970</v>
      </c>
      <c r="F45" s="23" t="s">
        <v>1000</v>
      </c>
      <c r="G45" s="22"/>
      <c r="H45" s="41" t="s">
        <v>1013</v>
      </c>
      <c r="I45" s="42"/>
      <c r="J45" s="42"/>
      <c r="K45" s="42"/>
      <c r="L45" s="42"/>
      <c r="M45" s="42"/>
      <c r="N45" s="42"/>
    </row>
    <row r="46" spans="1:14" ht="15.75" x14ac:dyDescent="0.25">
      <c r="A46" s="30" t="str">
        <f>'Helper Sheet'!H50</f>
        <v>Finance</v>
      </c>
      <c r="B46" s="30" t="str">
        <f>'Helper Sheet'!I50</f>
        <v>Hyderabad</v>
      </c>
      <c r="C46" s="24">
        <f>'Helper Sheet'!J50</f>
        <v>132462.27586206896</v>
      </c>
      <c r="D46" s="24">
        <f>'Helper Sheet'!K50</f>
        <v>5944.8275862068967</v>
      </c>
      <c r="E46" s="25">
        <f>'Helper Sheet'!L50</f>
        <v>29</v>
      </c>
      <c r="F46" s="26">
        <f>'Helper Sheet'!M50</f>
        <v>0.34482758620689657</v>
      </c>
      <c r="G46" s="22"/>
      <c r="H46" s="42"/>
      <c r="I46" s="42"/>
      <c r="J46" s="42"/>
      <c r="K46" s="42"/>
      <c r="L46" s="42"/>
      <c r="M46" s="42"/>
      <c r="N46" s="42"/>
    </row>
    <row r="47" spans="1:14" ht="15.75" x14ac:dyDescent="0.25">
      <c r="A47" s="30" t="str">
        <f>'Helper Sheet'!H51</f>
        <v>Sales</v>
      </c>
      <c r="B47" s="30" t="str">
        <f>'Helper Sheet'!I51</f>
        <v>Gurugram</v>
      </c>
      <c r="C47" s="24">
        <f>'Helper Sheet'!J51</f>
        <v>113461.64</v>
      </c>
      <c r="D47" s="24">
        <f>'Helper Sheet'!K51</f>
        <v>6062</v>
      </c>
      <c r="E47" s="25">
        <f>'Helper Sheet'!L51</f>
        <v>25</v>
      </c>
      <c r="F47" s="26">
        <f>'Helper Sheet'!M51</f>
        <v>0.32</v>
      </c>
      <c r="G47" s="22"/>
      <c r="H47" s="42"/>
      <c r="I47" s="42"/>
      <c r="J47" s="42"/>
      <c r="K47" s="42"/>
      <c r="L47" s="42"/>
      <c r="M47" s="42"/>
      <c r="N47" s="42"/>
    </row>
    <row r="48" spans="1:14" ht="15.75" x14ac:dyDescent="0.25">
      <c r="A48" s="30" t="str">
        <f>'Helper Sheet'!H52</f>
        <v>Operations</v>
      </c>
      <c r="B48" s="30" t="str">
        <f>'Helper Sheet'!I52</f>
        <v>Hyderabad</v>
      </c>
      <c r="C48" s="24">
        <f>'Helper Sheet'!J52</f>
        <v>116854.30769230769</v>
      </c>
      <c r="D48" s="24">
        <f>'Helper Sheet'!K52</f>
        <v>5475</v>
      </c>
      <c r="E48" s="25">
        <f>'Helper Sheet'!L52</f>
        <v>26</v>
      </c>
      <c r="F48" s="26">
        <f>'Helper Sheet'!M52</f>
        <v>0.30769230769230771</v>
      </c>
      <c r="G48" s="22"/>
      <c r="H48" s="42"/>
      <c r="I48" s="42"/>
      <c r="J48" s="42"/>
      <c r="K48" s="42"/>
      <c r="L48" s="42"/>
      <c r="M48" s="42"/>
      <c r="N48" s="42"/>
    </row>
    <row r="49" spans="1:14" ht="15.75" x14ac:dyDescent="0.25">
      <c r="A49" s="30" t="str">
        <f>'Helper Sheet'!H53</f>
        <v>Sales</v>
      </c>
      <c r="B49" s="30" t="str">
        <f>'Helper Sheet'!I53</f>
        <v>Noida</v>
      </c>
      <c r="C49" s="24">
        <f>'Helper Sheet'!J53</f>
        <v>141647.95833333334</v>
      </c>
      <c r="D49" s="24">
        <f>'Helper Sheet'!K53</f>
        <v>5293.75</v>
      </c>
      <c r="E49" s="25">
        <f>'Helper Sheet'!L53</f>
        <v>24</v>
      </c>
      <c r="F49" s="26">
        <f>'Helper Sheet'!M53</f>
        <v>0.29166666666666669</v>
      </c>
      <c r="G49" s="22"/>
      <c r="H49" s="42"/>
      <c r="I49" s="42"/>
      <c r="J49" s="42"/>
      <c r="K49" s="42"/>
      <c r="L49" s="42"/>
      <c r="M49" s="42"/>
      <c r="N49" s="42"/>
    </row>
    <row r="50" spans="1:14" ht="15.75" x14ac:dyDescent="0.25">
      <c r="A50" s="30" t="str">
        <f>'Helper Sheet'!H54</f>
        <v>HR</v>
      </c>
      <c r="B50" s="30" t="str">
        <f>'Helper Sheet'!I54</f>
        <v>Bengaluru</v>
      </c>
      <c r="C50" s="24">
        <f>'Helper Sheet'!J54</f>
        <v>137245.47368421053</v>
      </c>
      <c r="D50" s="24">
        <f>'Helper Sheet'!K54</f>
        <v>5489.4736842105267</v>
      </c>
      <c r="E50" s="25">
        <f>'Helper Sheet'!L54</f>
        <v>19</v>
      </c>
      <c r="F50" s="26">
        <f>'Helper Sheet'!M54</f>
        <v>0.26315789473684209</v>
      </c>
      <c r="G50" s="22"/>
      <c r="H50" s="42"/>
      <c r="I50" s="42"/>
      <c r="J50" s="42"/>
      <c r="K50" s="42"/>
      <c r="L50" s="42"/>
      <c r="M50" s="42"/>
      <c r="N50" s="42"/>
    </row>
    <row r="51" spans="1:14" ht="15.75" x14ac:dyDescent="0.25">
      <c r="A51" s="31" t="str">
        <f>'Helper Sheet'!H55</f>
        <v>Operations</v>
      </c>
      <c r="B51" s="31" t="str">
        <f>'Helper Sheet'!I55</f>
        <v>Gurugram</v>
      </c>
      <c r="C51" s="27">
        <f>'Helper Sheet'!J55</f>
        <v>129313.88888888889</v>
      </c>
      <c r="D51" s="27">
        <f>'Helper Sheet'!K55</f>
        <v>5490.7407407407409</v>
      </c>
      <c r="E51" s="28">
        <f>'Helper Sheet'!L55</f>
        <v>27</v>
      </c>
      <c r="F51" s="29">
        <f>'Helper Sheet'!M55</f>
        <v>0.25925925925925924</v>
      </c>
      <c r="G51" s="22"/>
      <c r="H51" s="42"/>
      <c r="I51" s="42"/>
      <c r="J51" s="42"/>
      <c r="K51" s="42"/>
      <c r="L51" s="42"/>
      <c r="M51" s="42"/>
      <c r="N51" s="42"/>
    </row>
    <row r="52" spans="1:14" x14ac:dyDescent="0.25">
      <c r="A52" s="19"/>
      <c r="B52" s="19"/>
      <c r="C52" s="19"/>
      <c r="D52" s="19"/>
      <c r="E52" s="19"/>
      <c r="F52" s="19"/>
      <c r="G52" s="19"/>
      <c r="H52" s="19"/>
      <c r="I52" s="19"/>
      <c r="J52" s="19"/>
      <c r="K52" s="19"/>
      <c r="L52" s="19"/>
      <c r="M52" s="19"/>
      <c r="N52" s="19"/>
    </row>
    <row r="53" spans="1:14" x14ac:dyDescent="0.25">
      <c r="A53" s="19"/>
      <c r="B53" s="19"/>
      <c r="C53" s="19"/>
      <c r="D53" s="19"/>
      <c r="E53" s="19"/>
      <c r="F53" s="19"/>
      <c r="G53" s="19"/>
      <c r="H53" s="19"/>
      <c r="I53" s="19"/>
      <c r="J53" s="19"/>
      <c r="K53" s="19"/>
      <c r="L53" s="19"/>
      <c r="M53" s="19"/>
      <c r="N53" s="19"/>
    </row>
    <row r="54" spans="1:14" x14ac:dyDescent="0.25">
      <c r="A54" s="20"/>
      <c r="B54" s="20"/>
      <c r="C54" s="20"/>
      <c r="D54" s="20"/>
      <c r="E54" s="20"/>
      <c r="F54" s="20"/>
      <c r="G54" s="20"/>
      <c r="H54" s="20"/>
      <c r="I54" s="20"/>
      <c r="J54" s="20"/>
      <c r="K54" s="20"/>
      <c r="L54" s="20"/>
      <c r="M54" s="20"/>
      <c r="N54" s="20"/>
    </row>
    <row r="55" spans="1:14" x14ac:dyDescent="0.25">
      <c r="A55" s="16"/>
      <c r="B55" s="16"/>
      <c r="C55" s="16"/>
      <c r="D55" s="16"/>
      <c r="E55" s="16"/>
      <c r="F55" s="16"/>
      <c r="G55" s="16"/>
      <c r="H55" s="16"/>
      <c r="I55" s="16"/>
      <c r="J55" s="16"/>
      <c r="K55" s="16"/>
      <c r="L55" s="16"/>
      <c r="M55" s="16"/>
      <c r="N55" s="16"/>
    </row>
    <row r="56" spans="1:14" x14ac:dyDescent="0.25">
      <c r="A56" s="39" t="s">
        <v>1009</v>
      </c>
      <c r="B56" s="40"/>
      <c r="C56" s="40"/>
      <c r="D56" s="40"/>
      <c r="E56" s="40"/>
      <c r="F56" s="40"/>
      <c r="G56" s="40"/>
      <c r="H56" s="40"/>
      <c r="I56" s="40"/>
      <c r="J56" s="40"/>
      <c r="K56" s="40"/>
      <c r="L56" s="40"/>
      <c r="M56" s="40"/>
      <c r="N56" s="40"/>
    </row>
    <row r="57" spans="1:14" x14ac:dyDescent="0.25">
      <c r="A57" s="43" t="s">
        <v>1010</v>
      </c>
      <c r="B57" s="42"/>
      <c r="C57" s="42"/>
      <c r="D57" s="42"/>
      <c r="E57" s="42"/>
      <c r="F57" s="42"/>
      <c r="G57" s="42"/>
      <c r="H57" s="42"/>
      <c r="I57" s="42"/>
      <c r="J57" s="42"/>
      <c r="K57" s="42"/>
      <c r="L57" s="42"/>
      <c r="M57" s="42"/>
      <c r="N57" s="42"/>
    </row>
    <row r="58" spans="1:14" x14ac:dyDescent="0.25">
      <c r="A58" s="42"/>
      <c r="B58" s="42"/>
      <c r="C58" s="42"/>
      <c r="D58" s="42"/>
      <c r="E58" s="42"/>
      <c r="F58" s="42"/>
      <c r="G58" s="42"/>
      <c r="H58" s="42"/>
      <c r="I58" s="42"/>
      <c r="J58" s="42"/>
      <c r="K58" s="42"/>
      <c r="L58" s="42"/>
      <c r="M58" s="42"/>
      <c r="N58" s="42"/>
    </row>
    <row r="59" spans="1:14" x14ac:dyDescent="0.25">
      <c r="A59" s="42"/>
      <c r="B59" s="42"/>
      <c r="C59" s="42"/>
      <c r="D59" s="42"/>
      <c r="E59" s="42"/>
      <c r="F59" s="42"/>
      <c r="G59" s="42"/>
      <c r="H59" s="42"/>
      <c r="I59" s="42"/>
      <c r="J59" s="42"/>
      <c r="K59" s="42"/>
      <c r="L59" s="42"/>
      <c r="M59" s="42"/>
      <c r="N59" s="42"/>
    </row>
    <row r="60" spans="1:14" x14ac:dyDescent="0.25">
      <c r="A60" s="20"/>
      <c r="B60" s="20"/>
      <c r="C60" s="20"/>
      <c r="D60" s="20"/>
      <c r="E60" s="20"/>
      <c r="F60" s="20"/>
      <c r="G60" s="20"/>
      <c r="H60" s="20"/>
      <c r="I60" s="20"/>
      <c r="J60" s="20"/>
      <c r="K60" s="20"/>
      <c r="L60" s="20"/>
      <c r="M60" s="20"/>
      <c r="N60" s="20"/>
    </row>
  </sheetData>
  <mergeCells count="19">
    <mergeCell ref="A1:N1"/>
    <mergeCell ref="A2:N2"/>
    <mergeCell ref="J3:N3"/>
    <mergeCell ref="A5:C5"/>
    <mergeCell ref="A6:C8"/>
    <mergeCell ref="D5:F5"/>
    <mergeCell ref="D6:F8"/>
    <mergeCell ref="G5:I5"/>
    <mergeCell ref="G6:I8"/>
    <mergeCell ref="A44:N44"/>
    <mergeCell ref="A56:N56"/>
    <mergeCell ref="H45:N51"/>
    <mergeCell ref="A57:N59"/>
    <mergeCell ref="J5:L5"/>
    <mergeCell ref="J6:L8"/>
    <mergeCell ref="A10:G10"/>
    <mergeCell ref="H10:N10"/>
    <mergeCell ref="A27:G27"/>
    <mergeCell ref="H27:N27"/>
  </mergeCells>
  <dataValidations disablePrompts="1" count="3">
    <dataValidation type="list" allowBlank="1" showInputMessage="1" showErrorMessage="1" sqref="B3" xr:uid="{22C91D77-8D7B-40D7-9DDA-1B9468C254DC}">
      <formula1>"All,Bengaluru,Gurugram,Hyderabad,Noida"</formula1>
    </dataValidation>
    <dataValidation type="list" allowBlank="1" showInputMessage="1" showErrorMessage="1" sqref="D3" xr:uid="{E5B105D7-AF78-482E-A921-3D0CB71C422F}">
      <formula1>"All,Female,Male,Transgender"</formula1>
    </dataValidation>
    <dataValidation type="list" allowBlank="1" showInputMessage="1" showErrorMessage="1" sqref="F3" xr:uid="{C7C3E977-DB07-40CC-ABE9-4A96C1092CD9}">
      <formula1>"All,Finance,HR,Operations,Sales,Tech"</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EA99-65D1-47BE-8762-D32977369964}">
  <dimension ref="A1:M19"/>
  <sheetViews>
    <sheetView showGridLines="0" workbookViewId="0">
      <selection activeCell="A11" sqref="A11"/>
    </sheetView>
  </sheetViews>
  <sheetFormatPr defaultRowHeight="15" x14ac:dyDescent="0.25"/>
  <cols>
    <col min="1" max="1" width="14.140625" style="32" customWidth="1"/>
    <col min="2" max="2" width="10" style="32" bestFit="1" customWidth="1"/>
    <col min="3" max="3" width="9.85546875" style="32" bestFit="1" customWidth="1"/>
    <col min="4" max="4" width="10.7109375" style="32" bestFit="1" customWidth="1"/>
    <col min="5" max="5" width="7" style="32" bestFit="1" customWidth="1"/>
    <col min="6" max="6" width="11.85546875" style="32" customWidth="1"/>
    <col min="7" max="7" width="1.140625" style="32" customWidth="1"/>
    <col min="8" max="8" width="28.28515625" style="32" bestFit="1" customWidth="1"/>
    <col min="9" max="9" width="14.28515625" style="32" customWidth="1"/>
    <col min="10" max="10" width="12.85546875" style="32" customWidth="1"/>
    <col min="11" max="11" width="16.85546875" style="32" customWidth="1"/>
    <col min="12" max="12" width="10.85546875" style="32" bestFit="1" customWidth="1"/>
    <col min="13" max="13" width="9.5703125" style="32" bestFit="1" customWidth="1"/>
    <col min="14" max="14" width="8.85546875" style="32" bestFit="1" customWidth="1"/>
    <col min="15" max="15" width="12" style="32" bestFit="1" customWidth="1"/>
    <col min="16" max="19" width="16.85546875" style="32" bestFit="1" customWidth="1"/>
    <col min="20" max="20" width="11.28515625" style="32" bestFit="1" customWidth="1"/>
    <col min="21" max="16384" width="9.140625" style="32"/>
  </cols>
  <sheetData>
    <row r="1" spans="1:13" ht="45" customHeight="1" x14ac:dyDescent="0.25">
      <c r="A1" s="64" t="s">
        <v>973</v>
      </c>
      <c r="B1" s="65" t="s">
        <v>1</v>
      </c>
      <c r="C1" s="66"/>
      <c r="D1" s="66"/>
      <c r="E1" s="66"/>
      <c r="F1" s="67"/>
      <c r="H1" s="64" t="s">
        <v>943</v>
      </c>
      <c r="I1" s="65" t="s">
        <v>942</v>
      </c>
      <c r="J1" s="77" t="s">
        <v>971</v>
      </c>
      <c r="K1" s="77" t="s">
        <v>973</v>
      </c>
      <c r="L1" s="77" t="s">
        <v>970</v>
      </c>
      <c r="M1" s="78" t="s">
        <v>972</v>
      </c>
    </row>
    <row r="2" spans="1:13" ht="19.5" customHeight="1" x14ac:dyDescent="0.25">
      <c r="A2" s="68" t="s">
        <v>0</v>
      </c>
      <c r="B2" s="69" t="s">
        <v>13</v>
      </c>
      <c r="C2" s="69" t="s">
        <v>9</v>
      </c>
      <c r="D2" s="69" t="s">
        <v>7</v>
      </c>
      <c r="E2" s="69" t="s">
        <v>4</v>
      </c>
      <c r="F2" s="70" t="s">
        <v>27</v>
      </c>
      <c r="H2" s="79" t="s">
        <v>949</v>
      </c>
      <c r="I2" s="69" t="s">
        <v>948</v>
      </c>
      <c r="J2" s="80">
        <v>498750</v>
      </c>
      <c r="K2" s="81">
        <v>0.23711340206185566</v>
      </c>
      <c r="L2" s="82">
        <v>97</v>
      </c>
      <c r="M2" s="83">
        <v>130534.65979381443</v>
      </c>
    </row>
    <row r="3" spans="1:13" x14ac:dyDescent="0.25">
      <c r="A3" s="71" t="s">
        <v>3</v>
      </c>
      <c r="B3" s="72">
        <v>0.18181818181818182</v>
      </c>
      <c r="C3" s="72">
        <v>0.22727272727272727</v>
      </c>
      <c r="D3" s="72">
        <v>0.34482758620689657</v>
      </c>
      <c r="E3" s="72">
        <v>0.25</v>
      </c>
      <c r="F3" s="73">
        <v>0.25773195876288657</v>
      </c>
      <c r="H3" s="79" t="s">
        <v>955</v>
      </c>
      <c r="I3" s="69" t="s">
        <v>954</v>
      </c>
      <c r="J3" s="80">
        <v>533850</v>
      </c>
      <c r="K3" s="81">
        <v>0.25773195876288657</v>
      </c>
      <c r="L3" s="82">
        <v>97</v>
      </c>
      <c r="M3" s="83">
        <v>132946.17525773196</v>
      </c>
    </row>
    <row r="4" spans="1:13" x14ac:dyDescent="0.25">
      <c r="A4" s="71" t="s">
        <v>12</v>
      </c>
      <c r="B4" s="72">
        <v>0.26315789473684209</v>
      </c>
      <c r="C4" s="72">
        <v>0.19047619047619047</v>
      </c>
      <c r="D4" s="72">
        <v>0.19230769230769232</v>
      </c>
      <c r="E4" s="72">
        <v>0.18181818181818182</v>
      </c>
      <c r="F4" s="73">
        <v>0.20454545454545456</v>
      </c>
      <c r="H4" s="79" t="s">
        <v>958</v>
      </c>
      <c r="I4" s="69" t="s">
        <v>957</v>
      </c>
      <c r="J4" s="80">
        <v>436650</v>
      </c>
      <c r="K4" s="81">
        <v>0.20454545454545456</v>
      </c>
      <c r="L4" s="82">
        <v>88</v>
      </c>
      <c r="M4" s="83">
        <v>138284.88636363635</v>
      </c>
    </row>
    <row r="5" spans="1:13" x14ac:dyDescent="0.25">
      <c r="A5" s="71" t="s">
        <v>8</v>
      </c>
      <c r="B5" s="72">
        <v>0.21052631578947367</v>
      </c>
      <c r="C5" s="72">
        <v>0.25925925925925924</v>
      </c>
      <c r="D5" s="72">
        <v>0.30769230769230771</v>
      </c>
      <c r="E5" s="72">
        <v>0.16</v>
      </c>
      <c r="F5" s="73">
        <v>0.23711340206185566</v>
      </c>
      <c r="H5" s="79" t="s">
        <v>952</v>
      </c>
      <c r="I5" s="69" t="s">
        <v>951</v>
      </c>
      <c r="J5" s="80">
        <v>598750</v>
      </c>
      <c r="K5" s="81">
        <v>0.25688073394495414</v>
      </c>
      <c r="L5" s="82">
        <v>109</v>
      </c>
      <c r="M5" s="83">
        <v>121449.40366972476</v>
      </c>
    </row>
    <row r="6" spans="1:13" x14ac:dyDescent="0.25">
      <c r="A6" s="71" t="s">
        <v>14</v>
      </c>
      <c r="B6" s="72">
        <v>0.2</v>
      </c>
      <c r="C6" s="72">
        <v>0.32</v>
      </c>
      <c r="D6" s="72">
        <v>0.22857142857142856</v>
      </c>
      <c r="E6" s="72">
        <v>0.29166666666666669</v>
      </c>
      <c r="F6" s="73">
        <v>0.25688073394495414</v>
      </c>
      <c r="H6" s="79" t="s">
        <v>946</v>
      </c>
      <c r="I6" s="69" t="s">
        <v>945</v>
      </c>
      <c r="J6" s="80">
        <v>515000</v>
      </c>
      <c r="K6" s="81">
        <v>0.20792079207920791</v>
      </c>
      <c r="L6" s="82">
        <v>101</v>
      </c>
      <c r="M6" s="83">
        <v>131948.91089108912</v>
      </c>
    </row>
    <row r="7" spans="1:13" x14ac:dyDescent="0.25">
      <c r="A7" s="71" t="s">
        <v>11</v>
      </c>
      <c r="B7" s="72">
        <v>0.16</v>
      </c>
      <c r="C7" s="72">
        <v>0.2</v>
      </c>
      <c r="D7" s="72">
        <v>0.25</v>
      </c>
      <c r="E7" s="72">
        <v>0.22222222222222221</v>
      </c>
      <c r="F7" s="73">
        <v>0.20792079207920791</v>
      </c>
      <c r="H7" s="84" t="s">
        <v>27</v>
      </c>
      <c r="I7" s="85"/>
      <c r="J7" s="86">
        <v>2583000</v>
      </c>
      <c r="K7" s="87">
        <v>0.23373983739837398</v>
      </c>
      <c r="L7" s="88">
        <v>492</v>
      </c>
      <c r="M7" s="89">
        <v>130673.85365853658</v>
      </c>
    </row>
    <row r="8" spans="1:13" x14ac:dyDescent="0.25">
      <c r="A8" s="74" t="s">
        <v>27</v>
      </c>
      <c r="B8" s="75">
        <v>0.2</v>
      </c>
      <c r="C8" s="75">
        <v>0.24166666666666667</v>
      </c>
      <c r="D8" s="75">
        <v>0.26428571428571429</v>
      </c>
      <c r="E8" s="75">
        <v>0.22131147540983606</v>
      </c>
      <c r="F8" s="76">
        <v>0.23373983739837398</v>
      </c>
    </row>
    <row r="9" spans="1:13" x14ac:dyDescent="0.25">
      <c r="H9" s="64" t="s">
        <v>1012</v>
      </c>
      <c r="I9" s="67" t="s">
        <v>959</v>
      </c>
      <c r="K9" s="64" t="s">
        <v>1014</v>
      </c>
      <c r="L9" s="67" t="s">
        <v>1015</v>
      </c>
    </row>
    <row r="10" spans="1:13" ht="27" customHeight="1" x14ac:dyDescent="0.25">
      <c r="A10" s="64" t="s">
        <v>1026</v>
      </c>
      <c r="B10" s="65" t="s">
        <v>22</v>
      </c>
      <c r="C10" s="66"/>
      <c r="D10" s="91"/>
      <c r="E10" s="57" t="s">
        <v>962</v>
      </c>
      <c r="F10" s="57"/>
      <c r="H10" s="71" t="s">
        <v>5</v>
      </c>
      <c r="I10" s="70">
        <v>59</v>
      </c>
      <c r="K10" s="71" t="s">
        <v>16</v>
      </c>
      <c r="L10" s="70">
        <v>208</v>
      </c>
    </row>
    <row r="11" spans="1:13" x14ac:dyDescent="0.25">
      <c r="A11" s="68" t="s">
        <v>965</v>
      </c>
      <c r="B11" s="69" t="s">
        <v>23</v>
      </c>
      <c r="C11" s="69" t="s">
        <v>24</v>
      </c>
      <c r="D11" s="92" t="s">
        <v>963</v>
      </c>
      <c r="E11" s="57"/>
      <c r="F11" s="57"/>
      <c r="H11" s="71" t="s">
        <v>17</v>
      </c>
      <c r="I11" s="70">
        <v>216</v>
      </c>
      <c r="K11" s="71" t="s">
        <v>6</v>
      </c>
      <c r="L11" s="70">
        <v>170</v>
      </c>
    </row>
    <row r="12" spans="1:13" x14ac:dyDescent="0.25">
      <c r="A12" s="71" t="s">
        <v>938</v>
      </c>
      <c r="B12" s="93">
        <v>58605.621212121216</v>
      </c>
      <c r="C12" s="93">
        <v>60047.34482758621</v>
      </c>
      <c r="D12" s="94">
        <f>C12-B12</f>
        <v>1441.7236154649945</v>
      </c>
      <c r="E12" s="57"/>
      <c r="F12" s="57"/>
      <c r="H12" s="71" t="s">
        <v>10</v>
      </c>
      <c r="I12" s="70">
        <v>217</v>
      </c>
      <c r="K12" s="71" t="s">
        <v>19</v>
      </c>
      <c r="L12" s="70">
        <v>114</v>
      </c>
    </row>
    <row r="13" spans="1:13" x14ac:dyDescent="0.25">
      <c r="A13" s="71" t="s">
        <v>937</v>
      </c>
      <c r="B13" s="93">
        <v>106884.81818181818</v>
      </c>
      <c r="C13" s="93">
        <v>105455.64179104478</v>
      </c>
      <c r="D13" s="94">
        <f t="shared" ref="D13:D16" si="0">C13-B13</f>
        <v>-1429.1763907733985</v>
      </c>
      <c r="E13" s="57"/>
      <c r="F13" s="57"/>
      <c r="H13" s="74" t="s">
        <v>27</v>
      </c>
      <c r="I13" s="90">
        <v>492</v>
      </c>
      <c r="K13" s="74" t="s">
        <v>27</v>
      </c>
      <c r="L13" s="90">
        <v>492</v>
      </c>
    </row>
    <row r="14" spans="1:13" x14ac:dyDescent="0.25">
      <c r="A14" s="71" t="s">
        <v>939</v>
      </c>
      <c r="B14" s="93">
        <v>151651.42372881356</v>
      </c>
      <c r="C14" s="93">
        <v>155421.51612903227</v>
      </c>
      <c r="D14" s="94">
        <f t="shared" si="0"/>
        <v>3770.0924002187094</v>
      </c>
      <c r="E14" s="57"/>
      <c r="F14" s="57"/>
    </row>
    <row r="15" spans="1:13" ht="30" x14ac:dyDescent="0.25">
      <c r="A15" s="71" t="s">
        <v>940</v>
      </c>
      <c r="B15" s="93">
        <v>206596.59090909091</v>
      </c>
      <c r="C15" s="93">
        <v>204081.44871794872</v>
      </c>
      <c r="D15" s="94">
        <f t="shared" si="0"/>
        <v>-2515.142191142193</v>
      </c>
      <c r="E15" s="57"/>
      <c r="F15" s="57"/>
      <c r="H15" s="64" t="s">
        <v>1012</v>
      </c>
      <c r="I15" s="67" t="s">
        <v>971</v>
      </c>
    </row>
    <row r="16" spans="1:13" x14ac:dyDescent="0.25">
      <c r="A16" s="74" t="s">
        <v>27</v>
      </c>
      <c r="B16" s="95">
        <v>124037.14285714286</v>
      </c>
      <c r="C16" s="95">
        <v>136236.83396226415</v>
      </c>
      <c r="D16" s="96">
        <f t="shared" si="0"/>
        <v>12199.691105121296</v>
      </c>
      <c r="E16" s="57"/>
      <c r="F16" s="57"/>
      <c r="H16" s="71" t="s">
        <v>16</v>
      </c>
      <c r="I16" s="83">
        <v>1148700</v>
      </c>
    </row>
    <row r="17" spans="1:9" ht="20.25" customHeight="1" x14ac:dyDescent="0.25">
      <c r="A17" s="63"/>
      <c r="B17" s="63"/>
      <c r="C17" s="63"/>
      <c r="D17" s="63"/>
      <c r="H17" s="71" t="s">
        <v>6</v>
      </c>
      <c r="I17" s="83">
        <v>405800</v>
      </c>
    </row>
    <row r="18" spans="1:9" ht="23.25" customHeight="1" x14ac:dyDescent="0.25">
      <c r="A18" s="63"/>
      <c r="B18" s="63"/>
      <c r="C18" s="63"/>
      <c r="D18" s="63"/>
      <c r="H18" s="71" t="s">
        <v>19</v>
      </c>
      <c r="I18" s="83">
        <v>1028500</v>
      </c>
    </row>
    <row r="19" spans="1:9" x14ac:dyDescent="0.25">
      <c r="H19" s="74" t="s">
        <v>27</v>
      </c>
      <c r="I19" s="89">
        <v>2583000</v>
      </c>
    </row>
  </sheetData>
  <sortState xmlns:xlrd2="http://schemas.microsoft.com/office/spreadsheetml/2017/richdata2" ref="H1:M7">
    <sortCondition descending="1" ref="K1"/>
  </sortState>
  <mergeCells count="1">
    <mergeCell ref="E10:F16"/>
  </mergeCells>
  <conditionalFormatting sqref="H9:I9">
    <cfRule type="colorScale" priority="4">
      <colorScale>
        <cfvo type="min"/>
        <cfvo type="percentile" val="50"/>
        <cfvo type="max"/>
        <color rgb="FFF8696B"/>
        <color rgb="FFFCFCFF"/>
        <color theme="9"/>
      </colorScale>
    </cfRule>
  </conditionalFormatting>
  <conditionalFormatting sqref="K9:L9">
    <cfRule type="colorScale" priority="1">
      <colorScale>
        <cfvo type="min"/>
        <cfvo type="percentile" val="50"/>
        <cfvo type="max"/>
        <color rgb="FFF8696B"/>
        <color rgb="FFFCFCFF"/>
        <color theme="9"/>
      </colorScale>
    </cfRule>
  </conditionalFormatting>
  <conditionalFormatting sqref="H15:I15">
    <cfRule type="colorScale" priority="2">
      <colorScale>
        <cfvo type="min"/>
        <cfvo type="percentile" val="50"/>
        <cfvo type="max"/>
        <color rgb="FFF8696B"/>
        <color rgb="FFFCFCFF"/>
        <color theme="9"/>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C372-17B8-4AA9-83F8-17924AEEADE5}">
  <dimension ref="A1:M69"/>
  <sheetViews>
    <sheetView workbookViewId="0">
      <selection activeCell="P1" sqref="P1:R1048576"/>
    </sheetView>
  </sheetViews>
  <sheetFormatPr defaultRowHeight="15" x14ac:dyDescent="0.25"/>
  <cols>
    <col min="1" max="1" width="13.28515625" bestFit="1" customWidth="1"/>
    <col min="2" max="2" width="12.7109375" bestFit="1" customWidth="1"/>
    <col min="3" max="3" width="12.28515625" bestFit="1" customWidth="1"/>
    <col min="4" max="4" width="12.42578125" bestFit="1" customWidth="1"/>
    <col min="5" max="5" width="16" bestFit="1" customWidth="1"/>
    <col min="6" max="6" width="12.42578125" bestFit="1" customWidth="1"/>
    <col min="8" max="8" width="11.28515625" bestFit="1" customWidth="1"/>
    <col min="9" max="9" width="8.5703125" bestFit="1" customWidth="1"/>
    <col min="10" max="10" width="9.85546875" bestFit="1" customWidth="1"/>
    <col min="11" max="11" width="12.42578125" bestFit="1" customWidth="1"/>
    <col min="12" max="12" width="10.5703125" bestFit="1" customWidth="1"/>
    <col min="13" max="13" width="11.42578125" bestFit="1" customWidth="1"/>
  </cols>
  <sheetData>
    <row r="1" spans="1:6" x14ac:dyDescent="0.25">
      <c r="A1" t="s">
        <v>990</v>
      </c>
      <c r="B1" t="s">
        <v>991</v>
      </c>
      <c r="C1" t="s">
        <v>992</v>
      </c>
      <c r="D1" t="s">
        <v>993</v>
      </c>
      <c r="E1" t="s">
        <v>994</v>
      </c>
      <c r="F1" t="s">
        <v>995</v>
      </c>
    </row>
    <row r="2" spans="1:6" x14ac:dyDescent="0.25">
      <c r="A2" t="s">
        <v>996</v>
      </c>
      <c r="B2" t="s">
        <v>996</v>
      </c>
      <c r="C2" t="s">
        <v>996</v>
      </c>
      <c r="D2" t="s">
        <v>5</v>
      </c>
      <c r="E2" t="s">
        <v>6</v>
      </c>
      <c r="F2" t="s">
        <v>938</v>
      </c>
    </row>
    <row r="3" spans="1:6" x14ac:dyDescent="0.25">
      <c r="A3" t="s">
        <v>13</v>
      </c>
      <c r="B3" t="s">
        <v>23</v>
      </c>
      <c r="C3" t="s">
        <v>3</v>
      </c>
      <c r="D3" t="s">
        <v>10</v>
      </c>
      <c r="E3" t="s">
        <v>16</v>
      </c>
      <c r="F3" t="s">
        <v>937</v>
      </c>
    </row>
    <row r="4" spans="1:6" x14ac:dyDescent="0.25">
      <c r="A4" t="s">
        <v>9</v>
      </c>
      <c r="B4" t="s">
        <v>24</v>
      </c>
      <c r="C4" t="s">
        <v>12</v>
      </c>
      <c r="D4" t="s">
        <v>17</v>
      </c>
      <c r="E4" t="s">
        <v>19</v>
      </c>
      <c r="F4" t="s">
        <v>939</v>
      </c>
    </row>
    <row r="5" spans="1:6" x14ac:dyDescent="0.25">
      <c r="A5" t="s">
        <v>7</v>
      </c>
      <c r="B5" t="s">
        <v>25</v>
      </c>
      <c r="C5" t="s">
        <v>8</v>
      </c>
      <c r="F5" t="s">
        <v>940</v>
      </c>
    </row>
    <row r="6" spans="1:6" x14ac:dyDescent="0.25">
      <c r="A6" t="s">
        <v>4</v>
      </c>
      <c r="C6" t="s">
        <v>14</v>
      </c>
    </row>
    <row r="7" spans="1:6" x14ac:dyDescent="0.25">
      <c r="C7" t="s">
        <v>11</v>
      </c>
    </row>
    <row r="11" spans="1:6" x14ac:dyDescent="0.25">
      <c r="A11" t="s">
        <v>0</v>
      </c>
      <c r="B11" t="s">
        <v>13</v>
      </c>
      <c r="C11" t="s">
        <v>9</v>
      </c>
      <c r="D11" t="s">
        <v>7</v>
      </c>
      <c r="E11" t="s">
        <v>4</v>
      </c>
    </row>
    <row r="12" spans="1:6" x14ac:dyDescent="0.25">
      <c r="A12" t="s">
        <v>3</v>
      </c>
      <c r="B12">
        <f>IF(OR('Rewards Dashboard'!$B$3="All",'Rewards Dashboard'!$B$3=B$11),IF(OR('Rewards Dashboard'!$F$3="All",'Rewards Dashboard'!$F$3=$A12),IFERROR(AVERAGEIFS('Employee Data'!$I$2:$I$493,'Employee Data'!$D$2:$D$493,$A12,'Employee Data'!$E$2:$E$493,B$11,'Employee Data'!$C$2:$C$493,IF('Rewards Dashboard'!$D$3="All","*",'Rewards Dashboard'!$D$3)),NA()),NA()),NA())</f>
        <v>4927.272727272727</v>
      </c>
      <c r="C12">
        <f>IF(OR('Rewards Dashboard'!$B$3="All",'Rewards Dashboard'!$B$3=C$11),IF(OR('Rewards Dashboard'!$F$3="All",'Rewards Dashboard'!$F$3=$A12),IFERROR(AVERAGEIFS('Employee Data'!$I$2:$I$493,'Employee Data'!$D$2:$D$493,$A12,'Employee Data'!$E$2:$E$493,C$11,'Employee Data'!$C$2:$C$493,IF('Rewards Dashboard'!$D$3="All","*",'Rewards Dashboard'!$D$3)),NA()),NA()),NA())</f>
        <v>5190.909090909091</v>
      </c>
      <c r="D12">
        <f>IF(OR('Rewards Dashboard'!$B$3="All",'Rewards Dashboard'!$B$3=D$11),IF(OR('Rewards Dashboard'!$F$3="All",'Rewards Dashboard'!$F$3=$A12),IFERROR(AVERAGEIFS('Employee Data'!$I$2:$I$493,'Employee Data'!$D$2:$D$493,$A12,'Employee Data'!$E$2:$E$493,D$11,'Employee Data'!$C$2:$C$493,IF('Rewards Dashboard'!$D$3="All","*",'Rewards Dashboard'!$D$3)),NA()),NA()),NA())</f>
        <v>5944.8275862068967</v>
      </c>
      <c r="E12">
        <f>IF(OR('Rewards Dashboard'!$B$3="All",'Rewards Dashboard'!$B$3=E$11),IF(OR('Rewards Dashboard'!$F$3="All",'Rewards Dashboard'!$F$3=$A12),IFERROR(AVERAGEIFS('Employee Data'!$I$2:$I$493,'Employee Data'!$D$2:$D$493,$A12,'Employee Data'!$E$2:$E$493,E$11,'Employee Data'!$C$2:$C$493,IF('Rewards Dashboard'!$D$3="All","*",'Rewards Dashboard'!$D$3)),NA()),NA()),NA())</f>
        <v>5785.416666666667</v>
      </c>
    </row>
    <row r="13" spans="1:6" x14ac:dyDescent="0.25">
      <c r="A13" t="s">
        <v>12</v>
      </c>
      <c r="B13">
        <f>IF(OR('Rewards Dashboard'!$B$3="All",'Rewards Dashboard'!$B$3=B$11),IF(OR('Rewards Dashboard'!$F$3="All",'Rewards Dashboard'!$F$3=$A13),IFERROR(AVERAGEIFS('Employee Data'!$I$2:$I$493,'Employee Data'!$D$2:$D$493,$A13,'Employee Data'!$E$2:$E$493,B$11,'Employee Data'!$C$2:$C$493,IF('Rewards Dashboard'!$D$3="All","*",'Rewards Dashboard'!$D$3)),NA()),NA()),NA())</f>
        <v>5489.4736842105267</v>
      </c>
      <c r="C13">
        <f>IF(OR('Rewards Dashboard'!$B$3="All",'Rewards Dashboard'!$B$3=C$11),IF(OR('Rewards Dashboard'!$F$3="All",'Rewards Dashboard'!$F$3=$A13),IFERROR(AVERAGEIFS('Employee Data'!$I$2:$I$493,'Employee Data'!$D$2:$D$493,$A13,'Employee Data'!$E$2:$E$493,C$11,'Employee Data'!$C$2:$C$493,IF('Rewards Dashboard'!$D$3="All","*",'Rewards Dashboard'!$D$3)),NA()),NA()),NA())</f>
        <v>5064.2857142857147</v>
      </c>
      <c r="D13">
        <f>IF(OR('Rewards Dashboard'!$B$3="All",'Rewards Dashboard'!$B$3=D$11),IF(OR('Rewards Dashboard'!$F$3="All",'Rewards Dashboard'!$F$3=$A13),IFERROR(AVERAGEIFS('Employee Data'!$I$2:$I$493,'Employee Data'!$D$2:$D$493,$A13,'Employee Data'!$E$2:$E$493,D$11,'Employee Data'!$C$2:$C$493,IF('Rewards Dashboard'!$D$3="All","*",'Rewards Dashboard'!$D$3)),NA()),NA()),NA())</f>
        <v>4819.2307692307695</v>
      </c>
      <c r="E13">
        <f>IF(OR('Rewards Dashboard'!$B$3="All",'Rewards Dashboard'!$B$3=E$11),IF(OR('Rewards Dashboard'!$F$3="All",'Rewards Dashboard'!$F$3=$A13),IFERROR(AVERAGEIFS('Employee Data'!$I$2:$I$493,'Employee Data'!$D$2:$D$493,$A13,'Employee Data'!$E$2:$E$493,E$11,'Employee Data'!$C$2:$C$493,IF('Rewards Dashboard'!$D$3="All","*",'Rewards Dashboard'!$D$3)),NA()),NA()),NA())</f>
        <v>4577.272727272727</v>
      </c>
    </row>
    <row r="14" spans="1:6" x14ac:dyDescent="0.25">
      <c r="A14" t="s">
        <v>8</v>
      </c>
      <c r="B14">
        <f>IF(OR('Rewards Dashboard'!$B$3="All",'Rewards Dashboard'!$B$3=B$11),IF(OR('Rewards Dashboard'!$F$3="All",'Rewards Dashboard'!$F$3=$A14),IFERROR(AVERAGEIFS('Employee Data'!$I$2:$I$493,'Employee Data'!$D$2:$D$493,$A14,'Employee Data'!$E$2:$E$493,B$11,'Employee Data'!$C$2:$C$493,IF('Rewards Dashboard'!$D$3="All","*",'Rewards Dashboard'!$D$3)),NA()),NA()),NA())</f>
        <v>4192.105263157895</v>
      </c>
      <c r="C14">
        <f>IF(OR('Rewards Dashboard'!$B$3="All",'Rewards Dashboard'!$B$3=C$11),IF(OR('Rewards Dashboard'!$F$3="All",'Rewards Dashboard'!$F$3=$A14),IFERROR(AVERAGEIFS('Employee Data'!$I$2:$I$493,'Employee Data'!$D$2:$D$493,$A14,'Employee Data'!$E$2:$E$493,C$11,'Employee Data'!$C$2:$C$493,IF('Rewards Dashboard'!$D$3="All","*",'Rewards Dashboard'!$D$3)),NA()),NA()),NA())</f>
        <v>5490.7407407407409</v>
      </c>
      <c r="D14">
        <f>IF(OR('Rewards Dashboard'!$B$3="All",'Rewards Dashboard'!$B$3=D$11),IF(OR('Rewards Dashboard'!$F$3="All",'Rewards Dashboard'!$F$3=$A14),IFERROR(AVERAGEIFS('Employee Data'!$I$2:$I$493,'Employee Data'!$D$2:$D$493,$A14,'Employee Data'!$E$2:$E$493,D$11,'Employee Data'!$C$2:$C$493,IF('Rewards Dashboard'!$D$3="All","*",'Rewards Dashboard'!$D$3)),NA()),NA()),NA())</f>
        <v>5475</v>
      </c>
      <c r="E14">
        <f>IF(OR('Rewards Dashboard'!$B$3="All",'Rewards Dashboard'!$B$3=E$11),IF(OR('Rewards Dashboard'!$F$3="All",'Rewards Dashboard'!$F$3=$A14),IFERROR(AVERAGEIFS('Employee Data'!$I$2:$I$493,'Employee Data'!$D$2:$D$493,$A14,'Employee Data'!$E$2:$E$493,E$11,'Employee Data'!$C$2:$C$493,IF('Rewards Dashboard'!$D$3="All","*",'Rewards Dashboard'!$D$3)),NA()),NA()),NA())</f>
        <v>5140</v>
      </c>
    </row>
    <row r="15" spans="1:6" x14ac:dyDescent="0.25">
      <c r="A15" t="s">
        <v>14</v>
      </c>
      <c r="B15">
        <f>IF(OR('Rewards Dashboard'!$B$3="All",'Rewards Dashboard'!$B$3=B$11),IF(OR('Rewards Dashboard'!$F$3="All",'Rewards Dashboard'!$F$3=$A15),IFERROR(AVERAGEIFS('Employee Data'!$I$2:$I$493,'Employee Data'!$D$2:$D$493,$A15,'Employee Data'!$E$2:$E$493,B$11,'Employee Data'!$C$2:$C$493,IF('Rewards Dashboard'!$D$3="All","*",'Rewards Dashboard'!$D$3)),NA()),NA()),NA())</f>
        <v>5430</v>
      </c>
      <c r="C15">
        <f>IF(OR('Rewards Dashboard'!$B$3="All",'Rewards Dashboard'!$B$3=C$11),IF(OR('Rewards Dashboard'!$F$3="All",'Rewards Dashboard'!$F$3=$A15),IFERROR(AVERAGEIFS('Employee Data'!$I$2:$I$493,'Employee Data'!$D$2:$D$493,$A15,'Employee Data'!$E$2:$E$493,C$11,'Employee Data'!$C$2:$C$493,IF('Rewards Dashboard'!$D$3="All","*",'Rewards Dashboard'!$D$3)),NA()),NA()),NA())</f>
        <v>6062</v>
      </c>
      <c r="D15">
        <f>IF(OR('Rewards Dashboard'!$B$3="All",'Rewards Dashboard'!$B$3=D$11),IF(OR('Rewards Dashboard'!$F$3="All",'Rewards Dashboard'!$F$3=$A15),IFERROR(AVERAGEIFS('Employee Data'!$I$2:$I$493,'Employee Data'!$D$2:$D$493,$A15,'Employee Data'!$E$2:$E$493,D$11,'Employee Data'!$C$2:$C$493,IF('Rewards Dashboard'!$D$3="All","*",'Rewards Dashboard'!$D$3)),NA()),NA()),NA())</f>
        <v>5268.5714285714284</v>
      </c>
      <c r="E15">
        <f>IF(OR('Rewards Dashboard'!$B$3="All",'Rewards Dashboard'!$B$3=E$11),IF(OR('Rewards Dashboard'!$F$3="All",'Rewards Dashboard'!$F$3=$A15),IFERROR(AVERAGEIFS('Employee Data'!$I$2:$I$493,'Employee Data'!$D$2:$D$493,$A15,'Employee Data'!$E$2:$E$493,E$11,'Employee Data'!$C$2:$C$493,IF('Rewards Dashboard'!$D$3="All","*",'Rewards Dashboard'!$D$3)),NA()),NA()),NA())</f>
        <v>5293.75</v>
      </c>
    </row>
    <row r="16" spans="1:6" x14ac:dyDescent="0.25">
      <c r="A16" t="s">
        <v>11</v>
      </c>
      <c r="B16">
        <f>IF(OR('Rewards Dashboard'!$B$3="All",'Rewards Dashboard'!$B$3=B$11),IF(OR('Rewards Dashboard'!$F$3="All",'Rewards Dashboard'!$F$3=$A16),IFERROR(AVERAGEIFS('Employee Data'!$I$2:$I$493,'Employee Data'!$D$2:$D$493,$A16,'Employee Data'!$E$2:$E$493,B$11,'Employee Data'!$C$2:$C$493,IF('Rewards Dashboard'!$D$3="All","*",'Rewards Dashboard'!$D$3)),NA()),NA()),NA())</f>
        <v>5174</v>
      </c>
      <c r="C16">
        <f>IF(OR('Rewards Dashboard'!$B$3="All",'Rewards Dashboard'!$B$3=C$11),IF(OR('Rewards Dashboard'!$F$3="All",'Rewards Dashboard'!$F$3=$A16),IFERROR(AVERAGEIFS('Employee Data'!$I$2:$I$493,'Employee Data'!$D$2:$D$493,$A16,'Employee Data'!$E$2:$E$493,C$11,'Employee Data'!$C$2:$C$493,IF('Rewards Dashboard'!$D$3="All","*",'Rewards Dashboard'!$D$3)),NA()),NA()),NA())</f>
        <v>5066</v>
      </c>
      <c r="D16">
        <f>IF(OR('Rewards Dashboard'!$B$3="All",'Rewards Dashboard'!$B$3=D$11),IF(OR('Rewards Dashboard'!$F$3="All",'Rewards Dashboard'!$F$3=$A16),IFERROR(AVERAGEIFS('Employee Data'!$I$2:$I$493,'Employee Data'!$D$2:$D$493,$A16,'Employee Data'!$E$2:$E$493,D$11,'Employee Data'!$C$2:$C$493,IF('Rewards Dashboard'!$D$3="All","*",'Rewards Dashboard'!$D$3)),NA()),NA()),NA())</f>
        <v>4591.666666666667</v>
      </c>
      <c r="E16">
        <f>IF(OR('Rewards Dashboard'!$B$3="All",'Rewards Dashboard'!$B$3=E$11),IF(OR('Rewards Dashboard'!$F$3="All",'Rewards Dashboard'!$F$3=$A16),IFERROR(AVERAGEIFS('Employee Data'!$I$2:$I$493,'Employee Data'!$D$2:$D$493,$A16,'Employee Data'!$E$2:$E$493,E$11,'Employee Data'!$C$2:$C$493,IF('Rewards Dashboard'!$D$3="All","*",'Rewards Dashboard'!$D$3)),NA()),NA()),NA())</f>
        <v>5511.1111111111113</v>
      </c>
    </row>
    <row r="21" spans="1:2" x14ac:dyDescent="0.25">
      <c r="A21" t="s">
        <v>15</v>
      </c>
      <c r="B21" t="s">
        <v>970</v>
      </c>
    </row>
    <row r="22" spans="1:2" x14ac:dyDescent="0.25">
      <c r="A22" t="s">
        <v>5</v>
      </c>
      <c r="B22" cm="1">
        <f t="array" ref="B22">SUMPRODUCT(--('Employee Data'!$A$2:$A$493&lt;&gt;""),--(('Rewards Dashboard'!$B$3="All")+('Employee Data'!$E$2:$E$493='Rewards Dashboard'!$B$3)&gt;0),--(('Rewards Dashboard'!$D$3="All")+('Employee Data'!$C$2:$C$493='Rewards Dashboard'!$D$3)&gt;0),--(('Rewards Dashboard'!$F$3="All")+('Employee Data'!$D$2:$D$493='Rewards Dashboard'!$F$3)&gt;0),--('Employee Data'!$H$2:$H$493=A22))</f>
        <v>59</v>
      </c>
    </row>
    <row r="23" spans="1:2" x14ac:dyDescent="0.25">
      <c r="A23" t="s">
        <v>10</v>
      </c>
      <c r="B23" cm="1">
        <f t="array" ref="B23">SUMPRODUCT(--('Employee Data'!$A$2:$A$493&lt;&gt;""),--(('Rewards Dashboard'!$B$3="All")+('Employee Data'!$E$2:$E$493='Rewards Dashboard'!$B$3)&gt;0),--(('Rewards Dashboard'!$D$3="All")+('Employee Data'!$C$2:$C$493='Rewards Dashboard'!$D$3)&gt;0),--(('Rewards Dashboard'!$F$3="All")+('Employee Data'!$D$2:$D$493='Rewards Dashboard'!$F$3)&gt;0),--('Employee Data'!$H$2:$H$493=A23))</f>
        <v>217</v>
      </c>
    </row>
    <row r="24" spans="1:2" x14ac:dyDescent="0.25">
      <c r="A24" t="s">
        <v>17</v>
      </c>
      <c r="B24" cm="1">
        <f t="array" ref="B24">SUMPRODUCT(--('Employee Data'!$A$2:$A$493&lt;&gt;""),--(('Rewards Dashboard'!$B$3="All")+('Employee Data'!$E$2:$E$493='Rewards Dashboard'!$B$3)&gt;0),--(('Rewards Dashboard'!$D$3="All")+('Employee Data'!$C$2:$C$493='Rewards Dashboard'!$D$3)&gt;0),--(('Rewards Dashboard'!$F$3="All")+('Employee Data'!$D$2:$D$493='Rewards Dashboard'!$F$3)&gt;0),--('Employee Data'!$H$2:$H$493=A24))</f>
        <v>216</v>
      </c>
    </row>
    <row r="29" spans="1:2" x14ac:dyDescent="0.25">
      <c r="A29" t="s">
        <v>0</v>
      </c>
      <c r="B29" t="s">
        <v>970</v>
      </c>
    </row>
    <row r="30" spans="1:2" x14ac:dyDescent="0.25">
      <c r="A30" t="s">
        <v>3</v>
      </c>
      <c r="B30" cm="1">
        <f t="array" ref="B30">IF(OR('Rewards Dashboard'!$F$3="All",'Rewards Dashboard'!$F$3=A30),SUMPRODUCT(--('Employee Data'!$A$2:$A$493&lt;&gt;""),--(('Rewards Dashboard'!$B$3="All")+('Employee Data'!$E$2:$E$493='Rewards Dashboard'!$B$3)&gt;0),--(('Rewards Dashboard'!$D$3="All")+('Employee Data'!$C$2:$C$493='Rewards Dashboard'!$D$3)&gt;0),--('Employee Data'!$D$2:$D$493=A30)),NA())</f>
        <v>97</v>
      </c>
    </row>
    <row r="31" spans="1:2" x14ac:dyDescent="0.25">
      <c r="A31" t="s">
        <v>12</v>
      </c>
      <c r="B31" cm="1">
        <f t="array" ref="B31">IF(OR('Rewards Dashboard'!$F$3="All",'Rewards Dashboard'!$F$3=A31),SUMPRODUCT(--('Employee Data'!$A$2:$A$493&lt;&gt;""),--(('Rewards Dashboard'!$B$3="All")+('Employee Data'!$E$2:$E$493='Rewards Dashboard'!$B$3)&gt;0),--(('Rewards Dashboard'!$D$3="All")+('Employee Data'!$C$2:$C$493='Rewards Dashboard'!$D$3)&gt;0),--('Employee Data'!$D$2:$D$493=A31)),NA())</f>
        <v>88</v>
      </c>
    </row>
    <row r="32" spans="1:2" x14ac:dyDescent="0.25">
      <c r="A32" t="s">
        <v>8</v>
      </c>
      <c r="B32" cm="1">
        <f t="array" ref="B32">IF(OR('Rewards Dashboard'!$F$3="All",'Rewards Dashboard'!$F$3=A32),SUMPRODUCT(--('Employee Data'!$A$2:$A$493&lt;&gt;""),--(('Rewards Dashboard'!$B$3="All")+('Employee Data'!$E$2:$E$493='Rewards Dashboard'!$B$3)&gt;0),--(('Rewards Dashboard'!$D$3="All")+('Employee Data'!$C$2:$C$493='Rewards Dashboard'!$D$3)&gt;0),--('Employee Data'!$D$2:$D$493=A32)),NA())</f>
        <v>97</v>
      </c>
    </row>
    <row r="33" spans="1:2" x14ac:dyDescent="0.25">
      <c r="A33" t="s">
        <v>14</v>
      </c>
      <c r="B33" cm="1">
        <f t="array" ref="B33">IF(OR('Rewards Dashboard'!$F$3="All",'Rewards Dashboard'!$F$3=A33),SUMPRODUCT(--('Employee Data'!$A$2:$A$493&lt;&gt;""),--(('Rewards Dashboard'!$B$3="All")+('Employee Data'!$E$2:$E$493='Rewards Dashboard'!$B$3)&gt;0),--(('Rewards Dashboard'!$D$3="All")+('Employee Data'!$C$2:$C$493='Rewards Dashboard'!$D$3)&gt;0),--('Employee Data'!$D$2:$D$493=A33)),NA())</f>
        <v>109</v>
      </c>
    </row>
    <row r="34" spans="1:2" x14ac:dyDescent="0.25">
      <c r="A34" t="s">
        <v>11</v>
      </c>
      <c r="B34" cm="1">
        <f t="array" ref="B34">IF(OR('Rewards Dashboard'!$F$3="All",'Rewards Dashboard'!$F$3=A34),SUMPRODUCT(--('Employee Data'!$A$2:$A$493&lt;&gt;""),--(('Rewards Dashboard'!$B$3="All")+('Employee Data'!$E$2:$E$493='Rewards Dashboard'!$B$3)&gt;0),--(('Rewards Dashboard'!$D$3="All")+('Employee Data'!$C$2:$C$493='Rewards Dashboard'!$D$3)&gt;0),--('Employee Data'!$D$2:$D$493=A34)),NA())</f>
        <v>101</v>
      </c>
    </row>
    <row r="39" spans="1:2" x14ac:dyDescent="0.25">
      <c r="A39" t="s">
        <v>997</v>
      </c>
      <c r="B39" t="s">
        <v>963</v>
      </c>
    </row>
    <row r="40" spans="1:2" x14ac:dyDescent="0.25">
      <c r="A40" t="str">
        <f>'Gender Pay Equity'!H12</f>
        <v>Junior</v>
      </c>
      <c r="B40">
        <f>'Gender Pay Equity'!K12</f>
        <v>2229.5478609625643</v>
      </c>
    </row>
    <row r="41" spans="1:2" x14ac:dyDescent="0.25">
      <c r="A41" t="str">
        <f>'Gender Pay Equity'!H13</f>
        <v>Lead</v>
      </c>
      <c r="B41">
        <f>'Gender Pay Equity'!K13</f>
        <v>-2672.5515051090915</v>
      </c>
    </row>
    <row r="42" spans="1:2" x14ac:dyDescent="0.25">
      <c r="A42" t="str">
        <f>'Gender Pay Equity'!H14</f>
        <v>Mid</v>
      </c>
      <c r="B42">
        <f>'Gender Pay Equity'!K14</f>
        <v>2277.3732095490705</v>
      </c>
    </row>
    <row r="43" spans="1:2" x14ac:dyDescent="0.25">
      <c r="A43" t="str">
        <f>'Gender Pay Equity'!H15</f>
        <v>Senior</v>
      </c>
      <c r="B43">
        <f>'Gender Pay Equity'!K15</f>
        <v>1553.5494535519101</v>
      </c>
    </row>
    <row r="49" spans="1:13" x14ac:dyDescent="0.25">
      <c r="A49" t="s">
        <v>0</v>
      </c>
      <c r="B49" t="s">
        <v>1</v>
      </c>
      <c r="C49" t="s">
        <v>998</v>
      </c>
      <c r="D49" t="s">
        <v>999</v>
      </c>
      <c r="E49" t="s">
        <v>970</v>
      </c>
      <c r="F49" t="s">
        <v>1000</v>
      </c>
      <c r="H49" t="s">
        <v>0</v>
      </c>
      <c r="I49" t="s">
        <v>1</v>
      </c>
      <c r="J49" t="s">
        <v>998</v>
      </c>
      <c r="K49" t="s">
        <v>999</v>
      </c>
      <c r="L49" t="s">
        <v>970</v>
      </c>
      <c r="M49" t="s">
        <v>1000</v>
      </c>
    </row>
    <row r="50" spans="1:13" x14ac:dyDescent="0.25">
      <c r="A50" t="s">
        <v>3</v>
      </c>
      <c r="B50" t="s">
        <v>13</v>
      </c>
      <c r="C50" cm="1">
        <f t="array" ref="C50">IFERROR(SUMPRODUCT('Employee Data'!$F$2:$F$493,--('Employee Data'!$A$2:$A$493&lt;&gt;""),--(('Rewards Dashboard'!$B$3="All")+('Employee Data'!$E$2:$E$493='Rewards Dashboard'!$B$3)&gt;0),--(('Rewards Dashboard'!$D$3="All")+('Employee Data'!$C$2:$C$493='Rewards Dashboard'!$D$3)&gt;0),--(('Rewards Dashboard'!$F$3="All")+('Employee Data'!$D$2:$D$493='Rewards Dashboard'!$F$3)&gt;0),--('Employee Data'!$D$2:$D$493=A50),--('Employee Data'!$E$2:$E$493=B50))/SUMPRODUCT(--('Employee Data'!$A$2:$A$493&lt;&gt;""),--(('Rewards Dashboard'!$B$3="All")+('Employee Data'!$E$2:$E$493='Rewards Dashboard'!$B$3)&gt;0),--(('Rewards Dashboard'!$D$3="All")+('Employee Data'!$C$2:$C$493='Rewards Dashboard'!$D$3)&gt;0),--(('Rewards Dashboard'!$F$3="All")+('Employee Data'!$D$2:$D$493='Rewards Dashboard'!$F$3)&gt;0),--('Employee Data'!$D$2:$D$493=A50),--('Employee Data'!$E$2:$E$493=B50)),0)</f>
        <v>121773.86363636363</v>
      </c>
      <c r="D50" cm="1">
        <f t="array" ref="D50">IFERROR(SUMPRODUCT('Employee Data'!$I$2:$I$493,--('Employee Data'!$A$2:$A$493&lt;&gt;""),--(('Rewards Dashboard'!$B$3="All")+('Employee Data'!$E$2:$E$493='Rewards Dashboard'!$B$3)&gt;0),--(('Rewards Dashboard'!$D$3="All")+('Employee Data'!$C$2:$C$493='Rewards Dashboard'!$D$3)&gt;0),--(('Rewards Dashboard'!$F$3="All")+('Employee Data'!$D$2:$D$493='Rewards Dashboard'!$F$3)&gt;0),--('Employee Data'!$D$2:$D$493=A50),--('Employee Data'!$E$2:$E$493=B50))/SUMPRODUCT(--('Employee Data'!$A$2:$A$493&lt;&gt;""),--(('Rewards Dashboard'!$B$3="All")+('Employee Data'!$E$2:$E$493='Rewards Dashboard'!$B$3)&gt;0),--(('Rewards Dashboard'!$D$3="All")+('Employee Data'!$C$2:$C$493='Rewards Dashboard'!$D$3)&gt;0),--(('Rewards Dashboard'!$F$3="All")+('Employee Data'!$D$2:$D$493='Rewards Dashboard'!$F$3)&gt;0),--('Employee Data'!$D$2:$D$493=A50),--('Employee Data'!$E$2:$E$493=B50)),0)</f>
        <v>4927.272727272727</v>
      </c>
      <c r="E50" cm="1">
        <f t="array" ref="E50">SUMPRODUCT(--('Employee Data'!$A$2:$A$493&lt;&gt;""),--(('Rewards Dashboard'!$B$3="All")+('Employee Data'!$E$2:$E$493='Rewards Dashboard'!$B$3)&gt;0),--(('Rewards Dashboard'!$D$3="All")+('Employee Data'!$C$2:$C$493='Rewards Dashboard'!$D$3)&gt;0),--(('Rewards Dashboard'!$F$3="All")+('Employee Data'!$D$2:$D$493='Rewards Dashboard'!$F$3)&gt;0),--('Employee Data'!$D$2:$D$493=A50),--('Employee Data'!$E$2:$E$493=B50))</f>
        <v>22</v>
      </c>
      <c r="F50" cm="1">
        <f t="array" ref="F50">IFERROR(SUMPRODUCT(--('Employee Data'!$I$2:$I$493&gt;7000),--('Employee Data'!$A$2:$A$493&lt;&gt;""),--(('Rewards Dashboard'!$B$3="All")+('Employee Data'!$E$2:$E$493='Rewards Dashboard'!$B$3)&gt;0),--(('Rewards Dashboard'!$D$3="All")+('Employee Data'!$C$2:$C$493='Rewards Dashboard'!$D$3)&gt;0),--(('Rewards Dashboard'!$F$3="All")+('Employee Data'!$D$2:$D$493='Rewards Dashboard'!$F$3)&gt;0),--('Employee Data'!$D$2:$D$493=A50),--('Employee Data'!$E$2:$E$493=B50))/E50,0)</f>
        <v>0.18181818181818182</v>
      </c>
      <c r="H50" t="str" cm="1">
        <f t="array" ref="H50:M55">_xlfn.TAKE(_xlfn.SORTBY(_xlfn._xlws.FILTER($A$50:$F$69,$E$50:$E$69&gt;0),_xlfn._xlws.FILTER($F$50:$F$69,$E$50:$E$69&gt;0),-1,_xlfn._xlws.FILTER($D$50:$D$69,$E$50:$E$69&gt;0),-1),6)</f>
        <v>Finance</v>
      </c>
      <c r="I50" t="str">
        <v>Hyderabad</v>
      </c>
      <c r="J50">
        <v>132462.27586206896</v>
      </c>
      <c r="K50">
        <v>5944.8275862068967</v>
      </c>
      <c r="L50">
        <v>29</v>
      </c>
      <c r="M50">
        <v>0.34482758620689657</v>
      </c>
    </row>
    <row r="51" spans="1:13" x14ac:dyDescent="0.25">
      <c r="A51" t="s">
        <v>12</v>
      </c>
      <c r="B51" t="s">
        <v>13</v>
      </c>
      <c r="C51" cm="1">
        <f t="array" ref="C51">IFERROR(SUMPRODUCT('Employee Data'!$F$2:$F$493,--('Employee Data'!$A$2:$A$493&lt;&gt;""),--(('Rewards Dashboard'!$B$3="All")+('Employee Data'!$E$2:$E$493='Rewards Dashboard'!$B$3)&gt;0),--(('Rewards Dashboard'!$D$3="All")+('Employee Data'!$C$2:$C$493='Rewards Dashboard'!$D$3)&gt;0),--(('Rewards Dashboard'!$F$3="All")+('Employee Data'!$D$2:$D$493='Rewards Dashboard'!$F$3)&gt;0),--('Employee Data'!$D$2:$D$493=A51),--('Employee Data'!$E$2:$E$493=B51))/SUMPRODUCT(--('Employee Data'!$A$2:$A$493&lt;&gt;""),--(('Rewards Dashboard'!$B$3="All")+('Employee Data'!$E$2:$E$493='Rewards Dashboard'!$B$3)&gt;0),--(('Rewards Dashboard'!$D$3="All")+('Employee Data'!$C$2:$C$493='Rewards Dashboard'!$D$3)&gt;0),--(('Rewards Dashboard'!$F$3="All")+('Employee Data'!$D$2:$D$493='Rewards Dashboard'!$F$3)&gt;0),--('Employee Data'!$D$2:$D$493=A51),--('Employee Data'!$E$2:$E$493=B51)),0)</f>
        <v>137245.47368421053</v>
      </c>
      <c r="D51" cm="1">
        <f t="array" ref="D51">IFERROR(SUMPRODUCT('Employee Data'!$I$2:$I$493,--('Employee Data'!$A$2:$A$493&lt;&gt;""),--(('Rewards Dashboard'!$B$3="All")+('Employee Data'!$E$2:$E$493='Rewards Dashboard'!$B$3)&gt;0),--(('Rewards Dashboard'!$D$3="All")+('Employee Data'!$C$2:$C$493='Rewards Dashboard'!$D$3)&gt;0),--(('Rewards Dashboard'!$F$3="All")+('Employee Data'!$D$2:$D$493='Rewards Dashboard'!$F$3)&gt;0),--('Employee Data'!$D$2:$D$493=A51),--('Employee Data'!$E$2:$E$493=B51))/SUMPRODUCT(--('Employee Data'!$A$2:$A$493&lt;&gt;""),--(('Rewards Dashboard'!$B$3="All")+('Employee Data'!$E$2:$E$493='Rewards Dashboard'!$B$3)&gt;0),--(('Rewards Dashboard'!$D$3="All")+('Employee Data'!$C$2:$C$493='Rewards Dashboard'!$D$3)&gt;0),--(('Rewards Dashboard'!$F$3="All")+('Employee Data'!$D$2:$D$493='Rewards Dashboard'!$F$3)&gt;0),--('Employee Data'!$D$2:$D$493=A51),--('Employee Data'!$E$2:$E$493=B51)),0)</f>
        <v>5489.4736842105267</v>
      </c>
      <c r="E51" cm="1">
        <f t="array" ref="E51">SUMPRODUCT(--('Employee Data'!$A$2:$A$493&lt;&gt;""),--(('Rewards Dashboard'!$B$3="All")+('Employee Data'!$E$2:$E$493='Rewards Dashboard'!$B$3)&gt;0),--(('Rewards Dashboard'!$D$3="All")+('Employee Data'!$C$2:$C$493='Rewards Dashboard'!$D$3)&gt;0),--(('Rewards Dashboard'!$F$3="All")+('Employee Data'!$D$2:$D$493='Rewards Dashboard'!$F$3)&gt;0),--('Employee Data'!$D$2:$D$493=A51),--('Employee Data'!$E$2:$E$493=B51))</f>
        <v>19</v>
      </c>
      <c r="F51" cm="1">
        <f t="array" ref="F51">IFERROR(SUMPRODUCT(--('Employee Data'!$I$2:$I$493&gt;7000),--('Employee Data'!$A$2:$A$493&lt;&gt;""),--(('Rewards Dashboard'!$B$3="All")+('Employee Data'!$E$2:$E$493='Rewards Dashboard'!$B$3)&gt;0),--(('Rewards Dashboard'!$D$3="All")+('Employee Data'!$C$2:$C$493='Rewards Dashboard'!$D$3)&gt;0),--(('Rewards Dashboard'!$F$3="All")+('Employee Data'!$D$2:$D$493='Rewards Dashboard'!$F$3)&gt;0),--('Employee Data'!$D$2:$D$493=A51),--('Employee Data'!$E$2:$E$493=B51))/E51,0)</f>
        <v>0.26315789473684209</v>
      </c>
      <c r="H51" t="str">
        <v>Sales</v>
      </c>
      <c r="I51" t="str">
        <v>Gurugram</v>
      </c>
      <c r="J51">
        <v>113461.64</v>
      </c>
      <c r="K51">
        <v>6062</v>
      </c>
      <c r="L51">
        <v>25</v>
      </c>
      <c r="M51">
        <v>0.32</v>
      </c>
    </row>
    <row r="52" spans="1:13" x14ac:dyDescent="0.25">
      <c r="A52" t="s">
        <v>8</v>
      </c>
      <c r="B52" t="s">
        <v>13</v>
      </c>
      <c r="C52" cm="1">
        <f t="array" ref="C52">IFERROR(SUMPRODUCT('Employee Data'!$F$2:$F$493,--('Employee Data'!$A$2:$A$493&lt;&gt;""),--(('Rewards Dashboard'!$B$3="All")+('Employee Data'!$E$2:$E$493='Rewards Dashboard'!$B$3)&gt;0),--(('Rewards Dashboard'!$D$3="All")+('Employee Data'!$C$2:$C$493='Rewards Dashboard'!$D$3)&gt;0),--(('Rewards Dashboard'!$F$3="All")+('Employee Data'!$D$2:$D$493='Rewards Dashboard'!$F$3)&gt;0),--('Employee Data'!$D$2:$D$493=A52),--('Employee Data'!$E$2:$E$493=B52))/SUMPRODUCT(--('Employee Data'!$A$2:$A$493&lt;&gt;""),--(('Rewards Dashboard'!$B$3="All")+('Employee Data'!$E$2:$E$493='Rewards Dashboard'!$B$3)&gt;0),--(('Rewards Dashboard'!$D$3="All")+('Employee Data'!$C$2:$C$493='Rewards Dashboard'!$D$3)&gt;0),--(('Rewards Dashboard'!$F$3="All")+('Employee Data'!$D$2:$D$493='Rewards Dashboard'!$F$3)&gt;0),--('Employee Data'!$D$2:$D$493=A52),--('Employee Data'!$E$2:$E$493=B52)),0)</f>
        <v>148077.73684210525</v>
      </c>
      <c r="D52" cm="1">
        <f t="array" ref="D52">IFERROR(SUMPRODUCT('Employee Data'!$I$2:$I$493,--('Employee Data'!$A$2:$A$493&lt;&gt;""),--(('Rewards Dashboard'!$B$3="All")+('Employee Data'!$E$2:$E$493='Rewards Dashboard'!$B$3)&gt;0),--(('Rewards Dashboard'!$D$3="All")+('Employee Data'!$C$2:$C$493='Rewards Dashboard'!$D$3)&gt;0),--(('Rewards Dashboard'!$F$3="All")+('Employee Data'!$D$2:$D$493='Rewards Dashboard'!$F$3)&gt;0),--('Employee Data'!$D$2:$D$493=A52),--('Employee Data'!$E$2:$E$493=B52))/SUMPRODUCT(--('Employee Data'!$A$2:$A$493&lt;&gt;""),--(('Rewards Dashboard'!$B$3="All")+('Employee Data'!$E$2:$E$493='Rewards Dashboard'!$B$3)&gt;0),--(('Rewards Dashboard'!$D$3="All")+('Employee Data'!$C$2:$C$493='Rewards Dashboard'!$D$3)&gt;0),--(('Rewards Dashboard'!$F$3="All")+('Employee Data'!$D$2:$D$493='Rewards Dashboard'!$F$3)&gt;0),--('Employee Data'!$D$2:$D$493=A52),--('Employee Data'!$E$2:$E$493=B52)),0)</f>
        <v>4192.105263157895</v>
      </c>
      <c r="E52" cm="1">
        <f t="array" ref="E52">SUMPRODUCT(--('Employee Data'!$A$2:$A$493&lt;&gt;""),--(('Rewards Dashboard'!$B$3="All")+('Employee Data'!$E$2:$E$493='Rewards Dashboard'!$B$3)&gt;0),--(('Rewards Dashboard'!$D$3="All")+('Employee Data'!$C$2:$C$493='Rewards Dashboard'!$D$3)&gt;0),--(('Rewards Dashboard'!$F$3="All")+('Employee Data'!$D$2:$D$493='Rewards Dashboard'!$F$3)&gt;0),--('Employee Data'!$D$2:$D$493=A52),--('Employee Data'!$E$2:$E$493=B52))</f>
        <v>19</v>
      </c>
      <c r="F52" cm="1">
        <f t="array" ref="F52">IFERROR(SUMPRODUCT(--('Employee Data'!$I$2:$I$493&gt;7000),--('Employee Data'!$A$2:$A$493&lt;&gt;""),--(('Rewards Dashboard'!$B$3="All")+('Employee Data'!$E$2:$E$493='Rewards Dashboard'!$B$3)&gt;0),--(('Rewards Dashboard'!$D$3="All")+('Employee Data'!$C$2:$C$493='Rewards Dashboard'!$D$3)&gt;0),--(('Rewards Dashboard'!$F$3="All")+('Employee Data'!$D$2:$D$493='Rewards Dashboard'!$F$3)&gt;0),--('Employee Data'!$D$2:$D$493=A52),--('Employee Data'!$E$2:$E$493=B52))/E52,0)</f>
        <v>0.21052631578947367</v>
      </c>
      <c r="H52" t="str">
        <v>Operations</v>
      </c>
      <c r="I52" t="str">
        <v>Hyderabad</v>
      </c>
      <c r="J52">
        <v>116854.30769230769</v>
      </c>
      <c r="K52">
        <v>5475</v>
      </c>
      <c r="L52">
        <v>26</v>
      </c>
      <c r="M52">
        <v>0.30769230769230771</v>
      </c>
    </row>
    <row r="53" spans="1:13" x14ac:dyDescent="0.25">
      <c r="A53" t="s">
        <v>14</v>
      </c>
      <c r="B53" t="s">
        <v>13</v>
      </c>
      <c r="C53" cm="1">
        <f t="array" ref="C53">IFERROR(SUMPRODUCT('Employee Data'!$F$2:$F$493,--('Employee Data'!$A$2:$A$493&lt;&gt;""),--(('Rewards Dashboard'!$B$3="All")+('Employee Data'!$E$2:$E$493='Rewards Dashboard'!$B$3)&gt;0),--(('Rewards Dashboard'!$D$3="All")+('Employee Data'!$C$2:$C$493='Rewards Dashboard'!$D$3)&gt;0),--(('Rewards Dashboard'!$F$3="All")+('Employee Data'!$D$2:$D$493='Rewards Dashboard'!$F$3)&gt;0),--('Employee Data'!$D$2:$D$493=A53),--('Employee Data'!$E$2:$E$493=B53))/SUMPRODUCT(--('Employee Data'!$A$2:$A$493&lt;&gt;""),--(('Rewards Dashboard'!$B$3="All")+('Employee Data'!$E$2:$E$493='Rewards Dashboard'!$B$3)&gt;0),--(('Rewards Dashboard'!$D$3="All")+('Employee Data'!$C$2:$C$493='Rewards Dashboard'!$D$3)&gt;0),--(('Rewards Dashboard'!$F$3="All")+('Employee Data'!$D$2:$D$493='Rewards Dashboard'!$F$3)&gt;0),--('Employee Data'!$D$2:$D$493=A53),--('Employee Data'!$E$2:$E$493=B53)),0)</f>
        <v>125504.2</v>
      </c>
      <c r="D53" cm="1">
        <f t="array" ref="D53">IFERROR(SUMPRODUCT('Employee Data'!$I$2:$I$493,--('Employee Data'!$A$2:$A$493&lt;&gt;""),--(('Rewards Dashboard'!$B$3="All")+('Employee Data'!$E$2:$E$493='Rewards Dashboard'!$B$3)&gt;0),--(('Rewards Dashboard'!$D$3="All")+('Employee Data'!$C$2:$C$493='Rewards Dashboard'!$D$3)&gt;0),--(('Rewards Dashboard'!$F$3="All")+('Employee Data'!$D$2:$D$493='Rewards Dashboard'!$F$3)&gt;0),--('Employee Data'!$D$2:$D$493=A53),--('Employee Data'!$E$2:$E$493=B53))/SUMPRODUCT(--('Employee Data'!$A$2:$A$493&lt;&gt;""),--(('Rewards Dashboard'!$B$3="All")+('Employee Data'!$E$2:$E$493='Rewards Dashboard'!$B$3)&gt;0),--(('Rewards Dashboard'!$D$3="All")+('Employee Data'!$C$2:$C$493='Rewards Dashboard'!$D$3)&gt;0),--(('Rewards Dashboard'!$F$3="All")+('Employee Data'!$D$2:$D$493='Rewards Dashboard'!$F$3)&gt;0),--('Employee Data'!$D$2:$D$493=A53),--('Employee Data'!$E$2:$E$493=B53)),0)</f>
        <v>5430</v>
      </c>
      <c r="E53" cm="1">
        <f t="array" ref="E53">SUMPRODUCT(--('Employee Data'!$A$2:$A$493&lt;&gt;""),--(('Rewards Dashboard'!$B$3="All")+('Employee Data'!$E$2:$E$493='Rewards Dashboard'!$B$3)&gt;0),--(('Rewards Dashboard'!$D$3="All")+('Employee Data'!$C$2:$C$493='Rewards Dashboard'!$D$3)&gt;0),--(('Rewards Dashboard'!$F$3="All")+('Employee Data'!$D$2:$D$493='Rewards Dashboard'!$F$3)&gt;0),--('Employee Data'!$D$2:$D$493=A53),--('Employee Data'!$E$2:$E$493=B53))</f>
        <v>25</v>
      </c>
      <c r="F53" cm="1">
        <f t="array" ref="F53">IFERROR(SUMPRODUCT(--('Employee Data'!$I$2:$I$493&gt;7000),--('Employee Data'!$A$2:$A$493&lt;&gt;""),--(('Rewards Dashboard'!$B$3="All")+('Employee Data'!$E$2:$E$493='Rewards Dashboard'!$B$3)&gt;0),--(('Rewards Dashboard'!$D$3="All")+('Employee Data'!$C$2:$C$493='Rewards Dashboard'!$D$3)&gt;0),--(('Rewards Dashboard'!$F$3="All")+('Employee Data'!$D$2:$D$493='Rewards Dashboard'!$F$3)&gt;0),--('Employee Data'!$D$2:$D$493=A53),--('Employee Data'!$E$2:$E$493=B53))/E53,0)</f>
        <v>0.2</v>
      </c>
      <c r="H53" t="str">
        <v>Sales</v>
      </c>
      <c r="I53" t="str">
        <v>Noida</v>
      </c>
      <c r="J53">
        <v>141647.95833333334</v>
      </c>
      <c r="K53">
        <v>5293.75</v>
      </c>
      <c r="L53">
        <v>24</v>
      </c>
      <c r="M53">
        <v>0.29166666666666669</v>
      </c>
    </row>
    <row r="54" spans="1:13" x14ac:dyDescent="0.25">
      <c r="A54" t="s">
        <v>11</v>
      </c>
      <c r="B54" t="s">
        <v>13</v>
      </c>
      <c r="C54" cm="1">
        <f t="array" ref="C54">IFERROR(SUMPRODUCT('Employee Data'!$F$2:$F$493,--('Employee Data'!$A$2:$A$493&lt;&gt;""),--(('Rewards Dashboard'!$B$3="All")+('Employee Data'!$E$2:$E$493='Rewards Dashboard'!$B$3)&gt;0),--(('Rewards Dashboard'!$D$3="All")+('Employee Data'!$C$2:$C$493='Rewards Dashboard'!$D$3)&gt;0),--(('Rewards Dashboard'!$F$3="All")+('Employee Data'!$D$2:$D$493='Rewards Dashboard'!$F$3)&gt;0),--('Employee Data'!$D$2:$D$493=A54),--('Employee Data'!$E$2:$E$493=B54))/SUMPRODUCT(--('Employee Data'!$A$2:$A$493&lt;&gt;""),--(('Rewards Dashboard'!$B$3="All")+('Employee Data'!$E$2:$E$493='Rewards Dashboard'!$B$3)&gt;0),--(('Rewards Dashboard'!$D$3="All")+('Employee Data'!$C$2:$C$493='Rewards Dashboard'!$D$3)&gt;0),--(('Rewards Dashboard'!$F$3="All")+('Employee Data'!$D$2:$D$493='Rewards Dashboard'!$F$3)&gt;0),--('Employee Data'!$D$2:$D$493=A54),--('Employee Data'!$E$2:$E$493=B54)),0)</f>
        <v>128991.12</v>
      </c>
      <c r="D54" cm="1">
        <f t="array" ref="D54">IFERROR(SUMPRODUCT('Employee Data'!$I$2:$I$493,--('Employee Data'!$A$2:$A$493&lt;&gt;""),--(('Rewards Dashboard'!$B$3="All")+('Employee Data'!$E$2:$E$493='Rewards Dashboard'!$B$3)&gt;0),--(('Rewards Dashboard'!$D$3="All")+('Employee Data'!$C$2:$C$493='Rewards Dashboard'!$D$3)&gt;0),--(('Rewards Dashboard'!$F$3="All")+('Employee Data'!$D$2:$D$493='Rewards Dashboard'!$F$3)&gt;0),--('Employee Data'!$D$2:$D$493=A54),--('Employee Data'!$E$2:$E$493=B54))/SUMPRODUCT(--('Employee Data'!$A$2:$A$493&lt;&gt;""),--(('Rewards Dashboard'!$B$3="All")+('Employee Data'!$E$2:$E$493='Rewards Dashboard'!$B$3)&gt;0),--(('Rewards Dashboard'!$D$3="All")+('Employee Data'!$C$2:$C$493='Rewards Dashboard'!$D$3)&gt;0),--(('Rewards Dashboard'!$F$3="All")+('Employee Data'!$D$2:$D$493='Rewards Dashboard'!$F$3)&gt;0),--('Employee Data'!$D$2:$D$493=A54),--('Employee Data'!$E$2:$E$493=B54)),0)</f>
        <v>5174</v>
      </c>
      <c r="E54" cm="1">
        <f t="array" ref="E54">SUMPRODUCT(--('Employee Data'!$A$2:$A$493&lt;&gt;""),--(('Rewards Dashboard'!$B$3="All")+('Employee Data'!$E$2:$E$493='Rewards Dashboard'!$B$3)&gt;0),--(('Rewards Dashboard'!$D$3="All")+('Employee Data'!$C$2:$C$493='Rewards Dashboard'!$D$3)&gt;0),--(('Rewards Dashboard'!$F$3="All")+('Employee Data'!$D$2:$D$493='Rewards Dashboard'!$F$3)&gt;0),--('Employee Data'!$D$2:$D$493=A54),--('Employee Data'!$E$2:$E$493=B54))</f>
        <v>25</v>
      </c>
      <c r="F54" cm="1">
        <f t="array" ref="F54">IFERROR(SUMPRODUCT(--('Employee Data'!$I$2:$I$493&gt;7000),--('Employee Data'!$A$2:$A$493&lt;&gt;""),--(('Rewards Dashboard'!$B$3="All")+('Employee Data'!$E$2:$E$493='Rewards Dashboard'!$B$3)&gt;0),--(('Rewards Dashboard'!$D$3="All")+('Employee Data'!$C$2:$C$493='Rewards Dashboard'!$D$3)&gt;0),--(('Rewards Dashboard'!$F$3="All")+('Employee Data'!$D$2:$D$493='Rewards Dashboard'!$F$3)&gt;0),--('Employee Data'!$D$2:$D$493=A54),--('Employee Data'!$E$2:$E$493=B54))/E54,0)</f>
        <v>0.16</v>
      </c>
      <c r="H54" t="str">
        <v>HR</v>
      </c>
      <c r="I54" t="str">
        <v>Bengaluru</v>
      </c>
      <c r="J54">
        <v>137245.47368421053</v>
      </c>
      <c r="K54">
        <v>5489.4736842105267</v>
      </c>
      <c r="L54">
        <v>19</v>
      </c>
      <c r="M54">
        <v>0.26315789473684209</v>
      </c>
    </row>
    <row r="55" spans="1:13" x14ac:dyDescent="0.25">
      <c r="A55" t="s">
        <v>3</v>
      </c>
      <c r="B55" t="s">
        <v>9</v>
      </c>
      <c r="C55" cm="1">
        <f t="array" ref="C55">IFERROR(SUMPRODUCT('Employee Data'!$F$2:$F$493,--('Employee Data'!$A$2:$A$493&lt;&gt;""),--(('Rewards Dashboard'!$B$3="All")+('Employee Data'!$E$2:$E$493='Rewards Dashboard'!$B$3)&gt;0),--(('Rewards Dashboard'!$D$3="All")+('Employee Data'!$C$2:$C$493='Rewards Dashboard'!$D$3)&gt;0),--(('Rewards Dashboard'!$F$3="All")+('Employee Data'!$D$2:$D$493='Rewards Dashboard'!$F$3)&gt;0),--('Employee Data'!$D$2:$D$493=A55),--('Employee Data'!$E$2:$E$493=B55))/SUMPRODUCT(--('Employee Data'!$A$2:$A$493&lt;&gt;""),--(('Rewards Dashboard'!$B$3="All")+('Employee Data'!$E$2:$E$493='Rewards Dashboard'!$B$3)&gt;0),--(('Rewards Dashboard'!$D$3="All")+('Employee Data'!$C$2:$C$493='Rewards Dashboard'!$D$3)&gt;0),--(('Rewards Dashboard'!$F$3="All")+('Employee Data'!$D$2:$D$493='Rewards Dashboard'!$F$3)&gt;0),--('Employee Data'!$D$2:$D$493=A55),--('Employee Data'!$E$2:$E$493=B55)),0)</f>
        <v>118022.5</v>
      </c>
      <c r="D55" cm="1">
        <f t="array" ref="D55">IFERROR(SUMPRODUCT('Employee Data'!$I$2:$I$493,--('Employee Data'!$A$2:$A$493&lt;&gt;""),--(('Rewards Dashboard'!$B$3="All")+('Employee Data'!$E$2:$E$493='Rewards Dashboard'!$B$3)&gt;0),--(('Rewards Dashboard'!$D$3="All")+('Employee Data'!$C$2:$C$493='Rewards Dashboard'!$D$3)&gt;0),--(('Rewards Dashboard'!$F$3="All")+('Employee Data'!$D$2:$D$493='Rewards Dashboard'!$F$3)&gt;0),--('Employee Data'!$D$2:$D$493=A55),--('Employee Data'!$E$2:$E$493=B55))/SUMPRODUCT(--('Employee Data'!$A$2:$A$493&lt;&gt;""),--(('Rewards Dashboard'!$B$3="All")+('Employee Data'!$E$2:$E$493='Rewards Dashboard'!$B$3)&gt;0),--(('Rewards Dashboard'!$D$3="All")+('Employee Data'!$C$2:$C$493='Rewards Dashboard'!$D$3)&gt;0),--(('Rewards Dashboard'!$F$3="All")+('Employee Data'!$D$2:$D$493='Rewards Dashboard'!$F$3)&gt;0),--('Employee Data'!$D$2:$D$493=A55),--('Employee Data'!$E$2:$E$493=B55)),0)</f>
        <v>5190.909090909091</v>
      </c>
      <c r="E55" cm="1">
        <f t="array" ref="E55">SUMPRODUCT(--('Employee Data'!$A$2:$A$493&lt;&gt;""),--(('Rewards Dashboard'!$B$3="All")+('Employee Data'!$E$2:$E$493='Rewards Dashboard'!$B$3)&gt;0),--(('Rewards Dashboard'!$D$3="All")+('Employee Data'!$C$2:$C$493='Rewards Dashboard'!$D$3)&gt;0),--(('Rewards Dashboard'!$F$3="All")+('Employee Data'!$D$2:$D$493='Rewards Dashboard'!$F$3)&gt;0),--('Employee Data'!$D$2:$D$493=A55),--('Employee Data'!$E$2:$E$493=B55))</f>
        <v>22</v>
      </c>
      <c r="F55" cm="1">
        <f t="array" ref="F55">IFERROR(SUMPRODUCT(--('Employee Data'!$I$2:$I$493&gt;7000),--('Employee Data'!$A$2:$A$493&lt;&gt;""),--(('Rewards Dashboard'!$B$3="All")+('Employee Data'!$E$2:$E$493='Rewards Dashboard'!$B$3)&gt;0),--(('Rewards Dashboard'!$D$3="All")+('Employee Data'!$C$2:$C$493='Rewards Dashboard'!$D$3)&gt;0),--(('Rewards Dashboard'!$F$3="All")+('Employee Data'!$D$2:$D$493='Rewards Dashboard'!$F$3)&gt;0),--('Employee Data'!$D$2:$D$493=A55),--('Employee Data'!$E$2:$E$493=B55))/E55,0)</f>
        <v>0.22727272727272727</v>
      </c>
      <c r="H55" t="str">
        <v>Operations</v>
      </c>
      <c r="I55" t="str">
        <v>Gurugram</v>
      </c>
      <c r="J55">
        <v>129313.88888888889</v>
      </c>
      <c r="K55">
        <v>5490.7407407407409</v>
      </c>
      <c r="L55">
        <v>27</v>
      </c>
      <c r="M55">
        <v>0.25925925925925924</v>
      </c>
    </row>
    <row r="56" spans="1:13" x14ac:dyDescent="0.25">
      <c r="A56" t="s">
        <v>12</v>
      </c>
      <c r="B56" t="s">
        <v>9</v>
      </c>
      <c r="C56" cm="1">
        <f t="array" ref="C56">IFERROR(SUMPRODUCT('Employee Data'!$F$2:$F$493,--('Employee Data'!$A$2:$A$493&lt;&gt;""),--(('Rewards Dashboard'!$B$3="All")+('Employee Data'!$E$2:$E$493='Rewards Dashboard'!$B$3)&gt;0),--(('Rewards Dashboard'!$D$3="All")+('Employee Data'!$C$2:$C$493='Rewards Dashboard'!$D$3)&gt;0),--(('Rewards Dashboard'!$F$3="All")+('Employee Data'!$D$2:$D$493='Rewards Dashboard'!$F$3)&gt;0),--('Employee Data'!$D$2:$D$493=A56),--('Employee Data'!$E$2:$E$493=B56))/SUMPRODUCT(--('Employee Data'!$A$2:$A$493&lt;&gt;""),--(('Rewards Dashboard'!$B$3="All")+('Employee Data'!$E$2:$E$493='Rewards Dashboard'!$B$3)&gt;0),--(('Rewards Dashboard'!$D$3="All")+('Employee Data'!$C$2:$C$493='Rewards Dashboard'!$D$3)&gt;0),--(('Rewards Dashboard'!$F$3="All")+('Employee Data'!$D$2:$D$493='Rewards Dashboard'!$F$3)&gt;0),--('Employee Data'!$D$2:$D$493=A56),--('Employee Data'!$E$2:$E$493=B56)),0)</f>
        <v>139907.28571428571</v>
      </c>
      <c r="D56" cm="1">
        <f t="array" ref="D56">IFERROR(SUMPRODUCT('Employee Data'!$I$2:$I$493,--('Employee Data'!$A$2:$A$493&lt;&gt;""),--(('Rewards Dashboard'!$B$3="All")+('Employee Data'!$E$2:$E$493='Rewards Dashboard'!$B$3)&gt;0),--(('Rewards Dashboard'!$D$3="All")+('Employee Data'!$C$2:$C$493='Rewards Dashboard'!$D$3)&gt;0),--(('Rewards Dashboard'!$F$3="All")+('Employee Data'!$D$2:$D$493='Rewards Dashboard'!$F$3)&gt;0),--('Employee Data'!$D$2:$D$493=A56),--('Employee Data'!$E$2:$E$493=B56))/SUMPRODUCT(--('Employee Data'!$A$2:$A$493&lt;&gt;""),--(('Rewards Dashboard'!$B$3="All")+('Employee Data'!$E$2:$E$493='Rewards Dashboard'!$B$3)&gt;0),--(('Rewards Dashboard'!$D$3="All")+('Employee Data'!$C$2:$C$493='Rewards Dashboard'!$D$3)&gt;0),--(('Rewards Dashboard'!$F$3="All")+('Employee Data'!$D$2:$D$493='Rewards Dashboard'!$F$3)&gt;0),--('Employee Data'!$D$2:$D$493=A56),--('Employee Data'!$E$2:$E$493=B56)),0)</f>
        <v>5064.2857142857147</v>
      </c>
      <c r="E56" cm="1">
        <f t="array" ref="E56">SUMPRODUCT(--('Employee Data'!$A$2:$A$493&lt;&gt;""),--(('Rewards Dashboard'!$B$3="All")+('Employee Data'!$E$2:$E$493='Rewards Dashboard'!$B$3)&gt;0),--(('Rewards Dashboard'!$D$3="All")+('Employee Data'!$C$2:$C$493='Rewards Dashboard'!$D$3)&gt;0),--(('Rewards Dashboard'!$F$3="All")+('Employee Data'!$D$2:$D$493='Rewards Dashboard'!$F$3)&gt;0),--('Employee Data'!$D$2:$D$493=A56),--('Employee Data'!$E$2:$E$493=B56))</f>
        <v>21</v>
      </c>
      <c r="F56" cm="1">
        <f t="array" ref="F56">IFERROR(SUMPRODUCT(--('Employee Data'!$I$2:$I$493&gt;7000),--('Employee Data'!$A$2:$A$493&lt;&gt;""),--(('Rewards Dashboard'!$B$3="All")+('Employee Data'!$E$2:$E$493='Rewards Dashboard'!$B$3)&gt;0),--(('Rewards Dashboard'!$D$3="All")+('Employee Data'!$C$2:$C$493='Rewards Dashboard'!$D$3)&gt;0),--(('Rewards Dashboard'!$F$3="All")+('Employee Data'!$D$2:$D$493='Rewards Dashboard'!$F$3)&gt;0),--('Employee Data'!$D$2:$D$493=A56),--('Employee Data'!$E$2:$E$493=B56))/E56,0)</f>
        <v>0.19047619047619047</v>
      </c>
    </row>
    <row r="57" spans="1:13" x14ac:dyDescent="0.25">
      <c r="A57" t="s">
        <v>8</v>
      </c>
      <c r="B57" t="s">
        <v>9</v>
      </c>
      <c r="C57" cm="1">
        <f t="array" ref="C57">IFERROR(SUMPRODUCT('Employee Data'!$F$2:$F$493,--('Employee Data'!$A$2:$A$493&lt;&gt;""),--(('Rewards Dashboard'!$B$3="All")+('Employee Data'!$E$2:$E$493='Rewards Dashboard'!$B$3)&gt;0),--(('Rewards Dashboard'!$D$3="All")+('Employee Data'!$C$2:$C$493='Rewards Dashboard'!$D$3)&gt;0),--(('Rewards Dashboard'!$F$3="All")+('Employee Data'!$D$2:$D$493='Rewards Dashboard'!$F$3)&gt;0),--('Employee Data'!$D$2:$D$493=A57),--('Employee Data'!$E$2:$E$493=B57))/SUMPRODUCT(--('Employee Data'!$A$2:$A$493&lt;&gt;""),--(('Rewards Dashboard'!$B$3="All")+('Employee Data'!$E$2:$E$493='Rewards Dashboard'!$B$3)&gt;0),--(('Rewards Dashboard'!$D$3="All")+('Employee Data'!$C$2:$C$493='Rewards Dashboard'!$D$3)&gt;0),--(('Rewards Dashboard'!$F$3="All")+('Employee Data'!$D$2:$D$493='Rewards Dashboard'!$F$3)&gt;0),--('Employee Data'!$D$2:$D$493=A57),--('Employee Data'!$E$2:$E$493=B57)),0)</f>
        <v>129313.88888888889</v>
      </c>
      <c r="D57" cm="1">
        <f t="array" ref="D57">IFERROR(SUMPRODUCT('Employee Data'!$I$2:$I$493,--('Employee Data'!$A$2:$A$493&lt;&gt;""),--(('Rewards Dashboard'!$B$3="All")+('Employee Data'!$E$2:$E$493='Rewards Dashboard'!$B$3)&gt;0),--(('Rewards Dashboard'!$D$3="All")+('Employee Data'!$C$2:$C$493='Rewards Dashboard'!$D$3)&gt;0),--(('Rewards Dashboard'!$F$3="All")+('Employee Data'!$D$2:$D$493='Rewards Dashboard'!$F$3)&gt;0),--('Employee Data'!$D$2:$D$493=A57),--('Employee Data'!$E$2:$E$493=B57))/SUMPRODUCT(--('Employee Data'!$A$2:$A$493&lt;&gt;""),--(('Rewards Dashboard'!$B$3="All")+('Employee Data'!$E$2:$E$493='Rewards Dashboard'!$B$3)&gt;0),--(('Rewards Dashboard'!$D$3="All")+('Employee Data'!$C$2:$C$493='Rewards Dashboard'!$D$3)&gt;0),--(('Rewards Dashboard'!$F$3="All")+('Employee Data'!$D$2:$D$493='Rewards Dashboard'!$F$3)&gt;0),--('Employee Data'!$D$2:$D$493=A57),--('Employee Data'!$E$2:$E$493=B57)),0)</f>
        <v>5490.7407407407409</v>
      </c>
      <c r="E57" cm="1">
        <f t="array" ref="E57">SUMPRODUCT(--('Employee Data'!$A$2:$A$493&lt;&gt;""),--(('Rewards Dashboard'!$B$3="All")+('Employee Data'!$E$2:$E$493='Rewards Dashboard'!$B$3)&gt;0),--(('Rewards Dashboard'!$D$3="All")+('Employee Data'!$C$2:$C$493='Rewards Dashboard'!$D$3)&gt;0),--(('Rewards Dashboard'!$F$3="All")+('Employee Data'!$D$2:$D$493='Rewards Dashboard'!$F$3)&gt;0),--('Employee Data'!$D$2:$D$493=A57),--('Employee Data'!$E$2:$E$493=B57))</f>
        <v>27</v>
      </c>
      <c r="F57" cm="1">
        <f t="array" ref="F57">IFERROR(SUMPRODUCT(--('Employee Data'!$I$2:$I$493&gt;7000),--('Employee Data'!$A$2:$A$493&lt;&gt;""),--(('Rewards Dashboard'!$B$3="All")+('Employee Data'!$E$2:$E$493='Rewards Dashboard'!$B$3)&gt;0),--(('Rewards Dashboard'!$D$3="All")+('Employee Data'!$C$2:$C$493='Rewards Dashboard'!$D$3)&gt;0),--(('Rewards Dashboard'!$F$3="All")+('Employee Data'!$D$2:$D$493='Rewards Dashboard'!$F$3)&gt;0),--('Employee Data'!$D$2:$D$493=A57),--('Employee Data'!$E$2:$E$493=B57))/E57,0)</f>
        <v>0.25925925925925924</v>
      </c>
    </row>
    <row r="58" spans="1:13" x14ac:dyDescent="0.25">
      <c r="A58" t="s">
        <v>14</v>
      </c>
      <c r="B58" t="s">
        <v>9</v>
      </c>
      <c r="C58" cm="1">
        <f t="array" ref="C58">IFERROR(SUMPRODUCT('Employee Data'!$F$2:$F$493,--('Employee Data'!$A$2:$A$493&lt;&gt;""),--(('Rewards Dashboard'!$B$3="All")+('Employee Data'!$E$2:$E$493='Rewards Dashboard'!$B$3)&gt;0),--(('Rewards Dashboard'!$D$3="All")+('Employee Data'!$C$2:$C$493='Rewards Dashboard'!$D$3)&gt;0),--(('Rewards Dashboard'!$F$3="All")+('Employee Data'!$D$2:$D$493='Rewards Dashboard'!$F$3)&gt;0),--('Employee Data'!$D$2:$D$493=A58),--('Employee Data'!$E$2:$E$493=B58))/SUMPRODUCT(--('Employee Data'!$A$2:$A$493&lt;&gt;""),--(('Rewards Dashboard'!$B$3="All")+('Employee Data'!$E$2:$E$493='Rewards Dashboard'!$B$3)&gt;0),--(('Rewards Dashboard'!$D$3="All")+('Employee Data'!$C$2:$C$493='Rewards Dashboard'!$D$3)&gt;0),--(('Rewards Dashboard'!$F$3="All")+('Employee Data'!$D$2:$D$493='Rewards Dashboard'!$F$3)&gt;0),--('Employee Data'!$D$2:$D$493=A58),--('Employee Data'!$E$2:$E$493=B58)),0)</f>
        <v>113461.64</v>
      </c>
      <c r="D58" cm="1">
        <f t="array" ref="D58">IFERROR(SUMPRODUCT('Employee Data'!$I$2:$I$493,--('Employee Data'!$A$2:$A$493&lt;&gt;""),--(('Rewards Dashboard'!$B$3="All")+('Employee Data'!$E$2:$E$493='Rewards Dashboard'!$B$3)&gt;0),--(('Rewards Dashboard'!$D$3="All")+('Employee Data'!$C$2:$C$493='Rewards Dashboard'!$D$3)&gt;0),--(('Rewards Dashboard'!$F$3="All")+('Employee Data'!$D$2:$D$493='Rewards Dashboard'!$F$3)&gt;0),--('Employee Data'!$D$2:$D$493=A58),--('Employee Data'!$E$2:$E$493=B58))/SUMPRODUCT(--('Employee Data'!$A$2:$A$493&lt;&gt;""),--(('Rewards Dashboard'!$B$3="All")+('Employee Data'!$E$2:$E$493='Rewards Dashboard'!$B$3)&gt;0),--(('Rewards Dashboard'!$D$3="All")+('Employee Data'!$C$2:$C$493='Rewards Dashboard'!$D$3)&gt;0),--(('Rewards Dashboard'!$F$3="All")+('Employee Data'!$D$2:$D$493='Rewards Dashboard'!$F$3)&gt;0),--('Employee Data'!$D$2:$D$493=A58),--('Employee Data'!$E$2:$E$493=B58)),0)</f>
        <v>6062</v>
      </c>
      <c r="E58" cm="1">
        <f t="array" ref="E58">SUMPRODUCT(--('Employee Data'!$A$2:$A$493&lt;&gt;""),--(('Rewards Dashboard'!$B$3="All")+('Employee Data'!$E$2:$E$493='Rewards Dashboard'!$B$3)&gt;0),--(('Rewards Dashboard'!$D$3="All")+('Employee Data'!$C$2:$C$493='Rewards Dashboard'!$D$3)&gt;0),--(('Rewards Dashboard'!$F$3="All")+('Employee Data'!$D$2:$D$493='Rewards Dashboard'!$F$3)&gt;0),--('Employee Data'!$D$2:$D$493=A58),--('Employee Data'!$E$2:$E$493=B58))</f>
        <v>25</v>
      </c>
      <c r="F58" cm="1">
        <f t="array" ref="F58">IFERROR(SUMPRODUCT(--('Employee Data'!$I$2:$I$493&gt;7000),--('Employee Data'!$A$2:$A$493&lt;&gt;""),--(('Rewards Dashboard'!$B$3="All")+('Employee Data'!$E$2:$E$493='Rewards Dashboard'!$B$3)&gt;0),--(('Rewards Dashboard'!$D$3="All")+('Employee Data'!$C$2:$C$493='Rewards Dashboard'!$D$3)&gt;0),--(('Rewards Dashboard'!$F$3="All")+('Employee Data'!$D$2:$D$493='Rewards Dashboard'!$F$3)&gt;0),--('Employee Data'!$D$2:$D$493=A58),--('Employee Data'!$E$2:$E$493=B58))/E58,0)</f>
        <v>0.32</v>
      </c>
    </row>
    <row r="59" spans="1:13" x14ac:dyDescent="0.25">
      <c r="A59" t="s">
        <v>11</v>
      </c>
      <c r="B59" t="s">
        <v>9</v>
      </c>
      <c r="C59" cm="1">
        <f t="array" ref="C59">IFERROR(SUMPRODUCT('Employee Data'!$F$2:$F$493,--('Employee Data'!$A$2:$A$493&lt;&gt;""),--(('Rewards Dashboard'!$B$3="All")+('Employee Data'!$E$2:$E$493='Rewards Dashboard'!$B$3)&gt;0),--(('Rewards Dashboard'!$D$3="All")+('Employee Data'!$C$2:$C$493='Rewards Dashboard'!$D$3)&gt;0),--(('Rewards Dashboard'!$F$3="All")+('Employee Data'!$D$2:$D$493='Rewards Dashboard'!$F$3)&gt;0),--('Employee Data'!$D$2:$D$493=A59),--('Employee Data'!$E$2:$E$493=B59))/SUMPRODUCT(--('Employee Data'!$A$2:$A$493&lt;&gt;""),--(('Rewards Dashboard'!$B$3="All")+('Employee Data'!$E$2:$E$493='Rewards Dashboard'!$B$3)&gt;0),--(('Rewards Dashboard'!$D$3="All")+('Employee Data'!$C$2:$C$493='Rewards Dashboard'!$D$3)&gt;0),--(('Rewards Dashboard'!$F$3="All")+('Employee Data'!$D$2:$D$493='Rewards Dashboard'!$F$3)&gt;0),--('Employee Data'!$D$2:$D$493=A59),--('Employee Data'!$E$2:$E$493=B59)),0)</f>
        <v>131479.07999999999</v>
      </c>
      <c r="D59" cm="1">
        <f t="array" ref="D59">IFERROR(SUMPRODUCT('Employee Data'!$I$2:$I$493,--('Employee Data'!$A$2:$A$493&lt;&gt;""),--(('Rewards Dashboard'!$B$3="All")+('Employee Data'!$E$2:$E$493='Rewards Dashboard'!$B$3)&gt;0),--(('Rewards Dashboard'!$D$3="All")+('Employee Data'!$C$2:$C$493='Rewards Dashboard'!$D$3)&gt;0),--(('Rewards Dashboard'!$F$3="All")+('Employee Data'!$D$2:$D$493='Rewards Dashboard'!$F$3)&gt;0),--('Employee Data'!$D$2:$D$493=A59),--('Employee Data'!$E$2:$E$493=B59))/SUMPRODUCT(--('Employee Data'!$A$2:$A$493&lt;&gt;""),--(('Rewards Dashboard'!$B$3="All")+('Employee Data'!$E$2:$E$493='Rewards Dashboard'!$B$3)&gt;0),--(('Rewards Dashboard'!$D$3="All")+('Employee Data'!$C$2:$C$493='Rewards Dashboard'!$D$3)&gt;0),--(('Rewards Dashboard'!$F$3="All")+('Employee Data'!$D$2:$D$493='Rewards Dashboard'!$F$3)&gt;0),--('Employee Data'!$D$2:$D$493=A59),--('Employee Data'!$E$2:$E$493=B59)),0)</f>
        <v>5066</v>
      </c>
      <c r="E59" cm="1">
        <f t="array" ref="E59">SUMPRODUCT(--('Employee Data'!$A$2:$A$493&lt;&gt;""),--(('Rewards Dashboard'!$B$3="All")+('Employee Data'!$E$2:$E$493='Rewards Dashboard'!$B$3)&gt;0),--(('Rewards Dashboard'!$D$3="All")+('Employee Data'!$C$2:$C$493='Rewards Dashboard'!$D$3)&gt;0),--(('Rewards Dashboard'!$F$3="All")+('Employee Data'!$D$2:$D$493='Rewards Dashboard'!$F$3)&gt;0),--('Employee Data'!$D$2:$D$493=A59),--('Employee Data'!$E$2:$E$493=B59))</f>
        <v>25</v>
      </c>
      <c r="F59" cm="1">
        <f t="array" ref="F59">IFERROR(SUMPRODUCT(--('Employee Data'!$I$2:$I$493&gt;7000),--('Employee Data'!$A$2:$A$493&lt;&gt;""),--(('Rewards Dashboard'!$B$3="All")+('Employee Data'!$E$2:$E$493='Rewards Dashboard'!$B$3)&gt;0),--(('Rewards Dashboard'!$D$3="All")+('Employee Data'!$C$2:$C$493='Rewards Dashboard'!$D$3)&gt;0),--(('Rewards Dashboard'!$F$3="All")+('Employee Data'!$D$2:$D$493='Rewards Dashboard'!$F$3)&gt;0),--('Employee Data'!$D$2:$D$493=A59),--('Employee Data'!$E$2:$E$493=B59))/E59,0)</f>
        <v>0.2</v>
      </c>
    </row>
    <row r="60" spans="1:13" x14ac:dyDescent="0.25">
      <c r="A60" t="s">
        <v>3</v>
      </c>
      <c r="B60" t="s">
        <v>7</v>
      </c>
      <c r="C60" cm="1">
        <f t="array" ref="C60">IFERROR(SUMPRODUCT('Employee Data'!$F$2:$F$493,--('Employee Data'!$A$2:$A$493&lt;&gt;""),--(('Rewards Dashboard'!$B$3="All")+('Employee Data'!$E$2:$E$493='Rewards Dashboard'!$B$3)&gt;0),--(('Rewards Dashboard'!$D$3="All")+('Employee Data'!$C$2:$C$493='Rewards Dashboard'!$D$3)&gt;0),--(('Rewards Dashboard'!$F$3="All")+('Employee Data'!$D$2:$D$493='Rewards Dashboard'!$F$3)&gt;0),--('Employee Data'!$D$2:$D$493=A60),--('Employee Data'!$E$2:$E$493=B60))/SUMPRODUCT(--('Employee Data'!$A$2:$A$493&lt;&gt;""),--(('Rewards Dashboard'!$B$3="All")+('Employee Data'!$E$2:$E$493='Rewards Dashboard'!$B$3)&gt;0),--(('Rewards Dashboard'!$D$3="All")+('Employee Data'!$C$2:$C$493='Rewards Dashboard'!$D$3)&gt;0),--(('Rewards Dashboard'!$F$3="All")+('Employee Data'!$D$2:$D$493='Rewards Dashboard'!$F$3)&gt;0),--('Employee Data'!$D$2:$D$493=A60),--('Employee Data'!$E$2:$E$493=B60)),0)</f>
        <v>132462.27586206896</v>
      </c>
      <c r="D60" cm="1">
        <f t="array" ref="D60">IFERROR(SUMPRODUCT('Employee Data'!$I$2:$I$493,--('Employee Data'!$A$2:$A$493&lt;&gt;""),--(('Rewards Dashboard'!$B$3="All")+('Employee Data'!$E$2:$E$493='Rewards Dashboard'!$B$3)&gt;0),--(('Rewards Dashboard'!$D$3="All")+('Employee Data'!$C$2:$C$493='Rewards Dashboard'!$D$3)&gt;0),--(('Rewards Dashboard'!$F$3="All")+('Employee Data'!$D$2:$D$493='Rewards Dashboard'!$F$3)&gt;0),--('Employee Data'!$D$2:$D$493=A60),--('Employee Data'!$E$2:$E$493=B60))/SUMPRODUCT(--('Employee Data'!$A$2:$A$493&lt;&gt;""),--(('Rewards Dashboard'!$B$3="All")+('Employee Data'!$E$2:$E$493='Rewards Dashboard'!$B$3)&gt;0),--(('Rewards Dashboard'!$D$3="All")+('Employee Data'!$C$2:$C$493='Rewards Dashboard'!$D$3)&gt;0),--(('Rewards Dashboard'!$F$3="All")+('Employee Data'!$D$2:$D$493='Rewards Dashboard'!$F$3)&gt;0),--('Employee Data'!$D$2:$D$493=A60),--('Employee Data'!$E$2:$E$493=B60)),0)</f>
        <v>5944.8275862068967</v>
      </c>
      <c r="E60" cm="1">
        <f t="array" ref="E60">SUMPRODUCT(--('Employee Data'!$A$2:$A$493&lt;&gt;""),--(('Rewards Dashboard'!$B$3="All")+('Employee Data'!$E$2:$E$493='Rewards Dashboard'!$B$3)&gt;0),--(('Rewards Dashboard'!$D$3="All")+('Employee Data'!$C$2:$C$493='Rewards Dashboard'!$D$3)&gt;0),--(('Rewards Dashboard'!$F$3="All")+('Employee Data'!$D$2:$D$493='Rewards Dashboard'!$F$3)&gt;0),--('Employee Data'!$D$2:$D$493=A60),--('Employee Data'!$E$2:$E$493=B60))</f>
        <v>29</v>
      </c>
      <c r="F60" cm="1">
        <f t="array" ref="F60">IFERROR(SUMPRODUCT(--('Employee Data'!$I$2:$I$493&gt;7000),--('Employee Data'!$A$2:$A$493&lt;&gt;""),--(('Rewards Dashboard'!$B$3="All")+('Employee Data'!$E$2:$E$493='Rewards Dashboard'!$B$3)&gt;0),--(('Rewards Dashboard'!$D$3="All")+('Employee Data'!$C$2:$C$493='Rewards Dashboard'!$D$3)&gt;0),--(('Rewards Dashboard'!$F$3="All")+('Employee Data'!$D$2:$D$493='Rewards Dashboard'!$F$3)&gt;0),--('Employee Data'!$D$2:$D$493=A60),--('Employee Data'!$E$2:$E$493=B60))/E60,0)</f>
        <v>0.34482758620689657</v>
      </c>
    </row>
    <row r="61" spans="1:13" x14ac:dyDescent="0.25">
      <c r="A61" t="s">
        <v>12</v>
      </c>
      <c r="B61" t="s">
        <v>7</v>
      </c>
      <c r="C61" cm="1">
        <f t="array" ref="C61">IFERROR(SUMPRODUCT('Employee Data'!$F$2:$F$493,--('Employee Data'!$A$2:$A$493&lt;&gt;""),--(('Rewards Dashboard'!$B$3="All")+('Employee Data'!$E$2:$E$493='Rewards Dashboard'!$B$3)&gt;0),--(('Rewards Dashboard'!$D$3="All")+('Employee Data'!$C$2:$C$493='Rewards Dashboard'!$D$3)&gt;0),--(('Rewards Dashboard'!$F$3="All")+('Employee Data'!$D$2:$D$493='Rewards Dashboard'!$F$3)&gt;0),--('Employee Data'!$D$2:$D$493=A61),--('Employee Data'!$E$2:$E$493=B61))/SUMPRODUCT(--('Employee Data'!$A$2:$A$493&lt;&gt;""),--(('Rewards Dashboard'!$B$3="All")+('Employee Data'!$E$2:$E$493='Rewards Dashboard'!$B$3)&gt;0),--(('Rewards Dashboard'!$D$3="All")+('Employee Data'!$C$2:$C$493='Rewards Dashboard'!$D$3)&gt;0),--(('Rewards Dashboard'!$F$3="All")+('Employee Data'!$D$2:$D$493='Rewards Dashboard'!$F$3)&gt;0),--('Employee Data'!$D$2:$D$493=A61),--('Employee Data'!$E$2:$E$493=B61)),0)</f>
        <v>130150.07692307692</v>
      </c>
      <c r="D61" cm="1">
        <f t="array" ref="D61">IFERROR(SUMPRODUCT('Employee Data'!$I$2:$I$493,--('Employee Data'!$A$2:$A$493&lt;&gt;""),--(('Rewards Dashboard'!$B$3="All")+('Employee Data'!$E$2:$E$493='Rewards Dashboard'!$B$3)&gt;0),--(('Rewards Dashboard'!$D$3="All")+('Employee Data'!$C$2:$C$493='Rewards Dashboard'!$D$3)&gt;0),--(('Rewards Dashboard'!$F$3="All")+('Employee Data'!$D$2:$D$493='Rewards Dashboard'!$F$3)&gt;0),--('Employee Data'!$D$2:$D$493=A61),--('Employee Data'!$E$2:$E$493=B61))/SUMPRODUCT(--('Employee Data'!$A$2:$A$493&lt;&gt;""),--(('Rewards Dashboard'!$B$3="All")+('Employee Data'!$E$2:$E$493='Rewards Dashboard'!$B$3)&gt;0),--(('Rewards Dashboard'!$D$3="All")+('Employee Data'!$C$2:$C$493='Rewards Dashboard'!$D$3)&gt;0),--(('Rewards Dashboard'!$F$3="All")+('Employee Data'!$D$2:$D$493='Rewards Dashboard'!$F$3)&gt;0),--('Employee Data'!$D$2:$D$493=A61),--('Employee Data'!$E$2:$E$493=B61)),0)</f>
        <v>4819.2307692307695</v>
      </c>
      <c r="E61" cm="1">
        <f t="array" ref="E61">SUMPRODUCT(--('Employee Data'!$A$2:$A$493&lt;&gt;""),--(('Rewards Dashboard'!$B$3="All")+('Employee Data'!$E$2:$E$493='Rewards Dashboard'!$B$3)&gt;0),--(('Rewards Dashboard'!$D$3="All")+('Employee Data'!$C$2:$C$493='Rewards Dashboard'!$D$3)&gt;0),--(('Rewards Dashboard'!$F$3="All")+('Employee Data'!$D$2:$D$493='Rewards Dashboard'!$F$3)&gt;0),--('Employee Data'!$D$2:$D$493=A61),--('Employee Data'!$E$2:$E$493=B61))</f>
        <v>26</v>
      </c>
      <c r="F61" cm="1">
        <f t="array" ref="F61">IFERROR(SUMPRODUCT(--('Employee Data'!$I$2:$I$493&gt;7000),--('Employee Data'!$A$2:$A$493&lt;&gt;""),--(('Rewards Dashboard'!$B$3="All")+('Employee Data'!$E$2:$E$493='Rewards Dashboard'!$B$3)&gt;0),--(('Rewards Dashboard'!$D$3="All")+('Employee Data'!$C$2:$C$493='Rewards Dashboard'!$D$3)&gt;0),--(('Rewards Dashboard'!$F$3="All")+('Employee Data'!$D$2:$D$493='Rewards Dashboard'!$F$3)&gt;0),--('Employee Data'!$D$2:$D$493=A61),--('Employee Data'!$E$2:$E$493=B61))/E61,0)</f>
        <v>0.19230769230769232</v>
      </c>
    </row>
    <row r="62" spans="1:13" x14ac:dyDescent="0.25">
      <c r="A62" t="s">
        <v>8</v>
      </c>
      <c r="B62" t="s">
        <v>7</v>
      </c>
      <c r="C62" cm="1">
        <f t="array" ref="C62">IFERROR(SUMPRODUCT('Employee Data'!$F$2:$F$493,--('Employee Data'!$A$2:$A$493&lt;&gt;""),--(('Rewards Dashboard'!$B$3="All")+('Employee Data'!$E$2:$E$493='Rewards Dashboard'!$B$3)&gt;0),--(('Rewards Dashboard'!$D$3="All")+('Employee Data'!$C$2:$C$493='Rewards Dashboard'!$D$3)&gt;0),--(('Rewards Dashboard'!$F$3="All")+('Employee Data'!$D$2:$D$493='Rewards Dashboard'!$F$3)&gt;0),--('Employee Data'!$D$2:$D$493=A62),--('Employee Data'!$E$2:$E$493=B62))/SUMPRODUCT(--('Employee Data'!$A$2:$A$493&lt;&gt;""),--(('Rewards Dashboard'!$B$3="All")+('Employee Data'!$E$2:$E$493='Rewards Dashboard'!$B$3)&gt;0),--(('Rewards Dashboard'!$D$3="All")+('Employee Data'!$C$2:$C$493='Rewards Dashboard'!$D$3)&gt;0),--(('Rewards Dashboard'!$F$3="All")+('Employee Data'!$D$2:$D$493='Rewards Dashboard'!$F$3)&gt;0),--('Employee Data'!$D$2:$D$493=A62),--('Employee Data'!$E$2:$E$493=B62)),0)</f>
        <v>116854.30769230769</v>
      </c>
      <c r="D62" cm="1">
        <f t="array" ref="D62">IFERROR(SUMPRODUCT('Employee Data'!$I$2:$I$493,--('Employee Data'!$A$2:$A$493&lt;&gt;""),--(('Rewards Dashboard'!$B$3="All")+('Employee Data'!$E$2:$E$493='Rewards Dashboard'!$B$3)&gt;0),--(('Rewards Dashboard'!$D$3="All")+('Employee Data'!$C$2:$C$493='Rewards Dashboard'!$D$3)&gt;0),--(('Rewards Dashboard'!$F$3="All")+('Employee Data'!$D$2:$D$493='Rewards Dashboard'!$F$3)&gt;0),--('Employee Data'!$D$2:$D$493=A62),--('Employee Data'!$E$2:$E$493=B62))/SUMPRODUCT(--('Employee Data'!$A$2:$A$493&lt;&gt;""),--(('Rewards Dashboard'!$B$3="All")+('Employee Data'!$E$2:$E$493='Rewards Dashboard'!$B$3)&gt;0),--(('Rewards Dashboard'!$D$3="All")+('Employee Data'!$C$2:$C$493='Rewards Dashboard'!$D$3)&gt;0),--(('Rewards Dashboard'!$F$3="All")+('Employee Data'!$D$2:$D$493='Rewards Dashboard'!$F$3)&gt;0),--('Employee Data'!$D$2:$D$493=A62),--('Employee Data'!$E$2:$E$493=B62)),0)</f>
        <v>5475</v>
      </c>
      <c r="E62" cm="1">
        <f t="array" ref="E62">SUMPRODUCT(--('Employee Data'!$A$2:$A$493&lt;&gt;""),--(('Rewards Dashboard'!$B$3="All")+('Employee Data'!$E$2:$E$493='Rewards Dashboard'!$B$3)&gt;0),--(('Rewards Dashboard'!$D$3="All")+('Employee Data'!$C$2:$C$493='Rewards Dashboard'!$D$3)&gt;0),--(('Rewards Dashboard'!$F$3="All")+('Employee Data'!$D$2:$D$493='Rewards Dashboard'!$F$3)&gt;0),--('Employee Data'!$D$2:$D$493=A62),--('Employee Data'!$E$2:$E$493=B62))</f>
        <v>26</v>
      </c>
      <c r="F62" cm="1">
        <f t="array" ref="F62">IFERROR(SUMPRODUCT(--('Employee Data'!$I$2:$I$493&gt;7000),--('Employee Data'!$A$2:$A$493&lt;&gt;""),--(('Rewards Dashboard'!$B$3="All")+('Employee Data'!$E$2:$E$493='Rewards Dashboard'!$B$3)&gt;0),--(('Rewards Dashboard'!$D$3="All")+('Employee Data'!$C$2:$C$493='Rewards Dashboard'!$D$3)&gt;0),--(('Rewards Dashboard'!$F$3="All")+('Employee Data'!$D$2:$D$493='Rewards Dashboard'!$F$3)&gt;0),--('Employee Data'!$D$2:$D$493=A62),--('Employee Data'!$E$2:$E$493=B62))/E62,0)</f>
        <v>0.30769230769230771</v>
      </c>
    </row>
    <row r="63" spans="1:13" x14ac:dyDescent="0.25">
      <c r="A63" t="s">
        <v>14</v>
      </c>
      <c r="B63" t="s">
        <v>7</v>
      </c>
      <c r="C63" cm="1">
        <f t="array" ref="C63">IFERROR(SUMPRODUCT('Employee Data'!$F$2:$F$493,--('Employee Data'!$A$2:$A$493&lt;&gt;""),--(('Rewards Dashboard'!$B$3="All")+('Employee Data'!$E$2:$E$493='Rewards Dashboard'!$B$3)&gt;0),--(('Rewards Dashboard'!$D$3="All")+('Employee Data'!$C$2:$C$493='Rewards Dashboard'!$D$3)&gt;0),--(('Rewards Dashboard'!$F$3="All")+('Employee Data'!$D$2:$D$493='Rewards Dashboard'!$F$3)&gt;0),--('Employee Data'!$D$2:$D$493=A63),--('Employee Data'!$E$2:$E$493=B63))/SUMPRODUCT(--('Employee Data'!$A$2:$A$493&lt;&gt;""),--(('Rewards Dashboard'!$B$3="All")+('Employee Data'!$E$2:$E$493='Rewards Dashboard'!$B$3)&gt;0),--(('Rewards Dashboard'!$D$3="All")+('Employee Data'!$C$2:$C$493='Rewards Dashboard'!$D$3)&gt;0),--(('Rewards Dashboard'!$F$3="All")+('Employee Data'!$D$2:$D$493='Rewards Dashboard'!$F$3)&gt;0),--('Employee Data'!$D$2:$D$493=A63),--('Employee Data'!$E$2:$E$493=B63)),0)</f>
        <v>110408.22857142857</v>
      </c>
      <c r="D63" cm="1">
        <f t="array" ref="D63">IFERROR(SUMPRODUCT('Employee Data'!$I$2:$I$493,--('Employee Data'!$A$2:$A$493&lt;&gt;""),--(('Rewards Dashboard'!$B$3="All")+('Employee Data'!$E$2:$E$493='Rewards Dashboard'!$B$3)&gt;0),--(('Rewards Dashboard'!$D$3="All")+('Employee Data'!$C$2:$C$493='Rewards Dashboard'!$D$3)&gt;0),--(('Rewards Dashboard'!$F$3="All")+('Employee Data'!$D$2:$D$493='Rewards Dashboard'!$F$3)&gt;0),--('Employee Data'!$D$2:$D$493=A63),--('Employee Data'!$E$2:$E$493=B63))/SUMPRODUCT(--('Employee Data'!$A$2:$A$493&lt;&gt;""),--(('Rewards Dashboard'!$B$3="All")+('Employee Data'!$E$2:$E$493='Rewards Dashboard'!$B$3)&gt;0),--(('Rewards Dashboard'!$D$3="All")+('Employee Data'!$C$2:$C$493='Rewards Dashboard'!$D$3)&gt;0),--(('Rewards Dashboard'!$F$3="All")+('Employee Data'!$D$2:$D$493='Rewards Dashboard'!$F$3)&gt;0),--('Employee Data'!$D$2:$D$493=A63),--('Employee Data'!$E$2:$E$493=B63)),0)</f>
        <v>5268.5714285714284</v>
      </c>
      <c r="E63" cm="1">
        <f t="array" ref="E63">SUMPRODUCT(--('Employee Data'!$A$2:$A$493&lt;&gt;""),--(('Rewards Dashboard'!$B$3="All")+('Employee Data'!$E$2:$E$493='Rewards Dashboard'!$B$3)&gt;0),--(('Rewards Dashboard'!$D$3="All")+('Employee Data'!$C$2:$C$493='Rewards Dashboard'!$D$3)&gt;0),--(('Rewards Dashboard'!$F$3="All")+('Employee Data'!$D$2:$D$493='Rewards Dashboard'!$F$3)&gt;0),--('Employee Data'!$D$2:$D$493=A63),--('Employee Data'!$E$2:$E$493=B63))</f>
        <v>35</v>
      </c>
      <c r="F63" cm="1">
        <f t="array" ref="F63">IFERROR(SUMPRODUCT(--('Employee Data'!$I$2:$I$493&gt;7000),--('Employee Data'!$A$2:$A$493&lt;&gt;""),--(('Rewards Dashboard'!$B$3="All")+('Employee Data'!$E$2:$E$493='Rewards Dashboard'!$B$3)&gt;0),--(('Rewards Dashboard'!$D$3="All")+('Employee Data'!$C$2:$C$493='Rewards Dashboard'!$D$3)&gt;0),--(('Rewards Dashboard'!$F$3="All")+('Employee Data'!$D$2:$D$493='Rewards Dashboard'!$F$3)&gt;0),--('Employee Data'!$D$2:$D$493=A63),--('Employee Data'!$E$2:$E$493=B63))/E63,0)</f>
        <v>0.22857142857142856</v>
      </c>
    </row>
    <row r="64" spans="1:13" x14ac:dyDescent="0.25">
      <c r="A64" t="s">
        <v>11</v>
      </c>
      <c r="B64" t="s">
        <v>7</v>
      </c>
      <c r="C64" cm="1">
        <f t="array" ref="C64">IFERROR(SUMPRODUCT('Employee Data'!$F$2:$F$493,--('Employee Data'!$A$2:$A$493&lt;&gt;""),--(('Rewards Dashboard'!$B$3="All")+('Employee Data'!$E$2:$E$493='Rewards Dashboard'!$B$3)&gt;0),--(('Rewards Dashboard'!$D$3="All")+('Employee Data'!$C$2:$C$493='Rewards Dashboard'!$D$3)&gt;0),--(('Rewards Dashboard'!$F$3="All")+('Employee Data'!$D$2:$D$493='Rewards Dashboard'!$F$3)&gt;0),--('Employee Data'!$D$2:$D$493=A64),--('Employee Data'!$E$2:$E$493=B64))/SUMPRODUCT(--('Employee Data'!$A$2:$A$493&lt;&gt;""),--(('Rewards Dashboard'!$B$3="All")+('Employee Data'!$E$2:$E$493='Rewards Dashboard'!$B$3)&gt;0),--(('Rewards Dashboard'!$D$3="All")+('Employee Data'!$C$2:$C$493='Rewards Dashboard'!$D$3)&gt;0),--(('Rewards Dashboard'!$F$3="All")+('Employee Data'!$D$2:$D$493='Rewards Dashboard'!$F$3)&gt;0),--('Employee Data'!$D$2:$D$493=A64),--('Employee Data'!$E$2:$E$493=B64)),0)</f>
        <v>130166.625</v>
      </c>
      <c r="D64" cm="1">
        <f t="array" ref="D64">IFERROR(SUMPRODUCT('Employee Data'!$I$2:$I$493,--('Employee Data'!$A$2:$A$493&lt;&gt;""),--(('Rewards Dashboard'!$B$3="All")+('Employee Data'!$E$2:$E$493='Rewards Dashboard'!$B$3)&gt;0),--(('Rewards Dashboard'!$D$3="All")+('Employee Data'!$C$2:$C$493='Rewards Dashboard'!$D$3)&gt;0),--(('Rewards Dashboard'!$F$3="All")+('Employee Data'!$D$2:$D$493='Rewards Dashboard'!$F$3)&gt;0),--('Employee Data'!$D$2:$D$493=A64),--('Employee Data'!$E$2:$E$493=B64))/SUMPRODUCT(--('Employee Data'!$A$2:$A$493&lt;&gt;""),--(('Rewards Dashboard'!$B$3="All")+('Employee Data'!$E$2:$E$493='Rewards Dashboard'!$B$3)&gt;0),--(('Rewards Dashboard'!$D$3="All")+('Employee Data'!$C$2:$C$493='Rewards Dashboard'!$D$3)&gt;0),--(('Rewards Dashboard'!$F$3="All")+('Employee Data'!$D$2:$D$493='Rewards Dashboard'!$F$3)&gt;0),--('Employee Data'!$D$2:$D$493=A64),--('Employee Data'!$E$2:$E$493=B64)),0)</f>
        <v>4591.666666666667</v>
      </c>
      <c r="E64" cm="1">
        <f t="array" ref="E64">SUMPRODUCT(--('Employee Data'!$A$2:$A$493&lt;&gt;""),--(('Rewards Dashboard'!$B$3="All")+('Employee Data'!$E$2:$E$493='Rewards Dashboard'!$B$3)&gt;0),--(('Rewards Dashboard'!$D$3="All")+('Employee Data'!$C$2:$C$493='Rewards Dashboard'!$D$3)&gt;0),--(('Rewards Dashboard'!$F$3="All")+('Employee Data'!$D$2:$D$493='Rewards Dashboard'!$F$3)&gt;0),--('Employee Data'!$D$2:$D$493=A64),--('Employee Data'!$E$2:$E$493=B64))</f>
        <v>24</v>
      </c>
      <c r="F64" cm="1">
        <f t="array" ref="F64">IFERROR(SUMPRODUCT(--('Employee Data'!$I$2:$I$493&gt;7000),--('Employee Data'!$A$2:$A$493&lt;&gt;""),--(('Rewards Dashboard'!$B$3="All")+('Employee Data'!$E$2:$E$493='Rewards Dashboard'!$B$3)&gt;0),--(('Rewards Dashboard'!$D$3="All")+('Employee Data'!$C$2:$C$493='Rewards Dashboard'!$D$3)&gt;0),--(('Rewards Dashboard'!$F$3="All")+('Employee Data'!$D$2:$D$493='Rewards Dashboard'!$F$3)&gt;0),--('Employee Data'!$D$2:$D$493=A64),--('Employee Data'!$E$2:$E$493=B64))/E64,0)</f>
        <v>0.25</v>
      </c>
    </row>
    <row r="65" spans="1:6" x14ac:dyDescent="0.25">
      <c r="A65" t="s">
        <v>3</v>
      </c>
      <c r="B65" t="s">
        <v>4</v>
      </c>
      <c r="C65" cm="1">
        <f t="array" ref="C65">IFERROR(SUMPRODUCT('Employee Data'!$F$2:$F$493,--('Employee Data'!$A$2:$A$493&lt;&gt;""),--(('Rewards Dashboard'!$B$3="All")+('Employee Data'!$E$2:$E$493='Rewards Dashboard'!$B$3)&gt;0),--(('Rewards Dashboard'!$D$3="All")+('Employee Data'!$C$2:$C$493='Rewards Dashboard'!$D$3)&gt;0),--(('Rewards Dashboard'!$F$3="All")+('Employee Data'!$D$2:$D$493='Rewards Dashboard'!$F$3)&gt;0),--('Employee Data'!$D$2:$D$493=A65),--('Employee Data'!$E$2:$E$493=B65))/SUMPRODUCT(--('Employee Data'!$A$2:$A$493&lt;&gt;""),--(('Rewards Dashboard'!$B$3="All")+('Employee Data'!$E$2:$E$493='Rewards Dashboard'!$B$3)&gt;0),--(('Rewards Dashboard'!$D$3="All")+('Employee Data'!$C$2:$C$493='Rewards Dashboard'!$D$3)&gt;0),--(('Rewards Dashboard'!$F$3="All")+('Employee Data'!$D$2:$D$493='Rewards Dashboard'!$F$3)&gt;0),--('Employee Data'!$D$2:$D$493=A65),--('Employee Data'!$E$2:$E$493=B65)),0)</f>
        <v>157452.20833333334</v>
      </c>
      <c r="D65" cm="1">
        <f t="array" ref="D65">IFERROR(SUMPRODUCT('Employee Data'!$I$2:$I$493,--('Employee Data'!$A$2:$A$493&lt;&gt;""),--(('Rewards Dashboard'!$B$3="All")+('Employee Data'!$E$2:$E$493='Rewards Dashboard'!$B$3)&gt;0),--(('Rewards Dashboard'!$D$3="All")+('Employee Data'!$C$2:$C$493='Rewards Dashboard'!$D$3)&gt;0),--(('Rewards Dashboard'!$F$3="All")+('Employee Data'!$D$2:$D$493='Rewards Dashboard'!$F$3)&gt;0),--('Employee Data'!$D$2:$D$493=A65),--('Employee Data'!$E$2:$E$493=B65))/SUMPRODUCT(--('Employee Data'!$A$2:$A$493&lt;&gt;""),--(('Rewards Dashboard'!$B$3="All")+('Employee Data'!$E$2:$E$493='Rewards Dashboard'!$B$3)&gt;0),--(('Rewards Dashboard'!$D$3="All")+('Employee Data'!$C$2:$C$493='Rewards Dashboard'!$D$3)&gt;0),--(('Rewards Dashboard'!$F$3="All")+('Employee Data'!$D$2:$D$493='Rewards Dashboard'!$F$3)&gt;0),--('Employee Data'!$D$2:$D$493=A65),--('Employee Data'!$E$2:$E$493=B65)),0)</f>
        <v>5785.416666666667</v>
      </c>
      <c r="E65" cm="1">
        <f t="array" ref="E65">SUMPRODUCT(--('Employee Data'!$A$2:$A$493&lt;&gt;""),--(('Rewards Dashboard'!$B$3="All")+('Employee Data'!$E$2:$E$493='Rewards Dashboard'!$B$3)&gt;0),--(('Rewards Dashboard'!$D$3="All")+('Employee Data'!$C$2:$C$493='Rewards Dashboard'!$D$3)&gt;0),--(('Rewards Dashboard'!$F$3="All")+('Employee Data'!$D$2:$D$493='Rewards Dashboard'!$F$3)&gt;0),--('Employee Data'!$D$2:$D$493=A65),--('Employee Data'!$E$2:$E$493=B65))</f>
        <v>24</v>
      </c>
      <c r="F65" cm="1">
        <f t="array" ref="F65">IFERROR(SUMPRODUCT(--('Employee Data'!$I$2:$I$493&gt;7000),--('Employee Data'!$A$2:$A$493&lt;&gt;""),--(('Rewards Dashboard'!$B$3="All")+('Employee Data'!$E$2:$E$493='Rewards Dashboard'!$B$3)&gt;0),--(('Rewards Dashboard'!$D$3="All")+('Employee Data'!$C$2:$C$493='Rewards Dashboard'!$D$3)&gt;0),--(('Rewards Dashboard'!$F$3="All")+('Employee Data'!$D$2:$D$493='Rewards Dashboard'!$F$3)&gt;0),--('Employee Data'!$D$2:$D$493=A65),--('Employee Data'!$E$2:$E$493=B65))/E65,0)</f>
        <v>0.25</v>
      </c>
    </row>
    <row r="66" spans="1:6" x14ac:dyDescent="0.25">
      <c r="A66" t="s">
        <v>12</v>
      </c>
      <c r="B66" t="s">
        <v>4</v>
      </c>
      <c r="C66" cm="1">
        <f t="array" ref="C66">IFERROR(SUMPRODUCT('Employee Data'!$F$2:$F$493,--('Employee Data'!$A$2:$A$493&lt;&gt;""),--(('Rewards Dashboard'!$B$3="All")+('Employee Data'!$E$2:$E$493='Rewards Dashboard'!$B$3)&gt;0),--(('Rewards Dashboard'!$D$3="All")+('Employee Data'!$C$2:$C$493='Rewards Dashboard'!$D$3)&gt;0),--(('Rewards Dashboard'!$F$3="All")+('Employee Data'!$D$2:$D$493='Rewards Dashboard'!$F$3)&gt;0),--('Employee Data'!$D$2:$D$493=A66),--('Employee Data'!$E$2:$E$493=B66))/SUMPRODUCT(--('Employee Data'!$A$2:$A$493&lt;&gt;""),--(('Rewards Dashboard'!$B$3="All")+('Employee Data'!$E$2:$E$493='Rewards Dashboard'!$B$3)&gt;0),--(('Rewards Dashboard'!$D$3="All")+('Employee Data'!$C$2:$C$493='Rewards Dashboard'!$D$3)&gt;0),--(('Rewards Dashboard'!$F$3="All")+('Employee Data'!$D$2:$D$493='Rewards Dashboard'!$F$3)&gt;0),--('Employee Data'!$D$2:$D$493=A66),--('Employee Data'!$E$2:$E$493=B66)),0)</f>
        <v>147247.77272727274</v>
      </c>
      <c r="D66" cm="1">
        <f t="array" ref="D66">IFERROR(SUMPRODUCT('Employee Data'!$I$2:$I$493,--('Employee Data'!$A$2:$A$493&lt;&gt;""),--(('Rewards Dashboard'!$B$3="All")+('Employee Data'!$E$2:$E$493='Rewards Dashboard'!$B$3)&gt;0),--(('Rewards Dashboard'!$D$3="All")+('Employee Data'!$C$2:$C$493='Rewards Dashboard'!$D$3)&gt;0),--(('Rewards Dashboard'!$F$3="All")+('Employee Data'!$D$2:$D$493='Rewards Dashboard'!$F$3)&gt;0),--('Employee Data'!$D$2:$D$493=A66),--('Employee Data'!$E$2:$E$493=B66))/SUMPRODUCT(--('Employee Data'!$A$2:$A$493&lt;&gt;""),--(('Rewards Dashboard'!$B$3="All")+('Employee Data'!$E$2:$E$493='Rewards Dashboard'!$B$3)&gt;0),--(('Rewards Dashboard'!$D$3="All")+('Employee Data'!$C$2:$C$493='Rewards Dashboard'!$D$3)&gt;0),--(('Rewards Dashboard'!$F$3="All")+('Employee Data'!$D$2:$D$493='Rewards Dashboard'!$F$3)&gt;0),--('Employee Data'!$D$2:$D$493=A66),--('Employee Data'!$E$2:$E$493=B66)),0)</f>
        <v>4577.272727272727</v>
      </c>
      <c r="E66" cm="1">
        <f t="array" ref="E66">SUMPRODUCT(--('Employee Data'!$A$2:$A$493&lt;&gt;""),--(('Rewards Dashboard'!$B$3="All")+('Employee Data'!$E$2:$E$493='Rewards Dashboard'!$B$3)&gt;0),--(('Rewards Dashboard'!$D$3="All")+('Employee Data'!$C$2:$C$493='Rewards Dashboard'!$D$3)&gt;0),--(('Rewards Dashboard'!$F$3="All")+('Employee Data'!$D$2:$D$493='Rewards Dashboard'!$F$3)&gt;0),--('Employee Data'!$D$2:$D$493=A66),--('Employee Data'!$E$2:$E$493=B66))</f>
        <v>22</v>
      </c>
      <c r="F66" cm="1">
        <f t="array" ref="F66">IFERROR(SUMPRODUCT(--('Employee Data'!$I$2:$I$493&gt;7000),--('Employee Data'!$A$2:$A$493&lt;&gt;""),--(('Rewards Dashboard'!$B$3="All")+('Employee Data'!$E$2:$E$493='Rewards Dashboard'!$B$3)&gt;0),--(('Rewards Dashboard'!$D$3="All")+('Employee Data'!$C$2:$C$493='Rewards Dashboard'!$D$3)&gt;0),--(('Rewards Dashboard'!$F$3="All")+('Employee Data'!$D$2:$D$493='Rewards Dashboard'!$F$3)&gt;0),--('Employee Data'!$D$2:$D$493=A66),--('Employee Data'!$E$2:$E$493=B66))/E66,0)</f>
        <v>0.18181818181818182</v>
      </c>
    </row>
    <row r="67" spans="1:6" x14ac:dyDescent="0.25">
      <c r="A67" t="s">
        <v>8</v>
      </c>
      <c r="B67" t="s">
        <v>4</v>
      </c>
      <c r="C67" cm="1">
        <f t="array" ref="C67">IFERROR(SUMPRODUCT('Employee Data'!$F$2:$F$493,--('Employee Data'!$A$2:$A$493&lt;&gt;""),--(('Rewards Dashboard'!$B$3="All")+('Employee Data'!$E$2:$E$493='Rewards Dashboard'!$B$3)&gt;0),--(('Rewards Dashboard'!$D$3="All")+('Employee Data'!$C$2:$C$493='Rewards Dashboard'!$D$3)&gt;0),--(('Rewards Dashboard'!$F$3="All")+('Employee Data'!$D$2:$D$493='Rewards Dashboard'!$F$3)&gt;0),--('Employee Data'!$D$2:$D$493=A67),--('Employee Data'!$E$2:$E$493=B67))/SUMPRODUCT(--('Employee Data'!$A$2:$A$493&lt;&gt;""),--(('Rewards Dashboard'!$B$3="All")+('Employee Data'!$E$2:$E$493='Rewards Dashboard'!$B$3)&gt;0),--(('Rewards Dashboard'!$D$3="All")+('Employee Data'!$C$2:$C$493='Rewards Dashboard'!$D$3)&gt;0),--(('Rewards Dashboard'!$F$3="All")+('Employee Data'!$D$2:$D$493='Rewards Dashboard'!$F$3)&gt;0),--('Employee Data'!$D$2:$D$493=A67),--('Employee Data'!$E$2:$E$493=B67)),0)</f>
        <v>132747.92000000001</v>
      </c>
      <c r="D67" cm="1">
        <f t="array" ref="D67">IFERROR(SUMPRODUCT('Employee Data'!$I$2:$I$493,--('Employee Data'!$A$2:$A$493&lt;&gt;""),--(('Rewards Dashboard'!$B$3="All")+('Employee Data'!$E$2:$E$493='Rewards Dashboard'!$B$3)&gt;0),--(('Rewards Dashboard'!$D$3="All")+('Employee Data'!$C$2:$C$493='Rewards Dashboard'!$D$3)&gt;0),--(('Rewards Dashboard'!$F$3="All")+('Employee Data'!$D$2:$D$493='Rewards Dashboard'!$F$3)&gt;0),--('Employee Data'!$D$2:$D$493=A67),--('Employee Data'!$E$2:$E$493=B67))/SUMPRODUCT(--('Employee Data'!$A$2:$A$493&lt;&gt;""),--(('Rewards Dashboard'!$B$3="All")+('Employee Data'!$E$2:$E$493='Rewards Dashboard'!$B$3)&gt;0),--(('Rewards Dashboard'!$D$3="All")+('Employee Data'!$C$2:$C$493='Rewards Dashboard'!$D$3)&gt;0),--(('Rewards Dashboard'!$F$3="All")+('Employee Data'!$D$2:$D$493='Rewards Dashboard'!$F$3)&gt;0),--('Employee Data'!$D$2:$D$493=A67),--('Employee Data'!$E$2:$E$493=B67)),0)</f>
        <v>5140</v>
      </c>
      <c r="E67" cm="1">
        <f t="array" ref="E67">SUMPRODUCT(--('Employee Data'!$A$2:$A$493&lt;&gt;""),--(('Rewards Dashboard'!$B$3="All")+('Employee Data'!$E$2:$E$493='Rewards Dashboard'!$B$3)&gt;0),--(('Rewards Dashboard'!$D$3="All")+('Employee Data'!$C$2:$C$493='Rewards Dashboard'!$D$3)&gt;0),--(('Rewards Dashboard'!$F$3="All")+('Employee Data'!$D$2:$D$493='Rewards Dashboard'!$F$3)&gt;0),--('Employee Data'!$D$2:$D$493=A67),--('Employee Data'!$E$2:$E$493=B67))</f>
        <v>25</v>
      </c>
      <c r="F67" cm="1">
        <f t="array" ref="F67">IFERROR(SUMPRODUCT(--('Employee Data'!$I$2:$I$493&gt;7000),--('Employee Data'!$A$2:$A$493&lt;&gt;""),--(('Rewards Dashboard'!$B$3="All")+('Employee Data'!$E$2:$E$493='Rewards Dashboard'!$B$3)&gt;0),--(('Rewards Dashboard'!$D$3="All")+('Employee Data'!$C$2:$C$493='Rewards Dashboard'!$D$3)&gt;0),--(('Rewards Dashboard'!$F$3="All")+('Employee Data'!$D$2:$D$493='Rewards Dashboard'!$F$3)&gt;0),--('Employee Data'!$D$2:$D$493=A67),--('Employee Data'!$E$2:$E$493=B67))/E67,0)</f>
        <v>0.16</v>
      </c>
    </row>
    <row r="68" spans="1:6" x14ac:dyDescent="0.25">
      <c r="A68" t="s">
        <v>14</v>
      </c>
      <c r="B68" t="s">
        <v>4</v>
      </c>
      <c r="C68" cm="1">
        <f t="array" ref="C68">IFERROR(SUMPRODUCT('Employee Data'!$F$2:$F$493,--('Employee Data'!$A$2:$A$493&lt;&gt;""),--(('Rewards Dashboard'!$B$3="All")+('Employee Data'!$E$2:$E$493='Rewards Dashboard'!$B$3)&gt;0),--(('Rewards Dashboard'!$D$3="All")+('Employee Data'!$C$2:$C$493='Rewards Dashboard'!$D$3)&gt;0),--(('Rewards Dashboard'!$F$3="All")+('Employee Data'!$D$2:$D$493='Rewards Dashboard'!$F$3)&gt;0),--('Employee Data'!$D$2:$D$493=A68),--('Employee Data'!$E$2:$E$493=B68))/SUMPRODUCT(--('Employee Data'!$A$2:$A$493&lt;&gt;""),--(('Rewards Dashboard'!$B$3="All")+('Employee Data'!$E$2:$E$493='Rewards Dashboard'!$B$3)&gt;0),--(('Rewards Dashboard'!$D$3="All")+('Employee Data'!$C$2:$C$493='Rewards Dashboard'!$D$3)&gt;0),--(('Rewards Dashboard'!$F$3="All")+('Employee Data'!$D$2:$D$493='Rewards Dashboard'!$F$3)&gt;0),--('Employee Data'!$D$2:$D$493=A68),--('Employee Data'!$E$2:$E$493=B68)),0)</f>
        <v>141647.95833333334</v>
      </c>
      <c r="D68" cm="1">
        <f t="array" ref="D68">IFERROR(SUMPRODUCT('Employee Data'!$I$2:$I$493,--('Employee Data'!$A$2:$A$493&lt;&gt;""),--(('Rewards Dashboard'!$B$3="All")+('Employee Data'!$E$2:$E$493='Rewards Dashboard'!$B$3)&gt;0),--(('Rewards Dashboard'!$D$3="All")+('Employee Data'!$C$2:$C$493='Rewards Dashboard'!$D$3)&gt;0),--(('Rewards Dashboard'!$F$3="All")+('Employee Data'!$D$2:$D$493='Rewards Dashboard'!$F$3)&gt;0),--('Employee Data'!$D$2:$D$493=A68),--('Employee Data'!$E$2:$E$493=B68))/SUMPRODUCT(--('Employee Data'!$A$2:$A$493&lt;&gt;""),--(('Rewards Dashboard'!$B$3="All")+('Employee Data'!$E$2:$E$493='Rewards Dashboard'!$B$3)&gt;0),--(('Rewards Dashboard'!$D$3="All")+('Employee Data'!$C$2:$C$493='Rewards Dashboard'!$D$3)&gt;0),--(('Rewards Dashboard'!$F$3="All")+('Employee Data'!$D$2:$D$493='Rewards Dashboard'!$F$3)&gt;0),--('Employee Data'!$D$2:$D$493=A68),--('Employee Data'!$E$2:$E$493=B68)),0)</f>
        <v>5293.75</v>
      </c>
      <c r="E68" cm="1">
        <f t="array" ref="E68">SUMPRODUCT(--('Employee Data'!$A$2:$A$493&lt;&gt;""),--(('Rewards Dashboard'!$B$3="All")+('Employee Data'!$E$2:$E$493='Rewards Dashboard'!$B$3)&gt;0),--(('Rewards Dashboard'!$D$3="All")+('Employee Data'!$C$2:$C$493='Rewards Dashboard'!$D$3)&gt;0),--(('Rewards Dashboard'!$F$3="All")+('Employee Data'!$D$2:$D$493='Rewards Dashboard'!$F$3)&gt;0),--('Employee Data'!$D$2:$D$493=A68),--('Employee Data'!$E$2:$E$493=B68))</f>
        <v>24</v>
      </c>
      <c r="F68" cm="1">
        <f t="array" ref="F68">IFERROR(SUMPRODUCT(--('Employee Data'!$I$2:$I$493&gt;7000),--('Employee Data'!$A$2:$A$493&lt;&gt;""),--(('Rewards Dashboard'!$B$3="All")+('Employee Data'!$E$2:$E$493='Rewards Dashboard'!$B$3)&gt;0),--(('Rewards Dashboard'!$D$3="All")+('Employee Data'!$C$2:$C$493='Rewards Dashboard'!$D$3)&gt;0),--(('Rewards Dashboard'!$F$3="All")+('Employee Data'!$D$2:$D$493='Rewards Dashboard'!$F$3)&gt;0),--('Employee Data'!$D$2:$D$493=A68),--('Employee Data'!$E$2:$E$493=B68))/E68,0)</f>
        <v>0.29166666666666669</v>
      </c>
    </row>
    <row r="69" spans="1:6" x14ac:dyDescent="0.25">
      <c r="A69" t="s">
        <v>11</v>
      </c>
      <c r="B69" t="s">
        <v>4</v>
      </c>
      <c r="C69" cm="1">
        <f t="array" ref="C69">IFERROR(SUMPRODUCT('Employee Data'!$F$2:$F$493,--('Employee Data'!$A$2:$A$493&lt;&gt;""),--(('Rewards Dashboard'!$B$3="All")+('Employee Data'!$E$2:$E$493='Rewards Dashboard'!$B$3)&gt;0),--(('Rewards Dashboard'!$D$3="All")+('Employee Data'!$C$2:$C$493='Rewards Dashboard'!$D$3)&gt;0),--(('Rewards Dashboard'!$F$3="All")+('Employee Data'!$D$2:$D$493='Rewards Dashboard'!$F$3)&gt;0),--('Employee Data'!$D$2:$D$493=A69),--('Employee Data'!$E$2:$E$493=B69))/SUMPRODUCT(--('Employee Data'!$A$2:$A$493&lt;&gt;""),--(('Rewards Dashboard'!$B$3="All")+('Employee Data'!$E$2:$E$493='Rewards Dashboard'!$B$3)&gt;0),--(('Rewards Dashboard'!$D$3="All")+('Employee Data'!$C$2:$C$493='Rewards Dashboard'!$D$3)&gt;0),--(('Rewards Dashboard'!$F$3="All")+('Employee Data'!$D$2:$D$493='Rewards Dashboard'!$F$3)&gt;0),--('Employee Data'!$D$2:$D$493=A69),--('Employee Data'!$E$2:$E$493=B69)),0)</f>
        <v>136706.88888888888</v>
      </c>
      <c r="D69" cm="1">
        <f t="array" ref="D69">IFERROR(SUMPRODUCT('Employee Data'!$I$2:$I$493,--('Employee Data'!$A$2:$A$493&lt;&gt;""),--(('Rewards Dashboard'!$B$3="All")+('Employee Data'!$E$2:$E$493='Rewards Dashboard'!$B$3)&gt;0),--(('Rewards Dashboard'!$D$3="All")+('Employee Data'!$C$2:$C$493='Rewards Dashboard'!$D$3)&gt;0),--(('Rewards Dashboard'!$F$3="All")+('Employee Data'!$D$2:$D$493='Rewards Dashboard'!$F$3)&gt;0),--('Employee Data'!$D$2:$D$493=A69),--('Employee Data'!$E$2:$E$493=B69))/SUMPRODUCT(--('Employee Data'!$A$2:$A$493&lt;&gt;""),--(('Rewards Dashboard'!$B$3="All")+('Employee Data'!$E$2:$E$493='Rewards Dashboard'!$B$3)&gt;0),--(('Rewards Dashboard'!$D$3="All")+('Employee Data'!$C$2:$C$493='Rewards Dashboard'!$D$3)&gt;0),--(('Rewards Dashboard'!$F$3="All")+('Employee Data'!$D$2:$D$493='Rewards Dashboard'!$F$3)&gt;0),--('Employee Data'!$D$2:$D$493=A69),--('Employee Data'!$E$2:$E$493=B69)),0)</f>
        <v>5511.1111111111113</v>
      </c>
      <c r="E69" cm="1">
        <f t="array" ref="E69">SUMPRODUCT(--('Employee Data'!$A$2:$A$493&lt;&gt;""),--(('Rewards Dashboard'!$B$3="All")+('Employee Data'!$E$2:$E$493='Rewards Dashboard'!$B$3)&gt;0),--(('Rewards Dashboard'!$D$3="All")+('Employee Data'!$C$2:$C$493='Rewards Dashboard'!$D$3)&gt;0),--(('Rewards Dashboard'!$F$3="All")+('Employee Data'!$D$2:$D$493='Rewards Dashboard'!$F$3)&gt;0),--('Employee Data'!$D$2:$D$493=A69),--('Employee Data'!$E$2:$E$493=B69))</f>
        <v>27</v>
      </c>
      <c r="F69" cm="1">
        <f t="array" ref="F69">IFERROR(SUMPRODUCT(--('Employee Data'!$I$2:$I$493&gt;7000),--('Employee Data'!$A$2:$A$493&lt;&gt;""),--(('Rewards Dashboard'!$B$3="All")+('Employee Data'!$E$2:$E$493='Rewards Dashboard'!$B$3)&gt;0),--(('Rewards Dashboard'!$D$3="All")+('Employee Data'!$C$2:$C$493='Rewards Dashboard'!$D$3)&gt;0),--(('Rewards Dashboard'!$F$3="All")+('Employee Data'!$D$2:$D$493='Rewards Dashboard'!$F$3)&gt;0),--('Employee Data'!$D$2:$D$493=A69),--('Employee Data'!$E$2:$E$493=B69))/E69,0)</f>
        <v>0.22222222222222221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79E3-A62E-4DEA-B215-4F14423E12E0}">
  <dimension ref="A1:AH44"/>
  <sheetViews>
    <sheetView showGridLines="0" topLeftCell="D16" workbookViewId="0">
      <selection activeCell="A3" sqref="A3:G3"/>
      <pivotSelection pane="bottomRight" showHeader="1" extendable="1" axis="axisRow" max="5" activeRow="2" previousRow="2" click="1" r:id="rId2">
        <pivotArea dataOnly="0" fieldPosition="0">
          <references count="1">
            <reference field="1" count="1">
              <x v="0"/>
            </reference>
          </references>
        </pivotArea>
      </pivotSelection>
    </sheetView>
  </sheetViews>
  <sheetFormatPr defaultRowHeight="15" x14ac:dyDescent="0.25"/>
  <cols>
    <col min="1" max="1" width="13.28515625" style="32" customWidth="1"/>
    <col min="2" max="2" width="12.7109375" style="32" customWidth="1"/>
    <col min="3" max="3" width="17" style="32" customWidth="1"/>
    <col min="4" max="4" width="14.140625" style="32" bestFit="1" customWidth="1"/>
    <col min="5" max="5" width="17.140625" style="32" customWidth="1"/>
    <col min="6" max="6" width="13.85546875" style="32" customWidth="1"/>
    <col min="7" max="7" width="12" style="32" customWidth="1"/>
    <col min="8" max="8" width="11.7109375" style="32" customWidth="1"/>
    <col min="9" max="9" width="14.140625" style="32" bestFit="1" customWidth="1"/>
    <col min="10" max="10" width="9.7109375" style="32" customWidth="1"/>
    <col min="11" max="11" width="12.42578125" style="32" customWidth="1"/>
    <col min="12" max="12" width="11.42578125" style="32" customWidth="1"/>
    <col min="13" max="13" width="12.140625" style="32" bestFit="1" customWidth="1"/>
    <col min="14" max="14" width="9.140625" style="32" customWidth="1"/>
    <col min="15" max="15" width="12.85546875" style="32" customWidth="1"/>
    <col min="16" max="16" width="9.85546875" style="32" bestFit="1" customWidth="1"/>
    <col min="17" max="17" width="22.140625" style="32" bestFit="1" customWidth="1"/>
    <col min="18" max="18" width="13.5703125" style="32" bestFit="1" customWidth="1"/>
    <col min="19" max="19" width="5.28515625" style="32" bestFit="1" customWidth="1"/>
    <col min="20" max="20" width="4.28515625" style="32" bestFit="1" customWidth="1"/>
    <col min="21" max="21" width="6.85546875" style="32" bestFit="1" customWidth="1"/>
    <col min="22" max="22" width="11.28515625" style="32" bestFit="1" customWidth="1"/>
    <col min="23" max="23" width="10" style="32" bestFit="1" customWidth="1"/>
    <col min="24" max="24" width="14.140625" style="32" bestFit="1" customWidth="1"/>
    <col min="25" max="25" width="16.28515625" style="32" bestFit="1" customWidth="1"/>
    <col min="26" max="26" width="10.140625" style="32" bestFit="1" customWidth="1"/>
    <col min="27" max="27" width="9.5703125" style="32" bestFit="1" customWidth="1"/>
    <col min="28" max="28" width="10.140625" style="32" bestFit="1" customWidth="1"/>
    <col min="29" max="29" width="9.5703125" style="32" bestFit="1" customWidth="1"/>
    <col min="30" max="30" width="10.140625" style="32" bestFit="1" customWidth="1"/>
    <col min="31" max="31" width="10.42578125" style="32" bestFit="1" customWidth="1"/>
    <col min="32" max="32" width="10.140625" style="32" bestFit="1" customWidth="1"/>
    <col min="33" max="33" width="24.5703125" style="32" bestFit="1" customWidth="1"/>
    <col min="34" max="34" width="19.140625" style="32" bestFit="1" customWidth="1"/>
    <col min="35" max="16384" width="9.140625" style="32"/>
  </cols>
  <sheetData>
    <row r="1" spans="1:34" x14ac:dyDescent="0.25">
      <c r="A1" s="64" t="s">
        <v>970</v>
      </c>
      <c r="B1" s="65" t="s">
        <v>0</v>
      </c>
      <c r="C1" s="66"/>
      <c r="D1" s="66"/>
      <c r="E1" s="66"/>
      <c r="F1" s="66"/>
      <c r="G1" s="67"/>
      <c r="I1" s="64" t="s">
        <v>970</v>
      </c>
      <c r="J1" s="65" t="s">
        <v>1</v>
      </c>
      <c r="K1" s="66"/>
      <c r="L1" s="66"/>
      <c r="M1" s="66"/>
      <c r="N1" s="67"/>
      <c r="P1"/>
      <c r="Q1"/>
      <c r="R1"/>
      <c r="S1"/>
      <c r="T1"/>
      <c r="U1"/>
      <c r="AF1"/>
      <c r="AG1"/>
    </row>
    <row r="2" spans="1:34" ht="30" x14ac:dyDescent="0.25">
      <c r="A2" s="68" t="s">
        <v>1027</v>
      </c>
      <c r="B2" s="69" t="s">
        <v>3</v>
      </c>
      <c r="C2" s="69" t="s">
        <v>12</v>
      </c>
      <c r="D2" s="69" t="s">
        <v>8</v>
      </c>
      <c r="E2" s="69" t="s">
        <v>14</v>
      </c>
      <c r="F2" s="69" t="s">
        <v>11</v>
      </c>
      <c r="G2" s="70" t="s">
        <v>27</v>
      </c>
      <c r="I2" s="68" t="s">
        <v>1027</v>
      </c>
      <c r="J2" s="69" t="s">
        <v>13</v>
      </c>
      <c r="K2" s="69" t="s">
        <v>9</v>
      </c>
      <c r="L2" s="69" t="s">
        <v>7</v>
      </c>
      <c r="M2" s="69" t="s">
        <v>4</v>
      </c>
      <c r="N2" s="70" t="s">
        <v>27</v>
      </c>
      <c r="P2"/>
      <c r="Q2"/>
      <c r="R2"/>
      <c r="S2"/>
      <c r="T2"/>
      <c r="U2"/>
      <c r="AF2"/>
      <c r="AG2"/>
    </row>
    <row r="3" spans="1:34" x14ac:dyDescent="0.25">
      <c r="A3" s="71" t="s">
        <v>938</v>
      </c>
      <c r="B3" s="125">
        <v>19</v>
      </c>
      <c r="C3" s="125">
        <v>17</v>
      </c>
      <c r="D3" s="125">
        <v>23</v>
      </c>
      <c r="E3" s="125">
        <v>38</v>
      </c>
      <c r="F3" s="125">
        <v>27</v>
      </c>
      <c r="G3" s="134">
        <v>124</v>
      </c>
      <c r="I3" s="71" t="s">
        <v>938</v>
      </c>
      <c r="J3" s="125">
        <v>26</v>
      </c>
      <c r="K3" s="125">
        <v>35</v>
      </c>
      <c r="L3" s="125">
        <v>43</v>
      </c>
      <c r="M3" s="125">
        <v>20</v>
      </c>
      <c r="N3" s="134">
        <v>124</v>
      </c>
      <c r="P3"/>
      <c r="Q3"/>
      <c r="R3"/>
      <c r="S3"/>
      <c r="T3"/>
      <c r="U3"/>
      <c r="AF3"/>
      <c r="AG3"/>
    </row>
    <row r="4" spans="1:34" x14ac:dyDescent="0.25">
      <c r="A4" s="71" t="s">
        <v>940</v>
      </c>
      <c r="B4" s="125">
        <v>23</v>
      </c>
      <c r="C4" s="125">
        <v>25</v>
      </c>
      <c r="D4" s="125">
        <v>22</v>
      </c>
      <c r="E4" s="125">
        <v>24</v>
      </c>
      <c r="F4" s="125">
        <v>28</v>
      </c>
      <c r="G4" s="134">
        <v>122</v>
      </c>
      <c r="I4" s="71" t="s">
        <v>940</v>
      </c>
      <c r="J4" s="125">
        <v>24</v>
      </c>
      <c r="K4" s="125">
        <v>27</v>
      </c>
      <c r="L4" s="125">
        <v>30</v>
      </c>
      <c r="M4" s="125">
        <v>41</v>
      </c>
      <c r="N4" s="134">
        <v>122</v>
      </c>
      <c r="P4"/>
      <c r="Q4"/>
      <c r="R4"/>
      <c r="S4"/>
      <c r="T4"/>
      <c r="U4"/>
      <c r="AF4"/>
      <c r="AG4"/>
    </row>
    <row r="5" spans="1:34" x14ac:dyDescent="0.25">
      <c r="A5" s="71" t="s">
        <v>937</v>
      </c>
      <c r="B5" s="125">
        <v>29</v>
      </c>
      <c r="C5" s="125">
        <v>21</v>
      </c>
      <c r="D5" s="125">
        <v>27</v>
      </c>
      <c r="E5" s="125">
        <v>22</v>
      </c>
      <c r="F5" s="125">
        <v>24</v>
      </c>
      <c r="G5" s="134">
        <v>123</v>
      </c>
      <c r="I5" s="71" t="s">
        <v>937</v>
      </c>
      <c r="J5" s="125">
        <v>28</v>
      </c>
      <c r="K5" s="125">
        <v>29</v>
      </c>
      <c r="L5" s="125">
        <v>34</v>
      </c>
      <c r="M5" s="125">
        <v>32</v>
      </c>
      <c r="N5" s="134">
        <v>123</v>
      </c>
      <c r="P5"/>
      <c r="Q5"/>
      <c r="R5"/>
      <c r="S5"/>
      <c r="T5"/>
      <c r="U5"/>
      <c r="AF5"/>
      <c r="AG5"/>
    </row>
    <row r="6" spans="1:34" x14ac:dyDescent="0.25">
      <c r="A6" s="71" t="s">
        <v>939</v>
      </c>
      <c r="B6" s="125">
        <v>26</v>
      </c>
      <c r="C6" s="125">
        <v>25</v>
      </c>
      <c r="D6" s="125">
        <v>25</v>
      </c>
      <c r="E6" s="125">
        <v>25</v>
      </c>
      <c r="F6" s="125">
        <v>22</v>
      </c>
      <c r="G6" s="134">
        <v>123</v>
      </c>
      <c r="I6" s="71" t="s">
        <v>939</v>
      </c>
      <c r="J6" s="125">
        <v>32</v>
      </c>
      <c r="K6" s="125">
        <v>29</v>
      </c>
      <c r="L6" s="125">
        <v>33</v>
      </c>
      <c r="M6" s="125">
        <v>29</v>
      </c>
      <c r="N6" s="134">
        <v>123</v>
      </c>
      <c r="P6"/>
      <c r="Q6"/>
      <c r="R6"/>
      <c r="S6"/>
      <c r="T6"/>
      <c r="U6"/>
      <c r="AF6"/>
      <c r="AG6"/>
    </row>
    <row r="7" spans="1:34" x14ac:dyDescent="0.25">
      <c r="A7" s="74" t="s">
        <v>27</v>
      </c>
      <c r="B7" s="126">
        <v>97</v>
      </c>
      <c r="C7" s="126">
        <v>88</v>
      </c>
      <c r="D7" s="126">
        <v>97</v>
      </c>
      <c r="E7" s="126">
        <v>109</v>
      </c>
      <c r="F7" s="126">
        <v>101</v>
      </c>
      <c r="G7" s="135">
        <v>492</v>
      </c>
      <c r="I7" s="74" t="s">
        <v>27</v>
      </c>
      <c r="J7" s="126">
        <v>110</v>
      </c>
      <c r="K7" s="126">
        <v>120</v>
      </c>
      <c r="L7" s="126">
        <v>140</v>
      </c>
      <c r="M7" s="126">
        <v>122</v>
      </c>
      <c r="N7" s="135">
        <v>492</v>
      </c>
      <c r="AF7"/>
      <c r="AG7"/>
    </row>
    <row r="8" spans="1:34" x14ac:dyDescent="0.25">
      <c r="A8"/>
      <c r="B8"/>
      <c r="C8"/>
      <c r="D8"/>
      <c r="E8"/>
      <c r="F8"/>
      <c r="G8"/>
      <c r="J8"/>
      <c r="K8"/>
      <c r="L8"/>
      <c r="M8"/>
      <c r="N8"/>
      <c r="O8"/>
      <c r="Q8"/>
      <c r="R8"/>
      <c r="S8"/>
      <c r="T8"/>
      <c r="U8"/>
      <c r="V8"/>
      <c r="AG8"/>
      <c r="AH8"/>
    </row>
    <row r="9" spans="1:34" ht="45" x14ac:dyDescent="0.25">
      <c r="A9" s="105"/>
      <c r="B9" s="65" t="s">
        <v>1030</v>
      </c>
      <c r="C9" s="66"/>
      <c r="D9" s="66"/>
      <c r="E9" s="66"/>
      <c r="F9" s="66"/>
      <c r="G9" s="66"/>
      <c r="H9" s="66"/>
      <c r="I9" s="67"/>
      <c r="J9"/>
      <c r="K9" s="64" t="s">
        <v>1034</v>
      </c>
      <c r="L9" s="124" t="s">
        <v>970</v>
      </c>
      <c r="M9" s="66" t="s">
        <v>1033</v>
      </c>
      <c r="N9" s="66" t="s">
        <v>1031</v>
      </c>
      <c r="O9" s="67" t="s">
        <v>1032</v>
      </c>
      <c r="Q9"/>
      <c r="R9"/>
      <c r="S9"/>
      <c r="T9"/>
      <c r="U9"/>
      <c r="V9"/>
      <c r="AG9"/>
      <c r="AH9"/>
    </row>
    <row r="10" spans="1:34" x14ac:dyDescent="0.25">
      <c r="A10" s="84"/>
      <c r="B10" s="122" t="s">
        <v>938</v>
      </c>
      <c r="C10" s="122"/>
      <c r="D10" s="122" t="s">
        <v>940</v>
      </c>
      <c r="E10" s="122"/>
      <c r="F10" s="122" t="s">
        <v>937</v>
      </c>
      <c r="G10" s="122"/>
      <c r="H10" s="122" t="s">
        <v>939</v>
      </c>
      <c r="I10" s="123"/>
      <c r="J10"/>
      <c r="K10" s="71" t="s">
        <v>938</v>
      </c>
      <c r="L10" s="125">
        <v>124</v>
      </c>
      <c r="M10" s="72">
        <v>0.25203252032520324</v>
      </c>
      <c r="N10" s="72">
        <v>0.11433413256762134</v>
      </c>
      <c r="O10" s="94">
        <v>7350717</v>
      </c>
      <c r="Q10"/>
      <c r="R10"/>
      <c r="S10"/>
      <c r="T10"/>
      <c r="U10"/>
      <c r="V10"/>
      <c r="X10"/>
      <c r="Y10"/>
      <c r="Z10"/>
      <c r="AA10"/>
      <c r="AB10"/>
      <c r="AC10"/>
    </row>
    <row r="11" spans="1:34" x14ac:dyDescent="0.25">
      <c r="A11" s="114" t="s">
        <v>0</v>
      </c>
      <c r="B11" s="84" t="s">
        <v>1028</v>
      </c>
      <c r="C11" s="117" t="s">
        <v>1029</v>
      </c>
      <c r="D11" s="115" t="s">
        <v>1028</v>
      </c>
      <c r="E11" s="117" t="s">
        <v>1029</v>
      </c>
      <c r="F11" s="115" t="s">
        <v>1028</v>
      </c>
      <c r="G11" s="117" t="s">
        <v>1029</v>
      </c>
      <c r="H11" s="115" t="s">
        <v>1028</v>
      </c>
      <c r="I11" s="117" t="s">
        <v>1029</v>
      </c>
      <c r="J11"/>
      <c r="K11" s="71" t="s">
        <v>940</v>
      </c>
      <c r="L11" s="125">
        <v>122</v>
      </c>
      <c r="M11" s="72">
        <v>0.24796747967479674</v>
      </c>
      <c r="N11" s="72">
        <v>0.38898748662654442</v>
      </c>
      <c r="O11" s="94">
        <v>25008603</v>
      </c>
      <c r="Q11"/>
      <c r="R11"/>
      <c r="S11"/>
      <c r="T11"/>
      <c r="U11"/>
      <c r="V11"/>
      <c r="X11"/>
      <c r="Y11"/>
      <c r="Z11"/>
      <c r="AA11"/>
      <c r="AB11"/>
      <c r="AC11"/>
    </row>
    <row r="12" spans="1:34" x14ac:dyDescent="0.25">
      <c r="A12" s="118" t="s">
        <v>3</v>
      </c>
      <c r="B12" s="107">
        <v>81759</v>
      </c>
      <c r="C12" s="108">
        <v>37523</v>
      </c>
      <c r="D12" s="108">
        <v>233215</v>
      </c>
      <c r="E12" s="108">
        <v>182728</v>
      </c>
      <c r="F12" s="108">
        <v>127240</v>
      </c>
      <c r="G12" s="108">
        <v>84024</v>
      </c>
      <c r="H12" s="108">
        <v>171102</v>
      </c>
      <c r="I12" s="109">
        <v>129557</v>
      </c>
      <c r="J12"/>
      <c r="K12" s="71" t="s">
        <v>937</v>
      </c>
      <c r="L12" s="125">
        <v>123</v>
      </c>
      <c r="M12" s="72">
        <v>0.25</v>
      </c>
      <c r="N12" s="72">
        <v>0.20313770384953939</v>
      </c>
      <c r="O12" s="94">
        <v>13060035</v>
      </c>
      <c r="Q12"/>
      <c r="R12"/>
      <c r="S12"/>
      <c r="T12"/>
      <c r="U12"/>
      <c r="V12"/>
      <c r="X12"/>
      <c r="Y12"/>
      <c r="Z12"/>
      <c r="AA12"/>
      <c r="AB12"/>
      <c r="AC12"/>
    </row>
    <row r="13" spans="1:34" x14ac:dyDescent="0.25">
      <c r="A13" s="119" t="s">
        <v>12</v>
      </c>
      <c r="B13" s="110">
        <v>80260</v>
      </c>
      <c r="C13" s="93">
        <v>37141</v>
      </c>
      <c r="D13" s="93">
        <v>232995</v>
      </c>
      <c r="E13" s="93">
        <v>180363</v>
      </c>
      <c r="F13" s="93">
        <v>125231</v>
      </c>
      <c r="G13" s="93">
        <v>83783</v>
      </c>
      <c r="H13" s="93">
        <v>178932</v>
      </c>
      <c r="I13" s="94">
        <v>130746</v>
      </c>
      <c r="J13"/>
      <c r="K13" s="71" t="s">
        <v>939</v>
      </c>
      <c r="L13" s="125">
        <v>123</v>
      </c>
      <c r="M13" s="72">
        <v>0.25</v>
      </c>
      <c r="N13" s="72">
        <v>0.29354067695629482</v>
      </c>
      <c r="O13" s="94">
        <v>18872181</v>
      </c>
      <c r="Q13"/>
      <c r="R13"/>
      <c r="S13"/>
      <c r="T13"/>
      <c r="U13"/>
      <c r="V13"/>
      <c r="X13"/>
      <c r="Y13"/>
      <c r="Z13"/>
      <c r="AA13"/>
      <c r="AB13"/>
      <c r="AC13"/>
    </row>
    <row r="14" spans="1:34" x14ac:dyDescent="0.25">
      <c r="A14" s="119" t="s">
        <v>8</v>
      </c>
      <c r="B14" s="110">
        <v>81702</v>
      </c>
      <c r="C14" s="93">
        <v>39239</v>
      </c>
      <c r="D14" s="93">
        <v>227850</v>
      </c>
      <c r="E14" s="93">
        <v>179298</v>
      </c>
      <c r="F14" s="93">
        <v>126047</v>
      </c>
      <c r="G14" s="93">
        <v>82771</v>
      </c>
      <c r="H14" s="93">
        <v>176905</v>
      </c>
      <c r="I14" s="94">
        <v>133788</v>
      </c>
      <c r="J14"/>
      <c r="K14" s="74" t="s">
        <v>27</v>
      </c>
      <c r="L14" s="126">
        <v>492</v>
      </c>
      <c r="M14" s="75">
        <v>1</v>
      </c>
      <c r="N14" s="75">
        <v>1</v>
      </c>
      <c r="O14" s="106">
        <v>64291536</v>
      </c>
      <c r="Q14"/>
      <c r="R14"/>
      <c r="S14"/>
      <c r="T14"/>
      <c r="U14"/>
      <c r="V14"/>
      <c r="X14"/>
      <c r="Y14"/>
      <c r="Z14"/>
      <c r="AA14"/>
      <c r="AB14"/>
      <c r="AC14"/>
    </row>
    <row r="15" spans="1:34" x14ac:dyDescent="0.25">
      <c r="A15" s="119" t="s">
        <v>14</v>
      </c>
      <c r="B15" s="110">
        <v>82315</v>
      </c>
      <c r="C15" s="93">
        <v>37116</v>
      </c>
      <c r="D15" s="93">
        <v>231891</v>
      </c>
      <c r="E15" s="93">
        <v>179542</v>
      </c>
      <c r="F15" s="93">
        <v>127306</v>
      </c>
      <c r="G15" s="93">
        <v>83408</v>
      </c>
      <c r="H15" s="93">
        <v>178690</v>
      </c>
      <c r="I15" s="94">
        <v>132030</v>
      </c>
      <c r="J15"/>
      <c r="K15"/>
      <c r="L15"/>
      <c r="M15"/>
      <c r="N15"/>
      <c r="O15"/>
      <c r="Q15"/>
      <c r="R15"/>
      <c r="S15"/>
      <c r="T15"/>
      <c r="U15"/>
      <c r="V15"/>
      <c r="X15"/>
      <c r="Y15"/>
      <c r="Z15"/>
      <c r="AA15"/>
      <c r="AB15"/>
      <c r="AC15"/>
    </row>
    <row r="16" spans="1:34" x14ac:dyDescent="0.25">
      <c r="A16" s="120" t="s">
        <v>11</v>
      </c>
      <c r="B16" s="110">
        <v>81837</v>
      </c>
      <c r="C16" s="93">
        <v>37654</v>
      </c>
      <c r="D16" s="93">
        <v>230347</v>
      </c>
      <c r="E16" s="93">
        <v>178969</v>
      </c>
      <c r="F16" s="93">
        <v>129037</v>
      </c>
      <c r="G16" s="93">
        <v>85748</v>
      </c>
      <c r="H16" s="93">
        <v>178002</v>
      </c>
      <c r="I16" s="94">
        <v>130087</v>
      </c>
      <c r="J16"/>
      <c r="K16"/>
      <c r="L16"/>
      <c r="M16"/>
      <c r="N16"/>
      <c r="O16"/>
      <c r="Q16"/>
      <c r="R16"/>
      <c r="S16"/>
      <c r="T16"/>
      <c r="U16"/>
      <c r="V16"/>
      <c r="X16"/>
      <c r="Y16"/>
      <c r="Z16"/>
      <c r="AA16"/>
      <c r="AB16"/>
      <c r="AC16"/>
    </row>
    <row r="17" spans="1:29" x14ac:dyDescent="0.25">
      <c r="A17" s="74" t="s">
        <v>27</v>
      </c>
      <c r="B17" s="111">
        <v>82315</v>
      </c>
      <c r="C17" s="95">
        <v>37116</v>
      </c>
      <c r="D17" s="95">
        <v>233215</v>
      </c>
      <c r="E17" s="95">
        <v>178969</v>
      </c>
      <c r="F17" s="95">
        <v>129037</v>
      </c>
      <c r="G17" s="95">
        <v>82771</v>
      </c>
      <c r="H17" s="95">
        <v>178932</v>
      </c>
      <c r="I17" s="106">
        <v>129557</v>
      </c>
      <c r="J17"/>
      <c r="K17"/>
      <c r="L17"/>
      <c r="M17"/>
      <c r="N17"/>
      <c r="O17"/>
      <c r="Q17"/>
      <c r="R17"/>
      <c r="S17"/>
      <c r="T17"/>
      <c r="U17"/>
      <c r="V17"/>
      <c r="X17"/>
      <c r="Y17"/>
      <c r="Z17"/>
      <c r="AA17"/>
      <c r="AB17"/>
      <c r="AC17"/>
    </row>
    <row r="18" spans="1:29" x14ac:dyDescent="0.25">
      <c r="Q18"/>
      <c r="R18"/>
      <c r="S18"/>
      <c r="T18"/>
      <c r="U18"/>
      <c r="V18"/>
    </row>
    <row r="19" spans="1:29" x14ac:dyDescent="0.25">
      <c r="Q19"/>
      <c r="R19"/>
      <c r="S19"/>
      <c r="T19"/>
      <c r="U19"/>
      <c r="V19"/>
    </row>
    <row r="20" spans="1:29" ht="45" x14ac:dyDescent="0.25">
      <c r="A20" s="58" t="s">
        <v>1012</v>
      </c>
      <c r="B20" s="32" t="s">
        <v>1015</v>
      </c>
      <c r="D20" s="58" t="s">
        <v>22</v>
      </c>
      <c r="E20" s="32" t="s">
        <v>1016</v>
      </c>
      <c r="F20" s="32" t="s">
        <v>1017</v>
      </c>
      <c r="Q20"/>
      <c r="R20"/>
      <c r="S20"/>
      <c r="T20"/>
      <c r="U20"/>
      <c r="V20"/>
    </row>
    <row r="21" spans="1:29" x14ac:dyDescent="0.25">
      <c r="A21" s="61" t="s">
        <v>5</v>
      </c>
      <c r="B21" s="32">
        <v>59</v>
      </c>
      <c r="D21" s="61" t="s">
        <v>23</v>
      </c>
      <c r="E21" s="60">
        <v>0.43216139679723936</v>
      </c>
      <c r="F21" s="62">
        <v>27784320</v>
      </c>
    </row>
    <row r="22" spans="1:29" x14ac:dyDescent="0.25">
      <c r="A22" s="61" t="s">
        <v>17</v>
      </c>
      <c r="B22" s="32">
        <v>216</v>
      </c>
      <c r="D22" s="61" t="s">
        <v>24</v>
      </c>
      <c r="E22" s="60">
        <v>0.56154765068919799</v>
      </c>
      <c r="F22" s="62">
        <v>36102761</v>
      </c>
    </row>
    <row r="23" spans="1:29" x14ac:dyDescent="0.25">
      <c r="A23" s="61" t="s">
        <v>10</v>
      </c>
      <c r="B23" s="32">
        <v>217</v>
      </c>
      <c r="D23" s="61" t="s">
        <v>25</v>
      </c>
      <c r="E23" s="60">
        <v>6.2909525135625942E-3</v>
      </c>
      <c r="F23" s="62">
        <v>404455</v>
      </c>
    </row>
    <row r="24" spans="1:29" ht="30" x14ac:dyDescent="0.25">
      <c r="A24" s="61" t="s">
        <v>27</v>
      </c>
      <c r="B24" s="32">
        <v>492</v>
      </c>
      <c r="D24" s="61" t="s">
        <v>27</v>
      </c>
      <c r="E24" s="60">
        <v>1</v>
      </c>
      <c r="F24" s="62">
        <v>64291536</v>
      </c>
    </row>
    <row r="26" spans="1:29" x14ac:dyDescent="0.25">
      <c r="I26"/>
      <c r="J26"/>
      <c r="K26"/>
      <c r="L26"/>
      <c r="M26"/>
    </row>
    <row r="27" spans="1:29" hidden="1" x14ac:dyDescent="0.25">
      <c r="A27" s="105"/>
      <c r="B27" s="65" t="s">
        <v>965</v>
      </c>
      <c r="C27" s="66"/>
      <c r="D27" s="66"/>
      <c r="E27" s="66"/>
      <c r="F27" s="66"/>
      <c r="G27" s="67"/>
      <c r="I27"/>
      <c r="J27"/>
      <c r="K27"/>
      <c r="L27"/>
      <c r="M27"/>
    </row>
    <row r="28" spans="1:29" ht="60" x14ac:dyDescent="0.25">
      <c r="A28" s="112"/>
      <c r="B28" s="121" t="s">
        <v>23</v>
      </c>
      <c r="C28" s="117"/>
      <c r="D28" s="121" t="s">
        <v>24</v>
      </c>
      <c r="E28" s="116"/>
      <c r="F28" s="127" t="s">
        <v>1018</v>
      </c>
      <c r="G28" s="112" t="s">
        <v>1019</v>
      </c>
      <c r="I28"/>
      <c r="J28"/>
      <c r="K28"/>
      <c r="L28"/>
      <c r="M28"/>
    </row>
    <row r="29" spans="1:29" ht="30.75" customHeight="1" x14ac:dyDescent="0.25">
      <c r="A29" s="114" t="s">
        <v>22</v>
      </c>
      <c r="B29" s="115" t="s">
        <v>972</v>
      </c>
      <c r="C29" s="117" t="s">
        <v>1020</v>
      </c>
      <c r="D29" s="115" t="s">
        <v>972</v>
      </c>
      <c r="E29" s="116" t="s">
        <v>1020</v>
      </c>
      <c r="F29" s="84"/>
      <c r="G29" s="113"/>
      <c r="I29"/>
      <c r="J29"/>
      <c r="K29"/>
      <c r="L29"/>
      <c r="M29"/>
    </row>
    <row r="30" spans="1:29" x14ac:dyDescent="0.25">
      <c r="A30" s="71" t="s">
        <v>938</v>
      </c>
      <c r="B30" s="128">
        <v>58605.621212121216</v>
      </c>
      <c r="C30" s="129">
        <v>66</v>
      </c>
      <c r="D30" s="128">
        <v>60047.34482758621</v>
      </c>
      <c r="E30" s="129">
        <v>58</v>
      </c>
      <c r="F30" s="128">
        <v>59279.975806451614</v>
      </c>
      <c r="G30" s="132">
        <v>124</v>
      </c>
      <c r="I30"/>
      <c r="J30"/>
      <c r="K30"/>
      <c r="L30"/>
      <c r="M30"/>
    </row>
    <row r="31" spans="1:29" x14ac:dyDescent="0.25">
      <c r="A31" s="71" t="s">
        <v>937</v>
      </c>
      <c r="B31" s="128">
        <v>106884.81818181818</v>
      </c>
      <c r="C31" s="129">
        <v>55</v>
      </c>
      <c r="D31" s="128">
        <v>105455.64179104478</v>
      </c>
      <c r="E31" s="129">
        <v>67</v>
      </c>
      <c r="F31" s="128">
        <v>106099.94262295082</v>
      </c>
      <c r="G31" s="132">
        <v>122</v>
      </c>
      <c r="I31"/>
      <c r="J31"/>
      <c r="K31"/>
      <c r="L31"/>
      <c r="M31"/>
    </row>
    <row r="32" spans="1:29" x14ac:dyDescent="0.25">
      <c r="A32" s="71" t="s">
        <v>939</v>
      </c>
      <c r="B32" s="128">
        <v>151651.42372881356</v>
      </c>
      <c r="C32" s="129">
        <v>59</v>
      </c>
      <c r="D32" s="128">
        <v>155421.51612903227</v>
      </c>
      <c r="E32" s="129">
        <v>62</v>
      </c>
      <c r="F32" s="128">
        <v>153583.20661157026</v>
      </c>
      <c r="G32" s="132">
        <v>121</v>
      </c>
      <c r="I32"/>
      <c r="J32"/>
      <c r="K32"/>
      <c r="L32"/>
      <c r="M32"/>
    </row>
    <row r="33" spans="1:13" x14ac:dyDescent="0.25">
      <c r="A33" s="71" t="s">
        <v>940</v>
      </c>
      <c r="B33" s="128">
        <v>206596.59090909091</v>
      </c>
      <c r="C33" s="129">
        <v>44</v>
      </c>
      <c r="D33" s="128">
        <v>204081.44871794872</v>
      </c>
      <c r="E33" s="129">
        <v>78</v>
      </c>
      <c r="F33" s="128">
        <v>204988.54918032786</v>
      </c>
      <c r="G33" s="132">
        <v>122</v>
      </c>
      <c r="I33"/>
      <c r="J33"/>
      <c r="K33"/>
      <c r="L33"/>
      <c r="M33"/>
    </row>
    <row r="34" spans="1:13" x14ac:dyDescent="0.25">
      <c r="A34" s="74" t="s">
        <v>27</v>
      </c>
      <c r="B34" s="130">
        <v>124037.14285714286</v>
      </c>
      <c r="C34" s="131">
        <v>224</v>
      </c>
      <c r="D34" s="130">
        <v>136236.83396226415</v>
      </c>
      <c r="E34" s="131">
        <v>265</v>
      </c>
      <c r="F34" s="130">
        <v>130648.42740286299</v>
      </c>
      <c r="G34" s="133">
        <v>489</v>
      </c>
    </row>
    <row r="36" spans="1:13" x14ac:dyDescent="0.25">
      <c r="F36" s="97"/>
    </row>
    <row r="37" spans="1:13" x14ac:dyDescent="0.25">
      <c r="A37" s="98" t="s">
        <v>1021</v>
      </c>
      <c r="B37" s="99" t="s">
        <v>1022</v>
      </c>
      <c r="C37" s="99" t="s">
        <v>1023</v>
      </c>
      <c r="D37" s="98" t="s">
        <v>1024</v>
      </c>
    </row>
    <row r="38" spans="1:13" x14ac:dyDescent="0.25">
      <c r="A38" s="100" t="s">
        <v>1025</v>
      </c>
      <c r="B38" s="101">
        <v>9.3378017230186391E-2</v>
      </c>
      <c r="C38" s="102">
        <f>C34/G34</f>
        <v>0.45807770961145194</v>
      </c>
      <c r="D38" s="103">
        <v>0.54192229038854811</v>
      </c>
    </row>
    <row r="39" spans="1:13" x14ac:dyDescent="0.25">
      <c r="A39" s="104" t="s" vm="1">
        <v>938</v>
      </c>
      <c r="B39" s="102">
        <f>(D30-B30)/D30</f>
        <v>2.4009781275168982E-2</v>
      </c>
      <c r="C39" s="102">
        <f>$C30/$G30</f>
        <v>0.532258064516129</v>
      </c>
      <c r="D39" s="103">
        <v>0.467741935483871</v>
      </c>
    </row>
    <row r="40" spans="1:13" x14ac:dyDescent="0.25">
      <c r="A40" s="104" t="s">
        <v>937</v>
      </c>
      <c r="B40" s="102">
        <f>(D31-B31)/D31</f>
        <v>-1.3552393845416464E-2</v>
      </c>
      <c r="C40" s="102">
        <f t="shared" ref="C40:C42" si="0">$C31/$G31</f>
        <v>0.45081967213114754</v>
      </c>
      <c r="D40" s="103">
        <v>0.54918032786885251</v>
      </c>
    </row>
    <row r="41" spans="1:13" x14ac:dyDescent="0.25">
      <c r="A41" s="104" t="s">
        <v>939</v>
      </c>
      <c r="B41" s="102">
        <f>(D32-B32)/D32</f>
        <v>2.4257210289267455E-2</v>
      </c>
      <c r="C41" s="102">
        <f t="shared" si="0"/>
        <v>0.48760330578512395</v>
      </c>
      <c r="D41" s="103">
        <v>0.63934426229508201</v>
      </c>
    </row>
    <row r="42" spans="1:13" x14ac:dyDescent="0.25">
      <c r="A42" s="104" t="s">
        <v>940</v>
      </c>
      <c r="B42" s="102">
        <f>(D33-B33)/D33</f>
        <v>-1.2324207844184072E-2</v>
      </c>
      <c r="C42" s="102">
        <f t="shared" si="0"/>
        <v>0.36065573770491804</v>
      </c>
      <c r="D42" s="103">
        <v>0.5123966942148761</v>
      </c>
    </row>
    <row r="43" spans="1:13" x14ac:dyDescent="0.25">
      <c r="A43" s="61"/>
    </row>
    <row r="44" spans="1:13" x14ac:dyDescent="0.25">
      <c r="B44" s="59"/>
    </row>
  </sheetData>
  <conditionalFormatting sqref="A20:C20">
    <cfRule type="colorScale" priority="19">
      <colorScale>
        <cfvo type="min"/>
        <cfvo type="percentile" val="50"/>
        <cfvo type="max"/>
        <color rgb="FFF8696B"/>
        <color rgb="FFFCFCFF"/>
        <color theme="9"/>
      </colorScale>
    </cfRule>
  </conditionalFormatting>
  <conditionalFormatting sqref="A1:E1 D2:E2">
    <cfRule type="colorScale" priority="18">
      <colorScale>
        <cfvo type="min"/>
        <cfvo type="percentile" val="50"/>
        <cfvo type="max"/>
        <color rgb="FFF8696B"/>
        <color rgb="FFFCFCFF"/>
        <color theme="9"/>
      </colorScale>
    </cfRule>
  </conditionalFormatting>
  <conditionalFormatting sqref="A27:E27 D28:E28">
    <cfRule type="colorScale" priority="6">
      <colorScale>
        <cfvo type="min"/>
        <cfvo type="percentile" val="50"/>
        <cfvo type="max"/>
        <color rgb="FFF8696B"/>
        <color rgb="FFFCFCFF"/>
        <color theme="9"/>
      </colorScale>
    </cfRule>
  </conditionalFormatting>
  <conditionalFormatting sqref="A35:E35 D36:E36">
    <cfRule type="colorScale" priority="1">
      <colorScale>
        <cfvo type="min"/>
        <cfvo type="percentile" val="50"/>
        <cfvo type="max"/>
        <color rgb="FFF8696B"/>
        <color rgb="FFFCFCFF"/>
        <color theme="9"/>
      </colorScale>
    </cfRule>
  </conditionalFormatting>
  <conditionalFormatting sqref="I1:M1 L2:M2">
    <cfRule type="colorScale" priority="14">
      <colorScale>
        <cfvo type="min"/>
        <cfvo type="percentile" val="50"/>
        <cfvo type="max"/>
        <color rgb="FFF8696B"/>
        <color rgb="FFFCFCFF"/>
        <color theme="9"/>
      </colorScale>
    </cfRule>
  </conditionalFormatting>
  <conditionalFormatting sqref="N9:O9 K9 N20:O21">
    <cfRule type="colorScale" priority="5">
      <colorScale>
        <cfvo type="min"/>
        <cfvo type="percentile" val="50"/>
        <cfvo type="max"/>
        <color rgb="FFF8696B"/>
        <color rgb="FFFCFCFF"/>
        <color theme="9"/>
      </colorScale>
    </cfRule>
  </conditionalFormatting>
  <conditionalFormatting sqref="P1:T1 S2:T2">
    <cfRule type="colorScale" priority="13">
      <colorScale>
        <cfvo type="min"/>
        <cfvo type="percentile" val="50"/>
        <cfvo type="max"/>
        <color rgb="FFF8696B"/>
        <color rgb="FFFCFCFF"/>
        <color theme="9"/>
      </colorScale>
    </cfRule>
  </conditionalFormatting>
  <conditionalFormatting sqref="Q9:U9 T10:U10">
    <cfRule type="colorScale" priority="8">
      <colorScale>
        <cfvo type="min"/>
        <cfvo type="percentile" val="50"/>
        <cfvo type="max"/>
        <color rgb="FFF8696B"/>
        <color rgb="FFFCFCFF"/>
        <color theme="9"/>
      </colorScale>
    </cfRule>
  </conditionalFormatting>
  <conditionalFormatting sqref="A9:E9 D10:E10">
    <cfRule type="colorScale" priority="12">
      <colorScale>
        <cfvo type="min"/>
        <cfvo type="percentile" val="50"/>
        <cfvo type="max"/>
        <color rgb="FFF8696B"/>
        <color rgb="FFFCFCFF"/>
        <color theme="9"/>
      </colorScale>
    </cfRule>
  </conditionalFormatting>
  <conditionalFormatting sqref="X10:AB10 AA11:AB11">
    <cfRule type="colorScale" priority="11">
      <colorScale>
        <cfvo type="min"/>
        <cfvo type="percentile" val="50"/>
        <cfvo type="max"/>
        <color rgb="FFF8696B"/>
        <color rgb="FFFCFCFF"/>
        <color theme="9"/>
      </colorScale>
    </cfRule>
  </conditionalFormatting>
  <conditionalFormatting sqref="Q8:U8">
    <cfRule type="colorScale" priority="20">
      <colorScale>
        <cfvo type="min"/>
        <cfvo type="percentile" val="50"/>
        <cfvo type="max"/>
        <color rgb="FFF8696B"/>
        <color rgb="FFFCFCFF"/>
        <color theme="9"/>
      </colorScale>
    </cfRule>
  </conditionalFormatting>
  <conditionalFormatting sqref="D20:F20 K10">
    <cfRule type="colorScale" priority="23">
      <colorScale>
        <cfvo type="min"/>
        <cfvo type="percentile" val="50"/>
        <cfvo type="max"/>
        <color rgb="FFF8696B"/>
        <color rgb="FFFCFCFF"/>
        <color theme="9"/>
      </colorScale>
    </cfRule>
  </conditionalFormatting>
  <conditionalFormatting sqref="I8">
    <cfRule type="colorScale" priority="24">
      <colorScale>
        <cfvo type="min"/>
        <cfvo type="percentile" val="50"/>
        <cfvo type="max"/>
        <color rgb="FFF8696B"/>
        <color rgb="FFFCFCFF"/>
        <color theme="9"/>
      </colorScale>
    </cfRule>
  </conditionalFormatting>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7986-D7F2-47A3-9B5D-3BE62A87A80F}">
  <dimension ref="A1:L26"/>
  <sheetViews>
    <sheetView showGridLines="0" workbookViewId="0">
      <selection activeCell="B1" sqref="B1"/>
    </sheetView>
  </sheetViews>
  <sheetFormatPr defaultRowHeight="15" x14ac:dyDescent="0.25"/>
  <cols>
    <col min="1" max="1" width="14.5703125" bestFit="1" customWidth="1"/>
    <col min="2" max="2" width="10.85546875" bestFit="1" customWidth="1"/>
    <col min="3" max="3" width="27" bestFit="1" customWidth="1"/>
    <col min="4" max="4" width="14.140625" bestFit="1" customWidth="1"/>
    <col min="5" max="5" width="22" bestFit="1" customWidth="1"/>
    <col min="6" max="6" width="4.42578125" customWidth="1"/>
    <col min="7" max="7" width="28.28515625" bestFit="1" customWidth="1"/>
    <col min="8" max="8" width="12" bestFit="1" customWidth="1"/>
    <col min="9" max="9" width="9.85546875" bestFit="1" customWidth="1"/>
    <col min="10" max="10" width="10.7109375" bestFit="1" customWidth="1"/>
    <col min="11" max="11" width="7" bestFit="1" customWidth="1"/>
    <col min="12" max="12" width="11.28515625" bestFit="1" customWidth="1"/>
    <col min="13" max="13" width="9.85546875" bestFit="1" customWidth="1"/>
    <col min="14" max="14" width="10.7109375" bestFit="1" customWidth="1"/>
    <col min="15" max="15" width="7.140625" bestFit="1" customWidth="1"/>
    <col min="16" max="16" width="12.85546875" bestFit="1" customWidth="1"/>
    <col min="17" max="17" width="9.85546875" bestFit="1" customWidth="1"/>
    <col min="18" max="18" width="10.7109375" bestFit="1" customWidth="1"/>
    <col min="19" max="19" width="7.140625" bestFit="1" customWidth="1"/>
    <col min="20" max="20" width="10" bestFit="1" customWidth="1"/>
    <col min="21" max="21" width="9.85546875" bestFit="1" customWidth="1"/>
    <col min="22" max="22" width="10.7109375" bestFit="1" customWidth="1"/>
    <col min="23" max="23" width="7.140625" bestFit="1" customWidth="1"/>
    <col min="24" max="24" width="10" bestFit="1" customWidth="1"/>
    <col min="25" max="25" width="9.85546875" bestFit="1" customWidth="1"/>
    <col min="26" max="26" width="10.7109375" bestFit="1" customWidth="1"/>
    <col min="27" max="27" width="7.140625" bestFit="1" customWidth="1"/>
    <col min="28" max="28" width="11.28515625" bestFit="1" customWidth="1"/>
  </cols>
  <sheetData>
    <row r="1" spans="1:12" x14ac:dyDescent="0.25">
      <c r="A1" s="136" t="s">
        <v>0</v>
      </c>
      <c r="B1" s="137" t="s">
        <v>970</v>
      </c>
      <c r="C1" s="137" t="s">
        <v>971</v>
      </c>
      <c r="D1" s="137" t="s">
        <v>972</v>
      </c>
      <c r="E1" s="138" t="s">
        <v>973</v>
      </c>
      <c r="G1" s="136" t="s">
        <v>960</v>
      </c>
      <c r="H1" s="149" t="s">
        <v>990</v>
      </c>
      <c r="I1" s="137"/>
      <c r="J1" s="137"/>
      <c r="K1" s="137"/>
      <c r="L1" s="138"/>
    </row>
    <row r="2" spans="1:12" x14ac:dyDescent="0.25">
      <c r="A2" s="139" t="s">
        <v>13</v>
      </c>
      <c r="B2" s="140"/>
      <c r="C2" s="140"/>
      <c r="D2" s="140"/>
      <c r="E2" s="141"/>
      <c r="G2" s="150" t="s">
        <v>0</v>
      </c>
      <c r="H2" s="140" t="s">
        <v>13</v>
      </c>
      <c r="I2" s="140" t="s">
        <v>9</v>
      </c>
      <c r="J2" s="140" t="s">
        <v>7</v>
      </c>
      <c r="K2" s="140" t="s">
        <v>4</v>
      </c>
      <c r="L2" s="151" t="s">
        <v>27</v>
      </c>
    </row>
    <row r="3" spans="1:12" x14ac:dyDescent="0.25">
      <c r="A3" s="142" t="s">
        <v>3</v>
      </c>
      <c r="B3" s="143">
        <v>22</v>
      </c>
      <c r="C3" s="144">
        <v>108400</v>
      </c>
      <c r="D3" s="144">
        <v>121773.86363636363</v>
      </c>
      <c r="E3" s="141">
        <v>0.18181818181818182</v>
      </c>
      <c r="G3" s="139" t="s">
        <v>3</v>
      </c>
      <c r="H3" s="152">
        <v>4927.272727272727</v>
      </c>
      <c r="I3" s="152">
        <v>5190.909090909091</v>
      </c>
      <c r="J3" s="152">
        <v>5944.8275862068967</v>
      </c>
      <c r="K3" s="152">
        <v>5785.416666666667</v>
      </c>
      <c r="L3" s="153">
        <v>5503.6082474226805</v>
      </c>
    </row>
    <row r="4" spans="1:12" x14ac:dyDescent="0.25">
      <c r="A4" s="142" t="s">
        <v>12</v>
      </c>
      <c r="B4" s="143">
        <v>19</v>
      </c>
      <c r="C4" s="144">
        <v>104300</v>
      </c>
      <c r="D4" s="144">
        <v>137245.47368421053</v>
      </c>
      <c r="E4" s="141">
        <v>0.26315789473684209</v>
      </c>
      <c r="G4" s="139" t="s">
        <v>12</v>
      </c>
      <c r="H4" s="152">
        <v>5489.4736842105267</v>
      </c>
      <c r="I4" s="152">
        <v>5064.2857142857147</v>
      </c>
      <c r="J4" s="152">
        <v>4819.2307692307695</v>
      </c>
      <c r="K4" s="152">
        <v>4577.272727272727</v>
      </c>
      <c r="L4" s="153">
        <v>4961.931818181818</v>
      </c>
    </row>
    <row r="5" spans="1:12" x14ac:dyDescent="0.25">
      <c r="A5" s="142" t="s">
        <v>8</v>
      </c>
      <c r="B5" s="143">
        <v>19</v>
      </c>
      <c r="C5" s="144">
        <v>79650</v>
      </c>
      <c r="D5" s="144">
        <v>148077.73684210525</v>
      </c>
      <c r="E5" s="141">
        <v>0.21052631578947367</v>
      </c>
      <c r="G5" s="139" t="s">
        <v>8</v>
      </c>
      <c r="H5" s="152">
        <v>4192.105263157895</v>
      </c>
      <c r="I5" s="152">
        <v>5490.7407407407409</v>
      </c>
      <c r="J5" s="152">
        <v>5475</v>
      </c>
      <c r="K5" s="152">
        <v>5140</v>
      </c>
      <c r="L5" s="153">
        <v>5141.7525773195875</v>
      </c>
    </row>
    <row r="6" spans="1:12" x14ac:dyDescent="0.25">
      <c r="A6" s="142" t="s">
        <v>14</v>
      </c>
      <c r="B6" s="143">
        <v>25</v>
      </c>
      <c r="C6" s="144">
        <v>135750</v>
      </c>
      <c r="D6" s="144">
        <v>125504.2</v>
      </c>
      <c r="E6" s="141">
        <v>0.2</v>
      </c>
      <c r="G6" s="139" t="s">
        <v>14</v>
      </c>
      <c r="H6" s="152">
        <v>5430</v>
      </c>
      <c r="I6" s="152">
        <v>6062</v>
      </c>
      <c r="J6" s="152">
        <v>5268.5714285714284</v>
      </c>
      <c r="K6" s="152">
        <v>5293.75</v>
      </c>
      <c r="L6" s="153">
        <v>5493.119266055046</v>
      </c>
    </row>
    <row r="7" spans="1:12" x14ac:dyDescent="0.25">
      <c r="A7" s="142" t="s">
        <v>11</v>
      </c>
      <c r="B7" s="143">
        <v>25</v>
      </c>
      <c r="C7" s="144">
        <v>129350</v>
      </c>
      <c r="D7" s="144">
        <v>128991.12</v>
      </c>
      <c r="E7" s="141">
        <v>0.16</v>
      </c>
      <c r="G7" s="139" t="s">
        <v>11</v>
      </c>
      <c r="H7" s="152">
        <v>5174</v>
      </c>
      <c r="I7" s="152">
        <v>5066</v>
      </c>
      <c r="J7" s="152">
        <v>4591.666666666667</v>
      </c>
      <c r="K7" s="152">
        <v>5511.1111111111113</v>
      </c>
      <c r="L7" s="153">
        <v>5099.0099009900987</v>
      </c>
    </row>
    <row r="8" spans="1:12" x14ac:dyDescent="0.25">
      <c r="A8" s="139" t="s">
        <v>9</v>
      </c>
      <c r="B8" s="140"/>
      <c r="C8" s="140"/>
      <c r="D8" s="140"/>
      <c r="E8" s="141"/>
      <c r="G8" s="145" t="s">
        <v>27</v>
      </c>
      <c r="H8" s="154">
        <v>5067.727272727273</v>
      </c>
      <c r="I8" s="154">
        <v>5391.666666666667</v>
      </c>
      <c r="J8" s="154">
        <v>5247.5</v>
      </c>
      <c r="K8" s="154">
        <v>5277.8688524590161</v>
      </c>
      <c r="L8" s="155">
        <v>5250</v>
      </c>
    </row>
    <row r="9" spans="1:12" x14ac:dyDescent="0.25">
      <c r="A9" s="142" t="s">
        <v>3</v>
      </c>
      <c r="B9" s="143">
        <v>22</v>
      </c>
      <c r="C9" s="144">
        <v>114200</v>
      </c>
      <c r="D9" s="144">
        <v>118022.5</v>
      </c>
      <c r="E9" s="141">
        <v>0.22727272727272727</v>
      </c>
    </row>
    <row r="10" spans="1:12" x14ac:dyDescent="0.25">
      <c r="A10" s="142" t="s">
        <v>12</v>
      </c>
      <c r="B10" s="143">
        <v>21</v>
      </c>
      <c r="C10" s="144">
        <v>106350</v>
      </c>
      <c r="D10" s="144">
        <v>139907.28571428571</v>
      </c>
      <c r="E10" s="141">
        <v>0.19047619047619047</v>
      </c>
    </row>
    <row r="11" spans="1:12" x14ac:dyDescent="0.25">
      <c r="A11" s="142" t="s">
        <v>8</v>
      </c>
      <c r="B11" s="143">
        <v>27</v>
      </c>
      <c r="C11" s="144">
        <v>148250</v>
      </c>
      <c r="D11" s="144">
        <v>129313.88888888889</v>
      </c>
      <c r="E11" s="141">
        <v>0.25925925925925924</v>
      </c>
    </row>
    <row r="12" spans="1:12" x14ac:dyDescent="0.25">
      <c r="A12" s="142" t="s">
        <v>14</v>
      </c>
      <c r="B12" s="143">
        <v>25</v>
      </c>
      <c r="C12" s="144">
        <v>151550</v>
      </c>
      <c r="D12" s="144">
        <v>113461.64</v>
      </c>
      <c r="E12" s="141">
        <v>0.32</v>
      </c>
    </row>
    <row r="13" spans="1:12" x14ac:dyDescent="0.25">
      <c r="A13" s="142" t="s">
        <v>11</v>
      </c>
      <c r="B13" s="143">
        <v>25</v>
      </c>
      <c r="C13" s="144">
        <v>126650</v>
      </c>
      <c r="D13" s="144">
        <v>131479.07999999999</v>
      </c>
      <c r="E13" s="141">
        <v>0.2</v>
      </c>
    </row>
    <row r="14" spans="1:12" x14ac:dyDescent="0.25">
      <c r="A14" s="139" t="s">
        <v>7</v>
      </c>
      <c r="B14" s="140"/>
      <c r="C14" s="140"/>
      <c r="D14" s="140"/>
      <c r="E14" s="141"/>
    </row>
    <row r="15" spans="1:12" x14ac:dyDescent="0.25">
      <c r="A15" s="142" t="s">
        <v>3</v>
      </c>
      <c r="B15" s="143">
        <v>29</v>
      </c>
      <c r="C15" s="144">
        <v>172400</v>
      </c>
      <c r="D15" s="144">
        <v>132462.27586206896</v>
      </c>
      <c r="E15" s="141">
        <v>0.34482758620689657</v>
      </c>
    </row>
    <row r="16" spans="1:12" x14ac:dyDescent="0.25">
      <c r="A16" s="142" t="s">
        <v>12</v>
      </c>
      <c r="B16" s="143">
        <v>26</v>
      </c>
      <c r="C16" s="144">
        <v>125300</v>
      </c>
      <c r="D16" s="144">
        <v>130150.07692307692</v>
      </c>
      <c r="E16" s="141">
        <v>0.19230769230769232</v>
      </c>
    </row>
    <row r="17" spans="1:5" x14ac:dyDescent="0.25">
      <c r="A17" s="142" t="s">
        <v>8</v>
      </c>
      <c r="B17" s="143">
        <v>26</v>
      </c>
      <c r="C17" s="144">
        <v>142350</v>
      </c>
      <c r="D17" s="144">
        <v>116854.30769230769</v>
      </c>
      <c r="E17" s="141">
        <v>0.30769230769230771</v>
      </c>
    </row>
    <row r="18" spans="1:5" x14ac:dyDescent="0.25">
      <c r="A18" s="142" t="s">
        <v>14</v>
      </c>
      <c r="B18" s="143">
        <v>35</v>
      </c>
      <c r="C18" s="144">
        <v>184400</v>
      </c>
      <c r="D18" s="144">
        <v>110408.22857142857</v>
      </c>
      <c r="E18" s="141">
        <v>0.22857142857142856</v>
      </c>
    </row>
    <row r="19" spans="1:5" x14ac:dyDescent="0.25">
      <c r="A19" s="142" t="s">
        <v>11</v>
      </c>
      <c r="B19" s="143">
        <v>24</v>
      </c>
      <c r="C19" s="144">
        <v>110200</v>
      </c>
      <c r="D19" s="144">
        <v>130166.625</v>
      </c>
      <c r="E19" s="141">
        <v>0.25</v>
      </c>
    </row>
    <row r="20" spans="1:5" x14ac:dyDescent="0.25">
      <c r="A20" s="139" t="s">
        <v>4</v>
      </c>
      <c r="B20" s="140"/>
      <c r="C20" s="140"/>
      <c r="D20" s="140"/>
      <c r="E20" s="141"/>
    </row>
    <row r="21" spans="1:5" x14ac:dyDescent="0.25">
      <c r="A21" s="142" t="s">
        <v>3</v>
      </c>
      <c r="B21" s="143">
        <v>24</v>
      </c>
      <c r="C21" s="144">
        <v>138850</v>
      </c>
      <c r="D21" s="144">
        <v>157452.20833333334</v>
      </c>
      <c r="E21" s="141">
        <v>0.25</v>
      </c>
    </row>
    <row r="22" spans="1:5" x14ac:dyDescent="0.25">
      <c r="A22" s="142" t="s">
        <v>12</v>
      </c>
      <c r="B22" s="143">
        <v>22</v>
      </c>
      <c r="C22" s="144">
        <v>100700</v>
      </c>
      <c r="D22" s="144">
        <v>147247.77272727274</v>
      </c>
      <c r="E22" s="141">
        <v>0.18181818181818182</v>
      </c>
    </row>
    <row r="23" spans="1:5" x14ac:dyDescent="0.25">
      <c r="A23" s="142" t="s">
        <v>8</v>
      </c>
      <c r="B23" s="143">
        <v>25</v>
      </c>
      <c r="C23" s="144">
        <v>128500</v>
      </c>
      <c r="D23" s="144">
        <v>132747.92000000001</v>
      </c>
      <c r="E23" s="141">
        <v>0.16</v>
      </c>
    </row>
    <row r="24" spans="1:5" x14ac:dyDescent="0.25">
      <c r="A24" s="142" t="s">
        <v>14</v>
      </c>
      <c r="B24" s="143">
        <v>24</v>
      </c>
      <c r="C24" s="144">
        <v>127050</v>
      </c>
      <c r="D24" s="144">
        <v>141647.95833333334</v>
      </c>
      <c r="E24" s="141">
        <v>0.29166666666666669</v>
      </c>
    </row>
    <row r="25" spans="1:5" x14ac:dyDescent="0.25">
      <c r="A25" s="142" t="s">
        <v>11</v>
      </c>
      <c r="B25" s="143">
        <v>27</v>
      </c>
      <c r="C25" s="144">
        <v>148800</v>
      </c>
      <c r="D25" s="144">
        <v>136706.88888888888</v>
      </c>
      <c r="E25" s="141">
        <v>0.22222222222222221</v>
      </c>
    </row>
    <row r="26" spans="1:5" x14ac:dyDescent="0.25">
      <c r="A26" s="145" t="s">
        <v>27</v>
      </c>
      <c r="B26" s="146">
        <v>492</v>
      </c>
      <c r="C26" s="147">
        <v>2583000</v>
      </c>
      <c r="D26" s="147">
        <v>130673.85365853658</v>
      </c>
      <c r="E26" s="148">
        <v>0.23373983739837398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4A2C-BD36-4854-8030-C6A78187E7FD}">
  <dimension ref="A1:K18"/>
  <sheetViews>
    <sheetView topLeftCell="A2" workbookViewId="0">
      <selection activeCell="K1048576" sqref="K1048576"/>
    </sheetView>
  </sheetViews>
  <sheetFormatPr defaultRowHeight="15" x14ac:dyDescent="0.25"/>
  <cols>
    <col min="1" max="1" width="15.42578125" bestFit="1" customWidth="1"/>
    <col min="2" max="2" width="16.85546875" bestFit="1" customWidth="1"/>
    <col min="3" max="5" width="10.5703125" bestFit="1" customWidth="1"/>
    <col min="6" max="6" width="11.28515625" bestFit="1" customWidth="1"/>
    <col min="7" max="10" width="10.28515625" bestFit="1" customWidth="1"/>
    <col min="11" max="11" width="12.140625" bestFit="1" customWidth="1"/>
    <col min="12" max="12" width="11.28515625" bestFit="1" customWidth="1"/>
  </cols>
  <sheetData>
    <row r="1" spans="1:11" x14ac:dyDescent="0.25">
      <c r="A1" s="2" t="s">
        <v>930</v>
      </c>
      <c r="B1" s="2" t="s">
        <v>28</v>
      </c>
    </row>
    <row r="2" spans="1:11" x14ac:dyDescent="0.25">
      <c r="A2" s="2" t="s">
        <v>26</v>
      </c>
      <c r="B2" t="s">
        <v>938</v>
      </c>
      <c r="C2" t="s">
        <v>940</v>
      </c>
      <c r="D2" t="s">
        <v>937</v>
      </c>
      <c r="E2" t="s">
        <v>939</v>
      </c>
      <c r="F2" t="s">
        <v>27</v>
      </c>
    </row>
    <row r="3" spans="1:11" x14ac:dyDescent="0.25">
      <c r="A3" s="3" t="s">
        <v>3</v>
      </c>
      <c r="B3" s="5">
        <v>-1914.1477272727279</v>
      </c>
      <c r="C3" s="5">
        <v>645.74603174600634</v>
      </c>
      <c r="D3" s="5">
        <v>-9131.4102564102504</v>
      </c>
      <c r="E3" s="5">
        <v>3400.909722222219</v>
      </c>
      <c r="F3" s="5">
        <v>13956.744206773627</v>
      </c>
    </row>
    <row r="4" spans="1:11" x14ac:dyDescent="0.25">
      <c r="A4" s="3" t="s">
        <v>12</v>
      </c>
      <c r="B4" s="5">
        <v>-3919.0833333333358</v>
      </c>
      <c r="C4" s="5">
        <v>-9621.3441558441555</v>
      </c>
      <c r="D4" s="5">
        <v>19018.75</v>
      </c>
      <c r="E4" s="5">
        <v>-6106.0649350649328</v>
      </c>
      <c r="F4" s="5">
        <v>2846.9302325581375</v>
      </c>
    </row>
    <row r="5" spans="1:11" x14ac:dyDescent="0.25">
      <c r="A5" s="3" t="s">
        <v>8</v>
      </c>
      <c r="B5" s="5">
        <v>-6200.5454545454559</v>
      </c>
      <c r="C5" s="5">
        <v>-5564.875</v>
      </c>
      <c r="D5" s="5">
        <v>-6024.0439560439554</v>
      </c>
      <c r="E5" s="5">
        <v>14464.78571428571</v>
      </c>
      <c r="F5" s="5">
        <v>7322.055744680838</v>
      </c>
    </row>
    <row r="6" spans="1:11" x14ac:dyDescent="0.25">
      <c r="A6" s="3" t="s">
        <v>14</v>
      </c>
      <c r="B6" s="5">
        <v>8647.8068181818162</v>
      </c>
      <c r="C6" s="5">
        <v>11512.288888888899</v>
      </c>
      <c r="D6" s="5">
        <v>-5826.5166666666773</v>
      </c>
      <c r="E6" s="5">
        <v>9911.4870129870251</v>
      </c>
      <c r="F6" s="5">
        <v>19986.900673400683</v>
      </c>
    </row>
    <row r="7" spans="1:11" x14ac:dyDescent="0.25">
      <c r="A7" s="3" t="s">
        <v>11</v>
      </c>
      <c r="B7" s="5">
        <v>3801.1500000000015</v>
      </c>
      <c r="C7" s="5">
        <v>-7848.4285714285797</v>
      </c>
      <c r="D7" s="5">
        <v>-259.25</v>
      </c>
      <c r="E7" s="5">
        <v>-3039.9807692307804</v>
      </c>
      <c r="F7" s="5">
        <v>14463.617582417588</v>
      </c>
    </row>
    <row r="8" spans="1:11" x14ac:dyDescent="0.25">
      <c r="A8" s="3" t="s">
        <v>27</v>
      </c>
      <c r="B8" s="5">
        <v>1441.7236154649945</v>
      </c>
      <c r="C8" s="5">
        <v>-2515.142191142193</v>
      </c>
      <c r="D8" s="5">
        <v>-1429.1763907733985</v>
      </c>
      <c r="E8" s="5">
        <v>3770.0924002187094</v>
      </c>
      <c r="F8" s="5">
        <v>12199.691105121296</v>
      </c>
    </row>
    <row r="10" spans="1:11" ht="15" customHeight="1" x14ac:dyDescent="0.25">
      <c r="A10" s="2" t="s">
        <v>931</v>
      </c>
      <c r="B10" s="2" t="s">
        <v>28</v>
      </c>
      <c r="D10" s="7"/>
      <c r="E10" s="56" t="s">
        <v>961</v>
      </c>
      <c r="F10" s="56"/>
      <c r="H10" t="s">
        <v>931</v>
      </c>
    </row>
    <row r="11" spans="1:11" x14ac:dyDescent="0.25">
      <c r="A11" s="2" t="s">
        <v>26</v>
      </c>
      <c r="B11" t="s">
        <v>23</v>
      </c>
      <c r="C11" t="s">
        <v>24</v>
      </c>
      <c r="D11" s="8" t="s">
        <v>963</v>
      </c>
      <c r="E11" s="56"/>
      <c r="F11" s="56"/>
      <c r="H11" t="s">
        <v>965</v>
      </c>
      <c r="I11" t="s">
        <v>23</v>
      </c>
      <c r="J11" t="s">
        <v>24</v>
      </c>
      <c r="K11" t="s">
        <v>963</v>
      </c>
    </row>
    <row r="12" spans="1:11" x14ac:dyDescent="0.25">
      <c r="A12" s="3" t="s">
        <v>938</v>
      </c>
      <c r="B12" s="4">
        <v>58605.621212121216</v>
      </c>
      <c r="C12" s="4">
        <v>60047.34482758621</v>
      </c>
      <c r="D12" s="4">
        <f>B12-C12</f>
        <v>-1441.7236154649945</v>
      </c>
      <c r="E12" s="56"/>
      <c r="F12" s="56"/>
      <c r="H12" t="s">
        <v>938</v>
      </c>
      <c r="I12">
        <v>62039.327272727271</v>
      </c>
      <c r="J12">
        <v>59809.779411764706</v>
      </c>
      <c r="K12">
        <v>2229.5478609625643</v>
      </c>
    </row>
    <row r="13" spans="1:11" x14ac:dyDescent="0.25">
      <c r="A13" s="3" t="s">
        <v>940</v>
      </c>
      <c r="B13" s="4">
        <v>206596.59090909091</v>
      </c>
      <c r="C13" s="4">
        <v>204081.44871794872</v>
      </c>
      <c r="D13" s="4">
        <f>B13-C13</f>
        <v>2515.142191142193</v>
      </c>
      <c r="E13" s="56"/>
      <c r="F13" s="56"/>
      <c r="H13" t="s">
        <v>940</v>
      </c>
      <c r="I13">
        <v>184793.39215686274</v>
      </c>
      <c r="J13">
        <v>187465.94366197183</v>
      </c>
      <c r="K13">
        <v>-2672.5515051090915</v>
      </c>
    </row>
    <row r="14" spans="1:11" x14ac:dyDescent="0.25">
      <c r="A14" s="3" t="s">
        <v>937</v>
      </c>
      <c r="B14" s="4">
        <v>106884.81818181818</v>
      </c>
      <c r="C14" s="4">
        <v>105455.64179104478</v>
      </c>
      <c r="D14" s="4">
        <f>B14-C14</f>
        <v>1429.1763907733985</v>
      </c>
      <c r="E14" s="56"/>
      <c r="F14" s="56"/>
      <c r="H14" t="s">
        <v>937</v>
      </c>
      <c r="I14">
        <v>95928.465517241377</v>
      </c>
      <c r="J14">
        <v>93651.092307692306</v>
      </c>
      <c r="K14">
        <v>2277.3732095490705</v>
      </c>
    </row>
    <row r="15" spans="1:11" x14ac:dyDescent="0.25">
      <c r="A15" s="3" t="s">
        <v>939</v>
      </c>
      <c r="B15" s="4">
        <v>151651.42372881356</v>
      </c>
      <c r="C15" s="4">
        <v>155421.51612903227</v>
      </c>
      <c r="D15" s="4">
        <f>B15-C15</f>
        <v>-3770.0924002187094</v>
      </c>
      <c r="E15" s="56"/>
      <c r="F15" s="56"/>
      <c r="H15" t="s">
        <v>939</v>
      </c>
      <c r="I15">
        <v>132606.51666666666</v>
      </c>
      <c r="J15">
        <v>131052.96721311475</v>
      </c>
      <c r="K15">
        <v>1553.5494535519101</v>
      </c>
    </row>
    <row r="16" spans="1:11" x14ac:dyDescent="0.25">
      <c r="A16" s="3" t="s">
        <v>27</v>
      </c>
      <c r="B16" s="4">
        <v>124037.14285714286</v>
      </c>
      <c r="C16" s="4">
        <v>136236.83396226415</v>
      </c>
      <c r="D16" s="10">
        <f>B16-C16</f>
        <v>-12199.691105121296</v>
      </c>
      <c r="E16" s="56"/>
      <c r="F16" s="56"/>
      <c r="H16" t="s">
        <v>27</v>
      </c>
      <c r="I16">
        <v>117664.58928571429</v>
      </c>
      <c r="J16">
        <v>118712.07169811321</v>
      </c>
      <c r="K16">
        <v>-1047.4824123989238</v>
      </c>
    </row>
    <row r="18" spans="1:1" ht="70.5" customHeight="1" x14ac:dyDescent="0.25">
      <c r="A18" s="9" t="s">
        <v>962</v>
      </c>
    </row>
  </sheetData>
  <mergeCells count="1">
    <mergeCell ref="E10:F16"/>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2F14-0415-4A33-A5AC-6A5D98F97B43}">
  <dimension ref="A1:D6"/>
  <sheetViews>
    <sheetView workbookViewId="0">
      <selection activeCell="K1048576" sqref="K1048576"/>
    </sheetView>
  </sheetViews>
  <sheetFormatPr defaultRowHeight="15" x14ac:dyDescent="0.25"/>
  <cols>
    <col min="1" max="1" width="21.85546875" bestFit="1" customWidth="1"/>
    <col min="2" max="2" width="25.42578125" bestFit="1" customWidth="1"/>
    <col min="3" max="3" width="28.28515625" bestFit="1" customWidth="1"/>
    <col min="4" max="4" width="24.140625" bestFit="1" customWidth="1"/>
    <col min="5" max="5" width="18.85546875" bestFit="1" customWidth="1"/>
    <col min="6" max="6" width="22" bestFit="1" customWidth="1"/>
    <col min="7" max="7" width="25.7109375" bestFit="1" customWidth="1"/>
    <col min="8" max="8" width="20.5703125" bestFit="1" customWidth="1"/>
  </cols>
  <sheetData>
    <row r="1" spans="1:4" x14ac:dyDescent="0.25">
      <c r="A1" t="s">
        <v>941</v>
      </c>
      <c r="B1" t="s">
        <v>942</v>
      </c>
      <c r="C1" t="s">
        <v>943</v>
      </c>
      <c r="D1" t="s">
        <v>944</v>
      </c>
    </row>
    <row r="2" spans="1:4" x14ac:dyDescent="0.25">
      <c r="A2" t="s">
        <v>11</v>
      </c>
      <c r="B2" t="s">
        <v>945</v>
      </c>
      <c r="C2" t="s">
        <v>946</v>
      </c>
      <c r="D2" t="s">
        <v>947</v>
      </c>
    </row>
    <row r="3" spans="1:4" x14ac:dyDescent="0.25">
      <c r="A3" t="s">
        <v>8</v>
      </c>
      <c r="B3" t="s">
        <v>948</v>
      </c>
      <c r="C3" t="s">
        <v>949</v>
      </c>
      <c r="D3" t="s">
        <v>950</v>
      </c>
    </row>
    <row r="4" spans="1:4" x14ac:dyDescent="0.25">
      <c r="A4" t="s">
        <v>14</v>
      </c>
      <c r="B4" t="s">
        <v>951</v>
      </c>
      <c r="C4" t="s">
        <v>952</v>
      </c>
      <c r="D4" t="s">
        <v>953</v>
      </c>
    </row>
    <row r="5" spans="1:4" x14ac:dyDescent="0.25">
      <c r="A5" t="s">
        <v>3</v>
      </c>
      <c r="B5" t="s">
        <v>954</v>
      </c>
      <c r="C5" t="s">
        <v>955</v>
      </c>
      <c r="D5" t="s">
        <v>956</v>
      </c>
    </row>
    <row r="6" spans="1:4" x14ac:dyDescent="0.25">
      <c r="A6" t="s">
        <v>12</v>
      </c>
      <c r="B6" t="s">
        <v>957</v>
      </c>
      <c r="C6" t="s">
        <v>958</v>
      </c>
      <c r="D6" t="s">
        <v>956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CEC7-7F44-44CE-9895-C30E8F400EAC}">
  <dimension ref="A1:M1"/>
  <sheetViews>
    <sheetView workbookViewId="0">
      <selection activeCell="K1048576" sqref="K1048576"/>
    </sheetView>
  </sheetViews>
  <sheetFormatPr defaultRowHeight="15" x14ac:dyDescent="0.25"/>
  <cols>
    <col min="1" max="1" width="14.7109375" bestFit="1" customWidth="1"/>
    <col min="2" max="2" width="12.28515625" bestFit="1" customWidth="1"/>
    <col min="3" max="3" width="10" bestFit="1" customWidth="1"/>
    <col min="4" max="4" width="14.140625" bestFit="1" customWidth="1"/>
    <col min="5" max="5" width="11" bestFit="1" customWidth="1"/>
    <col min="6" max="6" width="26.7109375" bestFit="1" customWidth="1"/>
    <col min="7" max="7" width="24.140625" bestFit="1" customWidth="1"/>
    <col min="8" max="8" width="15.85546875" bestFit="1" customWidth="1"/>
    <col min="9" max="9" width="20.42578125" bestFit="1" customWidth="1"/>
    <col min="10" max="10" width="16" bestFit="1" customWidth="1"/>
    <col min="11" max="11" width="12.5703125" bestFit="1" customWidth="1"/>
    <col min="12" max="12" width="25.42578125" bestFit="1" customWidth="1"/>
    <col min="13" max="13" width="28.28515625" bestFit="1" customWidth="1"/>
  </cols>
  <sheetData>
    <row r="1" spans="1:13" x14ac:dyDescent="0.25">
      <c r="A1" t="s">
        <v>29</v>
      </c>
      <c r="B1" t="s">
        <v>30</v>
      </c>
      <c r="C1" t="s">
        <v>22</v>
      </c>
      <c r="D1" t="s">
        <v>0</v>
      </c>
      <c r="E1" t="s">
        <v>1</v>
      </c>
      <c r="F1" t="s">
        <v>31</v>
      </c>
      <c r="G1" t="s">
        <v>2</v>
      </c>
      <c r="H1" t="s">
        <v>15</v>
      </c>
      <c r="I1" t="s">
        <v>32</v>
      </c>
      <c r="J1" t="s">
        <v>33</v>
      </c>
      <c r="K1" t="s">
        <v>933</v>
      </c>
      <c r="L1" t="s">
        <v>942</v>
      </c>
      <c r="M1" t="s">
        <v>943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905E-5CE8-451B-B8E4-2B3E6CC1E3BA}">
  <dimension ref="A1:T494"/>
  <sheetViews>
    <sheetView topLeftCell="B488" workbookViewId="0">
      <selection activeCell="E493" sqref="E493"/>
    </sheetView>
  </sheetViews>
  <sheetFormatPr defaultRowHeight="15" x14ac:dyDescent="0.25"/>
  <cols>
    <col min="1" max="1" width="14.7109375" bestFit="1" customWidth="1"/>
    <col min="2" max="2" width="28.5703125" bestFit="1" customWidth="1"/>
    <col min="3" max="3" width="12" bestFit="1" customWidth="1"/>
    <col min="4" max="4" width="14.140625" bestFit="1" customWidth="1"/>
    <col min="5" max="5" width="11" bestFit="1" customWidth="1"/>
    <col min="6" max="6" width="26.7109375" style="5" bestFit="1" customWidth="1"/>
    <col min="7" max="7" width="24.140625" bestFit="1" customWidth="1"/>
    <col min="8" max="8" width="15.85546875" bestFit="1" customWidth="1"/>
    <col min="9" max="9" width="20.42578125" bestFit="1" customWidth="1"/>
    <col min="10" max="10" width="20.28515625" bestFit="1" customWidth="1"/>
    <col min="11" max="11" width="12.5703125" bestFit="1" customWidth="1"/>
    <col min="12" max="12" width="25.42578125" bestFit="1" customWidth="1"/>
    <col min="13" max="13" width="28.28515625" bestFit="1" customWidth="1"/>
    <col min="14" max="14" width="20.28515625" customWidth="1"/>
    <col min="15" max="15" width="14.5703125" bestFit="1" customWidth="1"/>
    <col min="16" max="16" width="15.42578125" bestFit="1" customWidth="1"/>
    <col min="17" max="17" width="18" bestFit="1" customWidth="1"/>
    <col min="18" max="18" width="12.140625" bestFit="1" customWidth="1"/>
    <col min="20" max="20" width="24.140625" bestFit="1" customWidth="1"/>
  </cols>
  <sheetData>
    <row r="1" spans="1:20" x14ac:dyDescent="0.25">
      <c r="A1" t="s">
        <v>29</v>
      </c>
      <c r="B1" t="s">
        <v>30</v>
      </c>
      <c r="C1" t="s">
        <v>22</v>
      </c>
      <c r="D1" t="s">
        <v>0</v>
      </c>
      <c r="E1" t="s">
        <v>1</v>
      </c>
      <c r="F1" s="5" t="s">
        <v>31</v>
      </c>
      <c r="G1" t="s">
        <v>2</v>
      </c>
      <c r="H1" t="s">
        <v>15</v>
      </c>
      <c r="I1" t="s">
        <v>32</v>
      </c>
      <c r="J1" t="s">
        <v>33</v>
      </c>
      <c r="K1" t="s">
        <v>933</v>
      </c>
      <c r="L1" t="s">
        <v>942</v>
      </c>
      <c r="M1" t="s">
        <v>943</v>
      </c>
      <c r="O1" s="1" t="s">
        <v>935</v>
      </c>
      <c r="P1" s="6">
        <f>MIN(F:F)</f>
        <v>37116</v>
      </c>
      <c r="Q1" s="1" t="s">
        <v>936</v>
      </c>
      <c r="R1" s="6">
        <f>MAX(F:F)</f>
        <v>233215</v>
      </c>
      <c r="T1" s="33"/>
    </row>
    <row r="2" spans="1:20" x14ac:dyDescent="0.25">
      <c r="A2" t="s">
        <v>881</v>
      </c>
      <c r="B2" t="s">
        <v>882</v>
      </c>
      <c r="C2" t="s">
        <v>24</v>
      </c>
      <c r="D2" t="s">
        <v>8</v>
      </c>
      <c r="E2" t="s">
        <v>7</v>
      </c>
      <c r="F2" s="5">
        <v>99610</v>
      </c>
      <c r="G2" t="s">
        <v>16</v>
      </c>
      <c r="H2" t="s">
        <v>17</v>
      </c>
      <c r="I2" s="5">
        <v>6750</v>
      </c>
      <c r="J2" t="s">
        <v>20</v>
      </c>
      <c r="K2" t="s">
        <v>937</v>
      </c>
      <c r="L2" t="s">
        <v>948</v>
      </c>
      <c r="M2" t="s">
        <v>949</v>
      </c>
      <c r="O2" t="s">
        <v>934</v>
      </c>
      <c r="P2" s="6">
        <f>R1-P1</f>
        <v>196099</v>
      </c>
      <c r="T2" s="34"/>
    </row>
    <row r="3" spans="1:20" x14ac:dyDescent="0.25">
      <c r="A3" t="s">
        <v>418</v>
      </c>
      <c r="B3" t="s">
        <v>419</v>
      </c>
      <c r="C3" t="s">
        <v>24</v>
      </c>
      <c r="D3" t="s">
        <v>8</v>
      </c>
      <c r="E3" t="s">
        <v>9</v>
      </c>
      <c r="F3" s="5">
        <v>99367</v>
      </c>
      <c r="G3" t="s">
        <v>16</v>
      </c>
      <c r="H3" t="s">
        <v>17</v>
      </c>
      <c r="I3" s="5">
        <v>6750</v>
      </c>
      <c r="J3" t="s">
        <v>20</v>
      </c>
      <c r="K3" t="s">
        <v>937</v>
      </c>
      <c r="L3" t="s">
        <v>948</v>
      </c>
      <c r="M3" t="s">
        <v>949</v>
      </c>
      <c r="O3" t="s">
        <v>932</v>
      </c>
      <c r="P3" s="6">
        <f>_xlfn.QUARTILE.INC(Indian_Employee_Data[Monthly Base Salary (INR)],1) - _xlfn.QUARTILE.INC(Indian_Employee_Data[Monthly Base Salary (INR)],)</f>
        <v>45195.5</v>
      </c>
      <c r="T3" s="34"/>
    </row>
    <row r="4" spans="1:20" x14ac:dyDescent="0.25">
      <c r="A4" t="s">
        <v>305</v>
      </c>
      <c r="B4" t="s">
        <v>306</v>
      </c>
      <c r="C4" t="s">
        <v>24</v>
      </c>
      <c r="D4" t="s">
        <v>8</v>
      </c>
      <c r="E4" t="s">
        <v>7</v>
      </c>
      <c r="F4" s="5">
        <v>96746</v>
      </c>
      <c r="G4" t="s">
        <v>19</v>
      </c>
      <c r="H4" t="s">
        <v>17</v>
      </c>
      <c r="I4" s="5">
        <v>9000</v>
      </c>
      <c r="J4" t="s">
        <v>20</v>
      </c>
      <c r="K4" t="s">
        <v>937</v>
      </c>
      <c r="L4" t="s">
        <v>948</v>
      </c>
      <c r="M4" t="s">
        <v>949</v>
      </c>
      <c r="O4" s="1" t="s">
        <v>964</v>
      </c>
      <c r="P4" s="1" t="s">
        <v>966</v>
      </c>
      <c r="Q4" s="1" t="s">
        <v>967</v>
      </c>
      <c r="T4" s="34"/>
    </row>
    <row r="5" spans="1:20" x14ac:dyDescent="0.25">
      <c r="A5" t="s">
        <v>851</v>
      </c>
      <c r="B5" t="s">
        <v>852</v>
      </c>
      <c r="C5" t="s">
        <v>24</v>
      </c>
      <c r="D5" t="s">
        <v>8</v>
      </c>
      <c r="E5" t="s">
        <v>4</v>
      </c>
      <c r="F5" s="5">
        <v>98251</v>
      </c>
      <c r="G5" t="s">
        <v>19</v>
      </c>
      <c r="H5" t="s">
        <v>17</v>
      </c>
      <c r="I5" s="5">
        <v>9000</v>
      </c>
      <c r="J5" t="s">
        <v>20</v>
      </c>
      <c r="K5" t="s">
        <v>937</v>
      </c>
      <c r="L5" t="s">
        <v>948</v>
      </c>
      <c r="M5" t="s">
        <v>949</v>
      </c>
      <c r="P5" s="5">
        <f>_xlfn.QUARTILE.INC(Indian_Employee_Data[Monthly Base Salary (INR)],1) - (1.5*$P$3)</f>
        <v>14518.25</v>
      </c>
      <c r="Q5" s="5">
        <f>_xlfn.QUARTILE.INC(Indian_Employee_Data[Monthly Base Salary (INR)],3) - (1.5*$P$3)</f>
        <v>110957.25</v>
      </c>
      <c r="T5" s="34"/>
    </row>
    <row r="6" spans="1:20" x14ac:dyDescent="0.25">
      <c r="A6" t="s">
        <v>360</v>
      </c>
      <c r="B6" t="s">
        <v>361</v>
      </c>
      <c r="C6" t="s">
        <v>24</v>
      </c>
      <c r="D6" t="s">
        <v>14</v>
      </c>
      <c r="E6" t="s">
        <v>13</v>
      </c>
      <c r="F6" s="5">
        <v>101272</v>
      </c>
      <c r="G6" t="s">
        <v>16</v>
      </c>
      <c r="H6" t="s">
        <v>17</v>
      </c>
      <c r="I6" s="5">
        <v>6750</v>
      </c>
      <c r="J6" t="s">
        <v>20</v>
      </c>
      <c r="K6" t="s">
        <v>937</v>
      </c>
      <c r="L6" t="s">
        <v>951</v>
      </c>
      <c r="M6" t="s">
        <v>952</v>
      </c>
      <c r="P6" s="1" t="s">
        <v>969</v>
      </c>
      <c r="Q6" s="1" t="s">
        <v>968</v>
      </c>
      <c r="T6" s="34"/>
    </row>
    <row r="7" spans="1:20" x14ac:dyDescent="0.25">
      <c r="A7" t="s">
        <v>425</v>
      </c>
      <c r="B7" t="s">
        <v>426</v>
      </c>
      <c r="C7" t="s">
        <v>24</v>
      </c>
      <c r="D7" t="s">
        <v>3</v>
      </c>
      <c r="E7" t="s">
        <v>4</v>
      </c>
      <c r="F7" s="5">
        <v>100499</v>
      </c>
      <c r="G7" t="s">
        <v>16</v>
      </c>
      <c r="H7" t="s">
        <v>17</v>
      </c>
      <c r="I7" s="5">
        <v>6750</v>
      </c>
      <c r="J7" t="s">
        <v>20</v>
      </c>
      <c r="K7" t="s">
        <v>937</v>
      </c>
      <c r="L7" t="s">
        <v>954</v>
      </c>
      <c r="M7" t="s">
        <v>955</v>
      </c>
      <c r="T7" s="34"/>
    </row>
    <row r="8" spans="1:20" x14ac:dyDescent="0.25">
      <c r="A8" t="s">
        <v>872</v>
      </c>
      <c r="B8" t="s">
        <v>873</v>
      </c>
      <c r="C8" t="s">
        <v>24</v>
      </c>
      <c r="D8" t="s">
        <v>8</v>
      </c>
      <c r="E8" t="s">
        <v>7</v>
      </c>
      <c r="F8" s="5">
        <v>90404</v>
      </c>
      <c r="G8" t="s">
        <v>16</v>
      </c>
      <c r="H8" t="s">
        <v>17</v>
      </c>
      <c r="I8" s="5">
        <v>6750</v>
      </c>
      <c r="J8" t="s">
        <v>20</v>
      </c>
      <c r="K8" t="s">
        <v>937</v>
      </c>
      <c r="L8" t="s">
        <v>948</v>
      </c>
      <c r="M8" t="s">
        <v>949</v>
      </c>
      <c r="T8" s="34"/>
    </row>
    <row r="9" spans="1:20" x14ac:dyDescent="0.25">
      <c r="A9" t="s">
        <v>290</v>
      </c>
      <c r="B9" t="s">
        <v>291</v>
      </c>
      <c r="C9" t="s">
        <v>24</v>
      </c>
      <c r="D9" t="s">
        <v>3</v>
      </c>
      <c r="E9" t="s">
        <v>9</v>
      </c>
      <c r="F9" s="5">
        <v>105546</v>
      </c>
      <c r="G9" t="s">
        <v>16</v>
      </c>
      <c r="H9" t="s">
        <v>17</v>
      </c>
      <c r="I9" s="5">
        <v>6750</v>
      </c>
      <c r="J9" t="s">
        <v>20</v>
      </c>
      <c r="K9" t="s">
        <v>937</v>
      </c>
      <c r="L9" t="s">
        <v>954</v>
      </c>
      <c r="M9" t="s">
        <v>955</v>
      </c>
      <c r="T9" s="34"/>
    </row>
    <row r="10" spans="1:20" x14ac:dyDescent="0.25">
      <c r="A10" t="s">
        <v>834</v>
      </c>
      <c r="B10" t="s">
        <v>835</v>
      </c>
      <c r="C10" t="s">
        <v>24</v>
      </c>
      <c r="D10" t="s">
        <v>12</v>
      </c>
      <c r="E10" t="s">
        <v>7</v>
      </c>
      <c r="F10" s="5">
        <v>90364</v>
      </c>
      <c r="G10" t="s">
        <v>19</v>
      </c>
      <c r="H10" t="s">
        <v>17</v>
      </c>
      <c r="I10" s="5">
        <v>9000</v>
      </c>
      <c r="J10" t="s">
        <v>20</v>
      </c>
      <c r="K10" t="s">
        <v>937</v>
      </c>
      <c r="L10" t="s">
        <v>957</v>
      </c>
      <c r="M10" t="s">
        <v>958</v>
      </c>
      <c r="T10" s="34"/>
    </row>
    <row r="11" spans="1:20" x14ac:dyDescent="0.25">
      <c r="A11" t="s">
        <v>354</v>
      </c>
      <c r="B11" t="s">
        <v>355</v>
      </c>
      <c r="C11" t="s">
        <v>24</v>
      </c>
      <c r="D11" t="s">
        <v>8</v>
      </c>
      <c r="E11" t="s">
        <v>7</v>
      </c>
      <c r="F11" s="5">
        <v>92434</v>
      </c>
      <c r="G11" t="s">
        <v>19</v>
      </c>
      <c r="H11" t="s">
        <v>17</v>
      </c>
      <c r="I11" s="5">
        <v>9000</v>
      </c>
      <c r="J11" t="s">
        <v>20</v>
      </c>
      <c r="K11" t="s">
        <v>937</v>
      </c>
      <c r="L11" t="s">
        <v>948</v>
      </c>
      <c r="M11" t="s">
        <v>949</v>
      </c>
      <c r="T11" s="34"/>
    </row>
    <row r="12" spans="1:20" x14ac:dyDescent="0.25">
      <c r="A12" t="s">
        <v>269</v>
      </c>
      <c r="B12" t="s">
        <v>270</v>
      </c>
      <c r="C12" t="s">
        <v>24</v>
      </c>
      <c r="D12" t="s">
        <v>11</v>
      </c>
      <c r="E12" t="s">
        <v>7</v>
      </c>
      <c r="F12" s="5">
        <v>92813</v>
      </c>
      <c r="G12" t="s">
        <v>19</v>
      </c>
      <c r="H12" t="s">
        <v>17</v>
      </c>
      <c r="I12" s="5">
        <v>9000</v>
      </c>
      <c r="J12" t="s">
        <v>20</v>
      </c>
      <c r="K12" t="s">
        <v>937</v>
      </c>
      <c r="L12" t="s">
        <v>945</v>
      </c>
      <c r="M12" t="s">
        <v>946</v>
      </c>
      <c r="T12" s="34"/>
    </row>
    <row r="13" spans="1:20" x14ac:dyDescent="0.25">
      <c r="A13" t="s">
        <v>395</v>
      </c>
      <c r="B13" t="s">
        <v>396</v>
      </c>
      <c r="C13" t="s">
        <v>24</v>
      </c>
      <c r="D13" t="s">
        <v>12</v>
      </c>
      <c r="E13" t="s">
        <v>7</v>
      </c>
      <c r="F13" s="5">
        <v>106272</v>
      </c>
      <c r="G13" t="s">
        <v>16</v>
      </c>
      <c r="H13" t="s">
        <v>17</v>
      </c>
      <c r="I13" s="5">
        <v>6750</v>
      </c>
      <c r="J13" t="s">
        <v>20</v>
      </c>
      <c r="K13" t="s">
        <v>937</v>
      </c>
      <c r="L13" t="s">
        <v>957</v>
      </c>
      <c r="M13" t="s">
        <v>958</v>
      </c>
      <c r="T13" s="34"/>
    </row>
    <row r="14" spans="1:20" x14ac:dyDescent="0.25">
      <c r="A14" t="s">
        <v>340</v>
      </c>
      <c r="B14" t="s">
        <v>341</v>
      </c>
      <c r="C14" t="s">
        <v>24</v>
      </c>
      <c r="D14" t="s">
        <v>14</v>
      </c>
      <c r="E14" t="s">
        <v>7</v>
      </c>
      <c r="F14" s="5">
        <v>116159</v>
      </c>
      <c r="G14" t="s">
        <v>16</v>
      </c>
      <c r="H14" t="s">
        <v>17</v>
      </c>
      <c r="I14" s="5">
        <v>6750</v>
      </c>
      <c r="J14" t="s">
        <v>20</v>
      </c>
      <c r="K14" t="s">
        <v>937</v>
      </c>
      <c r="L14" t="s">
        <v>951</v>
      </c>
      <c r="M14" t="s">
        <v>952</v>
      </c>
      <c r="T14" s="34"/>
    </row>
    <row r="15" spans="1:20" x14ac:dyDescent="0.25">
      <c r="A15" t="s">
        <v>267</v>
      </c>
      <c r="B15" t="s">
        <v>268</v>
      </c>
      <c r="C15" t="s">
        <v>24</v>
      </c>
      <c r="D15" t="s">
        <v>12</v>
      </c>
      <c r="E15" t="s">
        <v>9</v>
      </c>
      <c r="F15" s="5">
        <v>116677</v>
      </c>
      <c r="G15" t="s">
        <v>19</v>
      </c>
      <c r="H15" t="s">
        <v>17</v>
      </c>
      <c r="I15" s="5">
        <v>9000</v>
      </c>
      <c r="J15" t="s">
        <v>20</v>
      </c>
      <c r="K15" t="s">
        <v>937</v>
      </c>
      <c r="L15" t="s">
        <v>957</v>
      </c>
      <c r="M15" t="s">
        <v>958</v>
      </c>
      <c r="T15" s="34"/>
    </row>
    <row r="16" spans="1:20" x14ac:dyDescent="0.25">
      <c r="A16" t="s">
        <v>883</v>
      </c>
      <c r="B16" t="s">
        <v>884</v>
      </c>
      <c r="C16" t="s">
        <v>24</v>
      </c>
      <c r="D16" t="s">
        <v>8</v>
      </c>
      <c r="E16" t="s">
        <v>7</v>
      </c>
      <c r="F16" s="5">
        <v>116757</v>
      </c>
      <c r="G16" t="s">
        <v>16</v>
      </c>
      <c r="H16" t="s">
        <v>17</v>
      </c>
      <c r="I16" s="5">
        <v>6750</v>
      </c>
      <c r="J16" t="s">
        <v>20</v>
      </c>
      <c r="K16" t="s">
        <v>937</v>
      </c>
      <c r="L16" t="s">
        <v>948</v>
      </c>
      <c r="M16" t="s">
        <v>949</v>
      </c>
      <c r="T16" s="34"/>
    </row>
    <row r="17" spans="1:20" x14ac:dyDescent="0.25">
      <c r="A17" t="s">
        <v>370</v>
      </c>
      <c r="B17" t="s">
        <v>371</v>
      </c>
      <c r="C17" t="s">
        <v>24</v>
      </c>
      <c r="D17" t="s">
        <v>14</v>
      </c>
      <c r="E17" t="s">
        <v>9</v>
      </c>
      <c r="F17" s="5">
        <v>117422</v>
      </c>
      <c r="G17" t="s">
        <v>19</v>
      </c>
      <c r="H17" t="s">
        <v>17</v>
      </c>
      <c r="I17" s="5">
        <v>9000</v>
      </c>
      <c r="J17" t="s">
        <v>20</v>
      </c>
      <c r="K17" t="s">
        <v>937</v>
      </c>
      <c r="L17" t="s">
        <v>951</v>
      </c>
      <c r="M17" t="s">
        <v>952</v>
      </c>
      <c r="T17" s="34"/>
    </row>
    <row r="18" spans="1:20" x14ac:dyDescent="0.25">
      <c r="A18" t="s">
        <v>393</v>
      </c>
      <c r="B18" t="s">
        <v>394</v>
      </c>
      <c r="C18" t="s">
        <v>24</v>
      </c>
      <c r="D18" t="s">
        <v>3</v>
      </c>
      <c r="E18" t="s">
        <v>9</v>
      </c>
      <c r="F18" s="5">
        <v>89082</v>
      </c>
      <c r="G18" t="s">
        <v>19</v>
      </c>
      <c r="H18" t="s">
        <v>17</v>
      </c>
      <c r="I18" s="5">
        <v>9000</v>
      </c>
      <c r="J18" t="s">
        <v>20</v>
      </c>
      <c r="K18" t="s">
        <v>937</v>
      </c>
      <c r="L18" t="s">
        <v>954</v>
      </c>
      <c r="M18" t="s">
        <v>955</v>
      </c>
      <c r="T18" s="34"/>
    </row>
    <row r="19" spans="1:20" x14ac:dyDescent="0.25">
      <c r="A19" t="s">
        <v>336</v>
      </c>
      <c r="B19" t="s">
        <v>337</v>
      </c>
      <c r="C19" t="s">
        <v>24</v>
      </c>
      <c r="D19" t="s">
        <v>3</v>
      </c>
      <c r="E19" t="s">
        <v>9</v>
      </c>
      <c r="F19" s="5">
        <v>115045</v>
      </c>
      <c r="G19" t="s">
        <v>16</v>
      </c>
      <c r="H19" t="s">
        <v>17</v>
      </c>
      <c r="I19" s="5">
        <v>6750</v>
      </c>
      <c r="J19" t="s">
        <v>20</v>
      </c>
      <c r="K19" t="s">
        <v>937</v>
      </c>
      <c r="L19" t="s">
        <v>954</v>
      </c>
      <c r="M19" t="s">
        <v>955</v>
      </c>
      <c r="T19" s="34"/>
    </row>
    <row r="20" spans="1:20" x14ac:dyDescent="0.25">
      <c r="A20" t="s">
        <v>350</v>
      </c>
      <c r="B20" t="s">
        <v>351</v>
      </c>
      <c r="C20" t="s">
        <v>24</v>
      </c>
      <c r="D20" t="s">
        <v>8</v>
      </c>
      <c r="E20" t="s">
        <v>4</v>
      </c>
      <c r="F20" s="5">
        <v>119539</v>
      </c>
      <c r="G20" t="s">
        <v>16</v>
      </c>
      <c r="H20" t="s">
        <v>17</v>
      </c>
      <c r="I20" s="5">
        <v>6750</v>
      </c>
      <c r="J20" t="s">
        <v>20</v>
      </c>
      <c r="K20" t="s">
        <v>937</v>
      </c>
      <c r="L20" t="s">
        <v>948</v>
      </c>
      <c r="M20" t="s">
        <v>949</v>
      </c>
      <c r="T20" s="34"/>
    </row>
    <row r="21" spans="1:20" x14ac:dyDescent="0.25">
      <c r="A21" t="s">
        <v>352</v>
      </c>
      <c r="B21" t="s">
        <v>353</v>
      </c>
      <c r="C21" t="s">
        <v>24</v>
      </c>
      <c r="D21" t="s">
        <v>12</v>
      </c>
      <c r="E21" t="s">
        <v>4</v>
      </c>
      <c r="F21" s="5">
        <v>114043</v>
      </c>
      <c r="G21" t="s">
        <v>16</v>
      </c>
      <c r="H21" t="s">
        <v>17</v>
      </c>
      <c r="I21" s="5">
        <v>6750</v>
      </c>
      <c r="J21" t="s">
        <v>20</v>
      </c>
      <c r="K21" t="s">
        <v>937</v>
      </c>
      <c r="L21" t="s">
        <v>957</v>
      </c>
      <c r="M21" t="s">
        <v>958</v>
      </c>
      <c r="T21" s="34"/>
    </row>
    <row r="22" spans="1:20" x14ac:dyDescent="0.25">
      <c r="A22" t="s">
        <v>275</v>
      </c>
      <c r="B22" t="s">
        <v>276</v>
      </c>
      <c r="C22" t="s">
        <v>24</v>
      </c>
      <c r="D22" t="s">
        <v>3</v>
      </c>
      <c r="E22" t="s">
        <v>4</v>
      </c>
      <c r="F22" s="5">
        <v>107321</v>
      </c>
      <c r="G22" t="s">
        <v>19</v>
      </c>
      <c r="H22" t="s">
        <v>17</v>
      </c>
      <c r="I22" s="5">
        <v>9000</v>
      </c>
      <c r="J22" t="s">
        <v>20</v>
      </c>
      <c r="K22" t="s">
        <v>937</v>
      </c>
      <c r="L22" t="s">
        <v>954</v>
      </c>
      <c r="M22" t="s">
        <v>955</v>
      </c>
      <c r="T22" s="34"/>
    </row>
    <row r="23" spans="1:20" x14ac:dyDescent="0.25">
      <c r="A23" t="s">
        <v>368</v>
      </c>
      <c r="B23" t="s">
        <v>369</v>
      </c>
      <c r="C23" t="s">
        <v>24</v>
      </c>
      <c r="D23" t="s">
        <v>14</v>
      </c>
      <c r="E23" t="s">
        <v>9</v>
      </c>
      <c r="F23" s="5">
        <v>108209</v>
      </c>
      <c r="G23" t="s">
        <v>19</v>
      </c>
      <c r="H23" t="s">
        <v>17</v>
      </c>
      <c r="I23" s="5">
        <v>9000</v>
      </c>
      <c r="J23" t="s">
        <v>20</v>
      </c>
      <c r="K23" t="s">
        <v>937</v>
      </c>
      <c r="L23" t="s">
        <v>951</v>
      </c>
      <c r="M23" t="s">
        <v>952</v>
      </c>
      <c r="T23" s="34"/>
    </row>
    <row r="24" spans="1:20" x14ac:dyDescent="0.25">
      <c r="A24" t="s">
        <v>380</v>
      </c>
      <c r="B24" t="s">
        <v>381</v>
      </c>
      <c r="C24" t="s">
        <v>24</v>
      </c>
      <c r="D24" t="s">
        <v>3</v>
      </c>
      <c r="E24" t="s">
        <v>13</v>
      </c>
      <c r="F24" s="5">
        <v>113252</v>
      </c>
      <c r="G24" t="s">
        <v>19</v>
      </c>
      <c r="H24" t="s">
        <v>17</v>
      </c>
      <c r="I24" s="5">
        <v>9000</v>
      </c>
      <c r="J24" t="s">
        <v>20</v>
      </c>
      <c r="K24" t="s">
        <v>937</v>
      </c>
      <c r="L24" t="s">
        <v>954</v>
      </c>
      <c r="M24" t="s">
        <v>955</v>
      </c>
      <c r="T24" s="34"/>
    </row>
    <row r="25" spans="1:20" x14ac:dyDescent="0.25">
      <c r="A25" t="s">
        <v>408</v>
      </c>
      <c r="B25" t="s">
        <v>409</v>
      </c>
      <c r="C25" t="s">
        <v>24</v>
      </c>
      <c r="D25" t="s">
        <v>11</v>
      </c>
      <c r="E25" t="s">
        <v>13</v>
      </c>
      <c r="F25" s="5">
        <v>113917</v>
      </c>
      <c r="G25" t="s">
        <v>19</v>
      </c>
      <c r="H25" t="s">
        <v>17</v>
      </c>
      <c r="I25" s="5">
        <v>9000</v>
      </c>
      <c r="J25" t="s">
        <v>20</v>
      </c>
      <c r="K25" t="s">
        <v>937</v>
      </c>
      <c r="L25" t="s">
        <v>945</v>
      </c>
      <c r="M25" t="s">
        <v>946</v>
      </c>
      <c r="T25" s="34"/>
    </row>
    <row r="26" spans="1:20" x14ac:dyDescent="0.25">
      <c r="A26" t="s">
        <v>330</v>
      </c>
      <c r="B26" t="s">
        <v>331</v>
      </c>
      <c r="C26" t="s">
        <v>24</v>
      </c>
      <c r="D26" t="s">
        <v>11</v>
      </c>
      <c r="E26" t="s">
        <v>4</v>
      </c>
      <c r="F26" s="5">
        <v>88976</v>
      </c>
      <c r="G26" t="s">
        <v>19</v>
      </c>
      <c r="H26" t="s">
        <v>17</v>
      </c>
      <c r="I26" s="5">
        <v>9000</v>
      </c>
      <c r="J26" t="s">
        <v>20</v>
      </c>
      <c r="K26" t="s">
        <v>937</v>
      </c>
      <c r="L26" t="s">
        <v>945</v>
      </c>
      <c r="M26" t="s">
        <v>946</v>
      </c>
      <c r="T26" s="34"/>
    </row>
    <row r="27" spans="1:20" x14ac:dyDescent="0.25">
      <c r="A27" t="s">
        <v>283</v>
      </c>
      <c r="B27" t="s">
        <v>241</v>
      </c>
      <c r="C27" t="s">
        <v>24</v>
      </c>
      <c r="D27" t="s">
        <v>3</v>
      </c>
      <c r="E27" t="s">
        <v>9</v>
      </c>
      <c r="F27" s="5">
        <v>59661</v>
      </c>
      <c r="G27" t="s">
        <v>19</v>
      </c>
      <c r="H27" t="s">
        <v>17</v>
      </c>
      <c r="I27" s="5">
        <v>9000</v>
      </c>
      <c r="J27" t="s">
        <v>20</v>
      </c>
      <c r="K27" t="s">
        <v>938</v>
      </c>
      <c r="L27" t="s">
        <v>954</v>
      </c>
      <c r="M27" t="s">
        <v>955</v>
      </c>
      <c r="T27" s="34"/>
    </row>
    <row r="28" spans="1:20" x14ac:dyDescent="0.25">
      <c r="A28" t="s">
        <v>391</v>
      </c>
      <c r="B28" t="s">
        <v>392</v>
      </c>
      <c r="C28" t="s">
        <v>24</v>
      </c>
      <c r="D28" t="s">
        <v>11</v>
      </c>
      <c r="E28" t="s">
        <v>9</v>
      </c>
      <c r="F28" s="5">
        <v>61975</v>
      </c>
      <c r="G28" t="s">
        <v>19</v>
      </c>
      <c r="H28" t="s">
        <v>17</v>
      </c>
      <c r="I28" s="5">
        <v>9000</v>
      </c>
      <c r="J28" t="s">
        <v>20</v>
      </c>
      <c r="K28" t="s">
        <v>938</v>
      </c>
      <c r="L28" t="s">
        <v>945</v>
      </c>
      <c r="M28" t="s">
        <v>946</v>
      </c>
      <c r="T28" s="34"/>
    </row>
    <row r="29" spans="1:20" x14ac:dyDescent="0.25">
      <c r="A29" t="s">
        <v>301</v>
      </c>
      <c r="B29" t="s">
        <v>302</v>
      </c>
      <c r="C29" t="s">
        <v>24</v>
      </c>
      <c r="D29" t="s">
        <v>8</v>
      </c>
      <c r="E29" t="s">
        <v>4</v>
      </c>
      <c r="F29" s="5">
        <v>65636</v>
      </c>
      <c r="G29" t="s">
        <v>16</v>
      </c>
      <c r="H29" t="s">
        <v>17</v>
      </c>
      <c r="I29" s="5">
        <v>6750</v>
      </c>
      <c r="J29" t="s">
        <v>20</v>
      </c>
      <c r="K29" t="s">
        <v>938</v>
      </c>
      <c r="L29" t="s">
        <v>948</v>
      </c>
      <c r="M29" t="s">
        <v>949</v>
      </c>
      <c r="T29" s="34"/>
    </row>
    <row r="30" spans="1:20" x14ac:dyDescent="0.25">
      <c r="A30" t="s">
        <v>277</v>
      </c>
      <c r="B30" t="s">
        <v>278</v>
      </c>
      <c r="C30" t="s">
        <v>24</v>
      </c>
      <c r="D30" t="s">
        <v>14</v>
      </c>
      <c r="E30" t="s">
        <v>7</v>
      </c>
      <c r="F30" s="5">
        <v>57988</v>
      </c>
      <c r="G30" t="s">
        <v>19</v>
      </c>
      <c r="H30" t="s">
        <v>17</v>
      </c>
      <c r="I30" s="5">
        <v>9000</v>
      </c>
      <c r="J30" t="s">
        <v>20</v>
      </c>
      <c r="K30" t="s">
        <v>938</v>
      </c>
      <c r="L30" t="s">
        <v>951</v>
      </c>
      <c r="M30" t="s">
        <v>952</v>
      </c>
      <c r="T30" s="34"/>
    </row>
    <row r="31" spans="1:20" x14ac:dyDescent="0.25">
      <c r="A31" t="s">
        <v>855</v>
      </c>
      <c r="B31" t="s">
        <v>496</v>
      </c>
      <c r="C31" t="s">
        <v>24</v>
      </c>
      <c r="D31" t="s">
        <v>3</v>
      </c>
      <c r="E31" t="s">
        <v>7</v>
      </c>
      <c r="F31" s="5">
        <v>57445</v>
      </c>
      <c r="G31" t="s">
        <v>16</v>
      </c>
      <c r="H31" t="s">
        <v>17</v>
      </c>
      <c r="I31" s="5">
        <v>6750</v>
      </c>
      <c r="J31" t="s">
        <v>20</v>
      </c>
      <c r="K31" t="s">
        <v>938</v>
      </c>
      <c r="L31" t="s">
        <v>954</v>
      </c>
      <c r="M31" t="s">
        <v>955</v>
      </c>
      <c r="T31" s="34"/>
    </row>
    <row r="32" spans="1:20" x14ac:dyDescent="0.25">
      <c r="A32" t="s">
        <v>366</v>
      </c>
      <c r="B32" t="s">
        <v>367</v>
      </c>
      <c r="C32" t="s">
        <v>24</v>
      </c>
      <c r="D32" t="s">
        <v>14</v>
      </c>
      <c r="E32" t="s">
        <v>9</v>
      </c>
      <c r="F32" s="5">
        <v>50122</v>
      </c>
      <c r="G32" t="s">
        <v>16</v>
      </c>
      <c r="H32" t="s">
        <v>17</v>
      </c>
      <c r="I32" s="5">
        <v>6750</v>
      </c>
      <c r="J32" t="s">
        <v>20</v>
      </c>
      <c r="K32" t="s">
        <v>938</v>
      </c>
      <c r="L32" t="s">
        <v>951</v>
      </c>
      <c r="M32" t="s">
        <v>952</v>
      </c>
      <c r="T32" s="34"/>
    </row>
    <row r="33" spans="1:20" x14ac:dyDescent="0.25">
      <c r="A33" t="s">
        <v>856</v>
      </c>
      <c r="B33" t="s">
        <v>857</v>
      </c>
      <c r="C33" t="s">
        <v>24</v>
      </c>
      <c r="D33" t="s">
        <v>11</v>
      </c>
      <c r="E33" t="s">
        <v>13</v>
      </c>
      <c r="F33" s="5">
        <v>54284</v>
      </c>
      <c r="G33" t="s">
        <v>16</v>
      </c>
      <c r="H33" t="s">
        <v>17</v>
      </c>
      <c r="I33" s="5">
        <v>6750</v>
      </c>
      <c r="J33" t="s">
        <v>20</v>
      </c>
      <c r="K33" t="s">
        <v>938</v>
      </c>
      <c r="L33" t="s">
        <v>945</v>
      </c>
      <c r="M33" t="s">
        <v>946</v>
      </c>
      <c r="T33" s="34"/>
    </row>
    <row r="34" spans="1:20" x14ac:dyDescent="0.25">
      <c r="A34" t="s">
        <v>376</v>
      </c>
      <c r="B34" t="s">
        <v>377</v>
      </c>
      <c r="C34" t="s">
        <v>24</v>
      </c>
      <c r="D34" t="s">
        <v>8</v>
      </c>
      <c r="E34" t="s">
        <v>7</v>
      </c>
      <c r="F34" s="5">
        <v>54648</v>
      </c>
      <c r="G34" t="s">
        <v>19</v>
      </c>
      <c r="H34" t="s">
        <v>17</v>
      </c>
      <c r="I34" s="5">
        <v>9000</v>
      </c>
      <c r="J34" t="s">
        <v>20</v>
      </c>
      <c r="K34" t="s">
        <v>938</v>
      </c>
      <c r="L34" t="s">
        <v>948</v>
      </c>
      <c r="M34" t="s">
        <v>949</v>
      </c>
      <c r="T34" s="34"/>
    </row>
    <row r="35" spans="1:20" x14ac:dyDescent="0.25">
      <c r="A35" t="s">
        <v>292</v>
      </c>
      <c r="B35" t="s">
        <v>293</v>
      </c>
      <c r="C35" t="s">
        <v>24</v>
      </c>
      <c r="D35" t="s">
        <v>14</v>
      </c>
      <c r="E35" t="s">
        <v>4</v>
      </c>
      <c r="F35" s="5">
        <v>57220</v>
      </c>
      <c r="G35" t="s">
        <v>16</v>
      </c>
      <c r="H35" t="s">
        <v>17</v>
      </c>
      <c r="I35" s="5">
        <v>6750</v>
      </c>
      <c r="J35" t="s">
        <v>20</v>
      </c>
      <c r="K35" t="s">
        <v>938</v>
      </c>
      <c r="L35" t="s">
        <v>951</v>
      </c>
      <c r="M35" t="s">
        <v>952</v>
      </c>
      <c r="T35" s="34"/>
    </row>
    <row r="36" spans="1:20" x14ac:dyDescent="0.25">
      <c r="A36" t="s">
        <v>387</v>
      </c>
      <c r="B36" t="s">
        <v>388</v>
      </c>
      <c r="C36" t="s">
        <v>24</v>
      </c>
      <c r="D36" t="s">
        <v>8</v>
      </c>
      <c r="E36" t="s">
        <v>7</v>
      </c>
      <c r="F36" s="5">
        <v>66594</v>
      </c>
      <c r="G36" t="s">
        <v>19</v>
      </c>
      <c r="H36" t="s">
        <v>17</v>
      </c>
      <c r="I36" s="5">
        <v>9000</v>
      </c>
      <c r="J36" t="s">
        <v>20</v>
      </c>
      <c r="K36" t="s">
        <v>938</v>
      </c>
      <c r="L36" t="s">
        <v>948</v>
      </c>
      <c r="M36" t="s">
        <v>949</v>
      </c>
      <c r="T36" s="34"/>
    </row>
    <row r="37" spans="1:20" x14ac:dyDescent="0.25">
      <c r="A37" t="s">
        <v>397</v>
      </c>
      <c r="B37" t="s">
        <v>81</v>
      </c>
      <c r="C37" t="s">
        <v>24</v>
      </c>
      <c r="D37" t="s">
        <v>11</v>
      </c>
      <c r="E37" t="s">
        <v>7</v>
      </c>
      <c r="F37" s="5">
        <v>81837</v>
      </c>
      <c r="G37" t="s">
        <v>19</v>
      </c>
      <c r="H37" t="s">
        <v>17</v>
      </c>
      <c r="I37" s="5">
        <v>9000</v>
      </c>
      <c r="J37" t="s">
        <v>20</v>
      </c>
      <c r="K37" t="s">
        <v>938</v>
      </c>
      <c r="L37" t="s">
        <v>945</v>
      </c>
      <c r="M37" t="s">
        <v>946</v>
      </c>
      <c r="T37" s="34"/>
    </row>
    <row r="38" spans="1:20" x14ac:dyDescent="0.25">
      <c r="A38" t="s">
        <v>891</v>
      </c>
      <c r="B38" t="s">
        <v>892</v>
      </c>
      <c r="C38" t="s">
        <v>24</v>
      </c>
      <c r="D38" t="s">
        <v>14</v>
      </c>
      <c r="E38" t="s">
        <v>13</v>
      </c>
      <c r="F38" s="5">
        <v>79575</v>
      </c>
      <c r="G38" t="s">
        <v>19</v>
      </c>
      <c r="H38" t="s">
        <v>17</v>
      </c>
      <c r="I38" s="5">
        <v>9000</v>
      </c>
      <c r="J38" t="s">
        <v>20</v>
      </c>
      <c r="K38" t="s">
        <v>938</v>
      </c>
      <c r="L38" t="s">
        <v>951</v>
      </c>
      <c r="M38" t="s">
        <v>952</v>
      </c>
      <c r="T38" s="34"/>
    </row>
    <row r="39" spans="1:20" x14ac:dyDescent="0.25">
      <c r="A39" t="s">
        <v>863</v>
      </c>
      <c r="B39" t="s">
        <v>302</v>
      </c>
      <c r="C39" t="s">
        <v>24</v>
      </c>
      <c r="D39" t="s">
        <v>14</v>
      </c>
      <c r="E39" t="s">
        <v>9</v>
      </c>
      <c r="F39" s="5">
        <v>83408</v>
      </c>
      <c r="G39" t="s">
        <v>16</v>
      </c>
      <c r="H39" t="s">
        <v>17</v>
      </c>
      <c r="I39" s="5">
        <v>6750</v>
      </c>
      <c r="J39" t="s">
        <v>20</v>
      </c>
      <c r="K39" t="s">
        <v>937</v>
      </c>
      <c r="L39" t="s">
        <v>951</v>
      </c>
      <c r="M39" t="s">
        <v>952</v>
      </c>
      <c r="T39" s="34"/>
    </row>
    <row r="40" spans="1:20" x14ac:dyDescent="0.25">
      <c r="A40" t="s">
        <v>356</v>
      </c>
      <c r="B40" t="s">
        <v>357</v>
      </c>
      <c r="C40" t="s">
        <v>24</v>
      </c>
      <c r="D40" t="s">
        <v>3</v>
      </c>
      <c r="E40" t="s">
        <v>13</v>
      </c>
      <c r="F40" s="5">
        <v>84024</v>
      </c>
      <c r="G40" t="s">
        <v>16</v>
      </c>
      <c r="H40" t="s">
        <v>17</v>
      </c>
      <c r="I40" s="5">
        <v>6750</v>
      </c>
      <c r="J40" t="s">
        <v>20</v>
      </c>
      <c r="K40" t="s">
        <v>937</v>
      </c>
      <c r="L40" t="s">
        <v>954</v>
      </c>
      <c r="M40" t="s">
        <v>955</v>
      </c>
      <c r="T40" s="34"/>
    </row>
    <row r="41" spans="1:20" x14ac:dyDescent="0.25">
      <c r="A41" t="s">
        <v>298</v>
      </c>
      <c r="B41" t="s">
        <v>233</v>
      </c>
      <c r="C41" t="s">
        <v>24</v>
      </c>
      <c r="D41" t="s">
        <v>11</v>
      </c>
      <c r="E41" t="s">
        <v>13</v>
      </c>
      <c r="F41" s="5">
        <v>85748</v>
      </c>
      <c r="G41" t="s">
        <v>16</v>
      </c>
      <c r="H41" t="s">
        <v>17</v>
      </c>
      <c r="I41" s="5">
        <v>6750</v>
      </c>
      <c r="J41" t="s">
        <v>20</v>
      </c>
      <c r="K41" t="s">
        <v>937</v>
      </c>
      <c r="L41" t="s">
        <v>945</v>
      </c>
      <c r="M41" t="s">
        <v>946</v>
      </c>
      <c r="T41" s="34"/>
    </row>
    <row r="42" spans="1:20" x14ac:dyDescent="0.25">
      <c r="A42" t="s">
        <v>313</v>
      </c>
      <c r="B42" t="s">
        <v>314</v>
      </c>
      <c r="C42" t="s">
        <v>24</v>
      </c>
      <c r="D42" t="s">
        <v>11</v>
      </c>
      <c r="E42" t="s">
        <v>4</v>
      </c>
      <c r="F42" s="5">
        <v>69575</v>
      </c>
      <c r="G42" t="s">
        <v>19</v>
      </c>
      <c r="H42" t="s">
        <v>17</v>
      </c>
      <c r="I42" s="5">
        <v>9000</v>
      </c>
      <c r="J42" t="s">
        <v>20</v>
      </c>
      <c r="K42" t="s">
        <v>938</v>
      </c>
      <c r="L42" t="s">
        <v>945</v>
      </c>
      <c r="M42" t="s">
        <v>946</v>
      </c>
      <c r="T42" s="34"/>
    </row>
    <row r="43" spans="1:20" x14ac:dyDescent="0.25">
      <c r="A43" t="s">
        <v>263</v>
      </c>
      <c r="B43" t="s">
        <v>264</v>
      </c>
      <c r="C43" t="s">
        <v>24</v>
      </c>
      <c r="D43" t="s">
        <v>3</v>
      </c>
      <c r="E43" t="s">
        <v>7</v>
      </c>
      <c r="F43" s="5">
        <v>70055</v>
      </c>
      <c r="G43" t="s">
        <v>16</v>
      </c>
      <c r="H43" t="s">
        <v>17</v>
      </c>
      <c r="I43" s="5">
        <v>6750</v>
      </c>
      <c r="J43" t="s">
        <v>20</v>
      </c>
      <c r="K43" t="s">
        <v>938</v>
      </c>
      <c r="L43" t="s">
        <v>954</v>
      </c>
      <c r="M43" t="s">
        <v>955</v>
      </c>
      <c r="T43" s="34"/>
    </row>
    <row r="44" spans="1:20" x14ac:dyDescent="0.25">
      <c r="A44" t="s">
        <v>833</v>
      </c>
      <c r="B44" t="s">
        <v>179</v>
      </c>
      <c r="C44" t="s">
        <v>24</v>
      </c>
      <c r="D44" t="s">
        <v>11</v>
      </c>
      <c r="E44" t="s">
        <v>9</v>
      </c>
      <c r="F44" s="5">
        <v>70488</v>
      </c>
      <c r="G44" t="s">
        <v>19</v>
      </c>
      <c r="H44" t="s">
        <v>17</v>
      </c>
      <c r="I44" s="5">
        <v>9000</v>
      </c>
      <c r="J44" t="s">
        <v>20</v>
      </c>
      <c r="K44" t="s">
        <v>938</v>
      </c>
      <c r="L44" t="s">
        <v>945</v>
      </c>
      <c r="M44" t="s">
        <v>946</v>
      </c>
      <c r="T44" s="34"/>
    </row>
    <row r="45" spans="1:20" x14ac:dyDescent="0.25">
      <c r="A45" t="s">
        <v>299</v>
      </c>
      <c r="B45" t="s">
        <v>300</v>
      </c>
      <c r="C45" t="s">
        <v>24</v>
      </c>
      <c r="D45" t="s">
        <v>11</v>
      </c>
      <c r="E45" t="s">
        <v>9</v>
      </c>
      <c r="F45" s="5">
        <v>71415</v>
      </c>
      <c r="G45" t="s">
        <v>16</v>
      </c>
      <c r="H45" t="s">
        <v>17</v>
      </c>
      <c r="I45" s="5">
        <v>6750</v>
      </c>
      <c r="J45" t="s">
        <v>20</v>
      </c>
      <c r="K45" t="s">
        <v>938</v>
      </c>
      <c r="L45" t="s">
        <v>945</v>
      </c>
      <c r="M45" t="s">
        <v>946</v>
      </c>
      <c r="T45" s="34"/>
    </row>
    <row r="46" spans="1:20" x14ac:dyDescent="0.25">
      <c r="A46" t="s">
        <v>344</v>
      </c>
      <c r="B46" t="s">
        <v>345</v>
      </c>
      <c r="C46" t="s">
        <v>24</v>
      </c>
      <c r="D46" t="s">
        <v>11</v>
      </c>
      <c r="E46" t="s">
        <v>13</v>
      </c>
      <c r="F46" s="5">
        <v>73726</v>
      </c>
      <c r="G46" t="s">
        <v>16</v>
      </c>
      <c r="H46" t="s">
        <v>17</v>
      </c>
      <c r="I46" s="5">
        <v>6750</v>
      </c>
      <c r="J46" t="s">
        <v>20</v>
      </c>
      <c r="K46" t="s">
        <v>938</v>
      </c>
      <c r="L46" t="s">
        <v>945</v>
      </c>
      <c r="M46" t="s">
        <v>946</v>
      </c>
      <c r="T46" s="34"/>
    </row>
    <row r="47" spans="1:20" x14ac:dyDescent="0.25">
      <c r="A47" t="s">
        <v>861</v>
      </c>
      <c r="B47" t="s">
        <v>862</v>
      </c>
      <c r="C47" t="s">
        <v>24</v>
      </c>
      <c r="D47" t="s">
        <v>12</v>
      </c>
      <c r="E47" t="s">
        <v>9</v>
      </c>
      <c r="F47" s="5">
        <v>123029</v>
      </c>
      <c r="G47" t="s">
        <v>16</v>
      </c>
      <c r="H47" t="s">
        <v>17</v>
      </c>
      <c r="I47" s="5">
        <v>6750</v>
      </c>
      <c r="J47" t="s">
        <v>20</v>
      </c>
      <c r="K47" t="s">
        <v>937</v>
      </c>
      <c r="L47" t="s">
        <v>957</v>
      </c>
      <c r="M47" t="s">
        <v>958</v>
      </c>
      <c r="T47" s="34"/>
    </row>
    <row r="48" spans="1:20" x14ac:dyDescent="0.25">
      <c r="A48" t="s">
        <v>412</v>
      </c>
      <c r="B48" t="s">
        <v>413</v>
      </c>
      <c r="C48" t="s">
        <v>24</v>
      </c>
      <c r="D48" t="s">
        <v>11</v>
      </c>
      <c r="E48" t="s">
        <v>7</v>
      </c>
      <c r="F48" s="5">
        <v>77607</v>
      </c>
      <c r="G48" t="s">
        <v>19</v>
      </c>
      <c r="H48" t="s">
        <v>17</v>
      </c>
      <c r="I48" s="5">
        <v>9000</v>
      </c>
      <c r="J48" t="s">
        <v>20</v>
      </c>
      <c r="K48" t="s">
        <v>938</v>
      </c>
      <c r="L48" t="s">
        <v>945</v>
      </c>
      <c r="M48" t="s">
        <v>946</v>
      </c>
      <c r="T48" s="34"/>
    </row>
    <row r="49" spans="1:20" x14ac:dyDescent="0.25">
      <c r="A49" t="s">
        <v>434</v>
      </c>
      <c r="B49" t="s">
        <v>435</v>
      </c>
      <c r="C49" t="s">
        <v>24</v>
      </c>
      <c r="D49" t="s">
        <v>8</v>
      </c>
      <c r="E49" t="s">
        <v>4</v>
      </c>
      <c r="F49" s="5">
        <v>175321</v>
      </c>
      <c r="G49" t="s">
        <v>16</v>
      </c>
      <c r="H49" t="s">
        <v>17</v>
      </c>
      <c r="I49" s="5">
        <v>6750</v>
      </c>
      <c r="J49" t="s">
        <v>20</v>
      </c>
      <c r="K49" t="s">
        <v>939</v>
      </c>
      <c r="L49" t="s">
        <v>948</v>
      </c>
      <c r="M49" t="s">
        <v>949</v>
      </c>
      <c r="T49" s="34"/>
    </row>
    <row r="50" spans="1:20" x14ac:dyDescent="0.25">
      <c r="A50" t="s">
        <v>424</v>
      </c>
      <c r="B50" t="s">
        <v>107</v>
      </c>
      <c r="C50" t="s">
        <v>24</v>
      </c>
      <c r="D50" t="s">
        <v>8</v>
      </c>
      <c r="E50" t="s">
        <v>9</v>
      </c>
      <c r="F50" s="5">
        <v>175360</v>
      </c>
      <c r="G50" t="s">
        <v>16</v>
      </c>
      <c r="H50" t="s">
        <v>17</v>
      </c>
      <c r="I50" s="5">
        <v>6750</v>
      </c>
      <c r="J50" t="s">
        <v>20</v>
      </c>
      <c r="K50" t="s">
        <v>939</v>
      </c>
      <c r="L50" t="s">
        <v>948</v>
      </c>
      <c r="M50" t="s">
        <v>949</v>
      </c>
      <c r="T50" s="34"/>
    </row>
    <row r="51" spans="1:20" x14ac:dyDescent="0.25">
      <c r="A51" t="s">
        <v>328</v>
      </c>
      <c r="B51" t="s">
        <v>329</v>
      </c>
      <c r="C51" t="s">
        <v>24</v>
      </c>
      <c r="D51" t="s">
        <v>14</v>
      </c>
      <c r="E51" t="s">
        <v>13</v>
      </c>
      <c r="F51" s="5">
        <v>176030</v>
      </c>
      <c r="G51" t="s">
        <v>16</v>
      </c>
      <c r="H51" t="s">
        <v>17</v>
      </c>
      <c r="I51" s="5">
        <v>6750</v>
      </c>
      <c r="J51" t="s">
        <v>20</v>
      </c>
      <c r="K51" t="s">
        <v>939</v>
      </c>
      <c r="L51" t="s">
        <v>951</v>
      </c>
      <c r="M51" t="s">
        <v>952</v>
      </c>
      <c r="T51" s="34"/>
    </row>
    <row r="52" spans="1:20" x14ac:dyDescent="0.25">
      <c r="A52" t="s">
        <v>849</v>
      </c>
      <c r="B52" t="s">
        <v>850</v>
      </c>
      <c r="C52" t="s">
        <v>24</v>
      </c>
      <c r="D52" t="s">
        <v>8</v>
      </c>
      <c r="E52" t="s">
        <v>13</v>
      </c>
      <c r="F52" s="5">
        <v>176280</v>
      </c>
      <c r="G52" t="s">
        <v>19</v>
      </c>
      <c r="H52" t="s">
        <v>17</v>
      </c>
      <c r="I52" s="5">
        <v>9000</v>
      </c>
      <c r="J52" t="s">
        <v>20</v>
      </c>
      <c r="K52" t="s">
        <v>939</v>
      </c>
      <c r="L52" t="s">
        <v>948</v>
      </c>
      <c r="M52" t="s">
        <v>949</v>
      </c>
      <c r="T52" s="34"/>
    </row>
    <row r="53" spans="1:20" x14ac:dyDescent="0.25">
      <c r="A53" t="s">
        <v>271</v>
      </c>
      <c r="B53" t="s">
        <v>272</v>
      </c>
      <c r="C53" t="s">
        <v>24</v>
      </c>
      <c r="D53" t="s">
        <v>11</v>
      </c>
      <c r="E53" t="s">
        <v>4</v>
      </c>
      <c r="F53" s="5">
        <v>181752</v>
      </c>
      <c r="G53" t="s">
        <v>16</v>
      </c>
      <c r="H53" t="s">
        <v>17</v>
      </c>
      <c r="I53" s="5">
        <v>6750</v>
      </c>
      <c r="J53" t="s">
        <v>20</v>
      </c>
      <c r="K53" t="s">
        <v>940</v>
      </c>
      <c r="L53" t="s">
        <v>945</v>
      </c>
      <c r="M53" t="s">
        <v>946</v>
      </c>
      <c r="T53" s="34"/>
    </row>
    <row r="54" spans="1:20" x14ac:dyDescent="0.25">
      <c r="A54" t="s">
        <v>307</v>
      </c>
      <c r="B54" t="s">
        <v>308</v>
      </c>
      <c r="C54" t="s">
        <v>24</v>
      </c>
      <c r="D54" t="s">
        <v>11</v>
      </c>
      <c r="E54" t="s">
        <v>13</v>
      </c>
      <c r="F54" s="5">
        <v>177781</v>
      </c>
      <c r="G54" t="s">
        <v>16</v>
      </c>
      <c r="H54" t="s">
        <v>17</v>
      </c>
      <c r="I54" s="5">
        <v>6750</v>
      </c>
      <c r="J54" t="s">
        <v>20</v>
      </c>
      <c r="K54" t="s">
        <v>939</v>
      </c>
      <c r="L54" t="s">
        <v>945</v>
      </c>
      <c r="M54" t="s">
        <v>946</v>
      </c>
      <c r="T54" s="34"/>
    </row>
    <row r="55" spans="1:20" x14ac:dyDescent="0.25">
      <c r="A55" t="s">
        <v>323</v>
      </c>
      <c r="B55" t="s">
        <v>111</v>
      </c>
      <c r="C55" t="s">
        <v>24</v>
      </c>
      <c r="D55" t="s">
        <v>8</v>
      </c>
      <c r="E55" t="s">
        <v>4</v>
      </c>
      <c r="F55" s="5">
        <v>182212</v>
      </c>
      <c r="G55" t="s">
        <v>19</v>
      </c>
      <c r="H55" t="s">
        <v>17</v>
      </c>
      <c r="I55" s="5">
        <v>9000</v>
      </c>
      <c r="J55" t="s">
        <v>20</v>
      </c>
      <c r="K55" t="s">
        <v>940</v>
      </c>
      <c r="L55" t="s">
        <v>948</v>
      </c>
      <c r="M55" t="s">
        <v>949</v>
      </c>
      <c r="T55" s="34"/>
    </row>
    <row r="56" spans="1:20" x14ac:dyDescent="0.25">
      <c r="A56" t="s">
        <v>431</v>
      </c>
      <c r="B56" t="s">
        <v>272</v>
      </c>
      <c r="C56" t="s">
        <v>24</v>
      </c>
      <c r="D56" t="s">
        <v>11</v>
      </c>
      <c r="E56" t="s">
        <v>13</v>
      </c>
      <c r="F56" s="5">
        <v>170281</v>
      </c>
      <c r="G56" t="s">
        <v>16</v>
      </c>
      <c r="H56" t="s">
        <v>17</v>
      </c>
      <c r="I56" s="5">
        <v>6750</v>
      </c>
      <c r="J56" t="s">
        <v>20</v>
      </c>
      <c r="K56" t="s">
        <v>939</v>
      </c>
      <c r="L56" t="s">
        <v>945</v>
      </c>
      <c r="M56" t="s">
        <v>946</v>
      </c>
      <c r="T56" s="34"/>
    </row>
    <row r="57" spans="1:20" x14ac:dyDescent="0.25">
      <c r="A57" t="s">
        <v>405</v>
      </c>
      <c r="B57" t="s">
        <v>304</v>
      </c>
      <c r="C57" t="s">
        <v>24</v>
      </c>
      <c r="D57" t="s">
        <v>14</v>
      </c>
      <c r="E57" t="s">
        <v>4</v>
      </c>
      <c r="F57" s="5">
        <v>170304</v>
      </c>
      <c r="G57" t="s">
        <v>19</v>
      </c>
      <c r="H57" t="s">
        <v>17</v>
      </c>
      <c r="I57" s="5">
        <v>9000</v>
      </c>
      <c r="J57" t="s">
        <v>20</v>
      </c>
      <c r="K57" t="s">
        <v>939</v>
      </c>
      <c r="L57" t="s">
        <v>951</v>
      </c>
      <c r="M57" t="s">
        <v>952</v>
      </c>
      <c r="T57" s="34"/>
    </row>
    <row r="58" spans="1:20" x14ac:dyDescent="0.25">
      <c r="A58" t="s">
        <v>436</v>
      </c>
      <c r="B58" t="s">
        <v>437</v>
      </c>
      <c r="C58" t="s">
        <v>24</v>
      </c>
      <c r="D58" t="s">
        <v>12</v>
      </c>
      <c r="E58" t="s">
        <v>13</v>
      </c>
      <c r="F58" s="5">
        <v>123204</v>
      </c>
      <c r="G58" t="s">
        <v>16</v>
      </c>
      <c r="H58" t="s">
        <v>17</v>
      </c>
      <c r="I58" s="5">
        <v>6750</v>
      </c>
      <c r="J58" t="s">
        <v>20</v>
      </c>
      <c r="K58" t="s">
        <v>937</v>
      </c>
      <c r="L58" t="s">
        <v>957</v>
      </c>
      <c r="M58" t="s">
        <v>958</v>
      </c>
      <c r="T58" s="34"/>
    </row>
    <row r="59" spans="1:20" x14ac:dyDescent="0.25">
      <c r="A59" t="s">
        <v>279</v>
      </c>
      <c r="B59" t="s">
        <v>280</v>
      </c>
      <c r="C59" t="s">
        <v>24</v>
      </c>
      <c r="D59" t="s">
        <v>12</v>
      </c>
      <c r="E59" t="s">
        <v>7</v>
      </c>
      <c r="F59" s="5">
        <v>171351</v>
      </c>
      <c r="G59" t="s">
        <v>16</v>
      </c>
      <c r="H59" t="s">
        <v>17</v>
      </c>
      <c r="I59" s="5">
        <v>6750</v>
      </c>
      <c r="J59" t="s">
        <v>20</v>
      </c>
      <c r="K59" t="s">
        <v>939</v>
      </c>
      <c r="L59" t="s">
        <v>957</v>
      </c>
      <c r="M59" t="s">
        <v>958</v>
      </c>
      <c r="T59" s="34"/>
    </row>
    <row r="60" spans="1:20" x14ac:dyDescent="0.25">
      <c r="A60" t="s">
        <v>309</v>
      </c>
      <c r="B60" t="s">
        <v>310</v>
      </c>
      <c r="C60" t="s">
        <v>24</v>
      </c>
      <c r="D60" t="s">
        <v>11</v>
      </c>
      <c r="E60" t="s">
        <v>4</v>
      </c>
      <c r="F60" s="5">
        <v>182312</v>
      </c>
      <c r="G60" t="s">
        <v>16</v>
      </c>
      <c r="H60" t="s">
        <v>17</v>
      </c>
      <c r="I60" s="5">
        <v>6750</v>
      </c>
      <c r="J60" t="s">
        <v>20</v>
      </c>
      <c r="K60" t="s">
        <v>940</v>
      </c>
      <c r="L60" t="s">
        <v>945</v>
      </c>
      <c r="M60" t="s">
        <v>946</v>
      </c>
      <c r="T60" s="34"/>
    </row>
    <row r="61" spans="1:20" x14ac:dyDescent="0.25">
      <c r="A61" t="s">
        <v>866</v>
      </c>
      <c r="B61" t="s">
        <v>867</v>
      </c>
      <c r="C61" t="s">
        <v>24</v>
      </c>
      <c r="D61" t="s">
        <v>3</v>
      </c>
      <c r="E61" t="s">
        <v>13</v>
      </c>
      <c r="F61" s="5">
        <v>182728</v>
      </c>
      <c r="G61" t="s">
        <v>16</v>
      </c>
      <c r="H61" t="s">
        <v>17</v>
      </c>
      <c r="I61" s="5">
        <v>6750</v>
      </c>
      <c r="J61" t="s">
        <v>20</v>
      </c>
      <c r="K61" t="s">
        <v>940</v>
      </c>
      <c r="L61" t="s">
        <v>954</v>
      </c>
      <c r="M61" t="s">
        <v>955</v>
      </c>
      <c r="T61" s="34"/>
    </row>
    <row r="62" spans="1:20" x14ac:dyDescent="0.25">
      <c r="A62" t="s">
        <v>893</v>
      </c>
      <c r="B62" t="s">
        <v>83</v>
      </c>
      <c r="C62" t="s">
        <v>24</v>
      </c>
      <c r="D62" t="s">
        <v>14</v>
      </c>
      <c r="E62" t="s">
        <v>13</v>
      </c>
      <c r="F62" s="5">
        <v>193373</v>
      </c>
      <c r="G62" t="s">
        <v>16</v>
      </c>
      <c r="H62" t="s">
        <v>17</v>
      </c>
      <c r="I62" s="5">
        <v>6750</v>
      </c>
      <c r="J62" t="s">
        <v>20</v>
      </c>
      <c r="K62" t="s">
        <v>940</v>
      </c>
      <c r="L62" t="s">
        <v>951</v>
      </c>
      <c r="M62" t="s">
        <v>952</v>
      </c>
      <c r="T62" s="34"/>
    </row>
    <row r="63" spans="1:20" x14ac:dyDescent="0.25">
      <c r="A63" t="s">
        <v>829</v>
      </c>
      <c r="B63" t="s">
        <v>830</v>
      </c>
      <c r="C63" t="s">
        <v>24</v>
      </c>
      <c r="D63" t="s">
        <v>8</v>
      </c>
      <c r="E63" t="s">
        <v>7</v>
      </c>
      <c r="F63" s="5">
        <v>193663</v>
      </c>
      <c r="G63" t="s">
        <v>16</v>
      </c>
      <c r="H63" t="s">
        <v>17</v>
      </c>
      <c r="I63" s="5">
        <v>6750</v>
      </c>
      <c r="J63" t="s">
        <v>20</v>
      </c>
      <c r="K63" t="s">
        <v>940</v>
      </c>
      <c r="L63" t="s">
        <v>948</v>
      </c>
      <c r="M63" t="s">
        <v>949</v>
      </c>
      <c r="T63" s="34"/>
    </row>
    <row r="64" spans="1:20" x14ac:dyDescent="0.25">
      <c r="A64" t="s">
        <v>422</v>
      </c>
      <c r="B64" t="s">
        <v>423</v>
      </c>
      <c r="C64" t="s">
        <v>24</v>
      </c>
      <c r="D64" t="s">
        <v>3</v>
      </c>
      <c r="E64" t="s">
        <v>4</v>
      </c>
      <c r="F64" s="5">
        <v>193715</v>
      </c>
      <c r="G64" t="s">
        <v>16</v>
      </c>
      <c r="H64" t="s">
        <v>17</v>
      </c>
      <c r="I64" s="5">
        <v>6750</v>
      </c>
      <c r="J64" t="s">
        <v>20</v>
      </c>
      <c r="K64" t="s">
        <v>940</v>
      </c>
      <c r="L64" t="s">
        <v>954</v>
      </c>
      <c r="M64" t="s">
        <v>955</v>
      </c>
      <c r="T64" s="34"/>
    </row>
    <row r="65" spans="1:20" x14ac:dyDescent="0.25">
      <c r="A65" t="s">
        <v>319</v>
      </c>
      <c r="B65" t="s">
        <v>320</v>
      </c>
      <c r="C65" t="s">
        <v>24</v>
      </c>
      <c r="D65" t="s">
        <v>11</v>
      </c>
      <c r="E65" t="s">
        <v>13</v>
      </c>
      <c r="F65" s="5">
        <v>195945</v>
      </c>
      <c r="G65" t="s">
        <v>19</v>
      </c>
      <c r="H65" t="s">
        <v>17</v>
      </c>
      <c r="I65" s="5">
        <v>9000</v>
      </c>
      <c r="J65" t="s">
        <v>20</v>
      </c>
      <c r="K65" t="s">
        <v>940</v>
      </c>
      <c r="L65" t="s">
        <v>945</v>
      </c>
      <c r="M65" t="s">
        <v>946</v>
      </c>
      <c r="T65" s="34"/>
    </row>
    <row r="66" spans="1:20" x14ac:dyDescent="0.25">
      <c r="A66" t="s">
        <v>384</v>
      </c>
      <c r="B66" t="s">
        <v>320</v>
      </c>
      <c r="C66" t="s">
        <v>24</v>
      </c>
      <c r="D66" t="s">
        <v>14</v>
      </c>
      <c r="E66" t="s">
        <v>13</v>
      </c>
      <c r="F66" s="5">
        <v>197346</v>
      </c>
      <c r="G66" t="s">
        <v>16</v>
      </c>
      <c r="H66" t="s">
        <v>17</v>
      </c>
      <c r="I66" s="5">
        <v>6750</v>
      </c>
      <c r="J66" t="s">
        <v>20</v>
      </c>
      <c r="K66" t="s">
        <v>940</v>
      </c>
      <c r="L66" t="s">
        <v>951</v>
      </c>
      <c r="M66" t="s">
        <v>952</v>
      </c>
      <c r="T66" s="34"/>
    </row>
    <row r="67" spans="1:20" x14ac:dyDescent="0.25">
      <c r="A67" t="s">
        <v>338</v>
      </c>
      <c r="B67" t="s">
        <v>339</v>
      </c>
      <c r="C67" t="s">
        <v>24</v>
      </c>
      <c r="D67" t="s">
        <v>8</v>
      </c>
      <c r="E67" t="s">
        <v>9</v>
      </c>
      <c r="F67" s="5">
        <v>199198</v>
      </c>
      <c r="G67" t="s">
        <v>19</v>
      </c>
      <c r="H67" t="s">
        <v>17</v>
      </c>
      <c r="I67" s="5">
        <v>9000</v>
      </c>
      <c r="J67" t="s">
        <v>20</v>
      </c>
      <c r="K67" t="s">
        <v>940</v>
      </c>
      <c r="L67" t="s">
        <v>948</v>
      </c>
      <c r="M67" t="s">
        <v>949</v>
      </c>
      <c r="T67" s="34"/>
    </row>
    <row r="68" spans="1:20" x14ac:dyDescent="0.25">
      <c r="A68" t="s">
        <v>348</v>
      </c>
      <c r="B68" t="s">
        <v>349</v>
      </c>
      <c r="C68" t="s">
        <v>24</v>
      </c>
      <c r="D68" t="s">
        <v>14</v>
      </c>
      <c r="E68" t="s">
        <v>9</v>
      </c>
      <c r="F68" s="5">
        <v>199604</v>
      </c>
      <c r="G68" t="s">
        <v>19</v>
      </c>
      <c r="H68" t="s">
        <v>17</v>
      </c>
      <c r="I68" s="5">
        <v>9000</v>
      </c>
      <c r="J68" t="s">
        <v>20</v>
      </c>
      <c r="K68" t="s">
        <v>940</v>
      </c>
      <c r="L68" t="s">
        <v>951</v>
      </c>
      <c r="M68" t="s">
        <v>952</v>
      </c>
      <c r="T68" s="34"/>
    </row>
    <row r="69" spans="1:20" x14ac:dyDescent="0.25">
      <c r="A69" t="s">
        <v>317</v>
      </c>
      <c r="B69" t="s">
        <v>318</v>
      </c>
      <c r="C69" t="s">
        <v>24</v>
      </c>
      <c r="D69" t="s">
        <v>3</v>
      </c>
      <c r="E69" t="s">
        <v>7</v>
      </c>
      <c r="F69" s="5">
        <v>184221</v>
      </c>
      <c r="G69" t="s">
        <v>19</v>
      </c>
      <c r="H69" t="s">
        <v>17</v>
      </c>
      <c r="I69" s="5">
        <v>9000</v>
      </c>
      <c r="J69" t="s">
        <v>20</v>
      </c>
      <c r="K69" t="s">
        <v>940</v>
      </c>
      <c r="L69" t="s">
        <v>954</v>
      </c>
      <c r="M69" t="s">
        <v>955</v>
      </c>
      <c r="T69" s="34"/>
    </row>
    <row r="70" spans="1:20" x14ac:dyDescent="0.25">
      <c r="A70" t="s">
        <v>362</v>
      </c>
      <c r="B70" t="s">
        <v>363</v>
      </c>
      <c r="C70" t="s">
        <v>24</v>
      </c>
      <c r="D70" t="s">
        <v>11</v>
      </c>
      <c r="E70" t="s">
        <v>9</v>
      </c>
      <c r="F70" s="5">
        <v>185777</v>
      </c>
      <c r="G70" t="s">
        <v>16</v>
      </c>
      <c r="H70" t="s">
        <v>17</v>
      </c>
      <c r="I70" s="5">
        <v>6750</v>
      </c>
      <c r="J70" t="s">
        <v>20</v>
      </c>
      <c r="K70" t="s">
        <v>940</v>
      </c>
      <c r="L70" t="s">
        <v>945</v>
      </c>
      <c r="M70" t="s">
        <v>946</v>
      </c>
      <c r="T70" s="34"/>
    </row>
    <row r="71" spans="1:20" x14ac:dyDescent="0.25">
      <c r="A71" t="s">
        <v>836</v>
      </c>
      <c r="B71" t="s">
        <v>837</v>
      </c>
      <c r="C71" t="s">
        <v>24</v>
      </c>
      <c r="D71" t="s">
        <v>11</v>
      </c>
      <c r="E71" t="s">
        <v>13</v>
      </c>
      <c r="F71" s="5">
        <v>186175</v>
      </c>
      <c r="G71" t="s">
        <v>16</v>
      </c>
      <c r="H71" t="s">
        <v>17</v>
      </c>
      <c r="I71" s="5">
        <v>6750</v>
      </c>
      <c r="J71" t="s">
        <v>20</v>
      </c>
      <c r="K71" t="s">
        <v>940</v>
      </c>
      <c r="L71" t="s">
        <v>945</v>
      </c>
      <c r="M71" t="s">
        <v>946</v>
      </c>
      <c r="T71" s="34"/>
    </row>
    <row r="72" spans="1:20" x14ac:dyDescent="0.25">
      <c r="A72" t="s">
        <v>420</v>
      </c>
      <c r="B72" t="s">
        <v>421</v>
      </c>
      <c r="C72" t="s">
        <v>24</v>
      </c>
      <c r="D72" t="s">
        <v>3</v>
      </c>
      <c r="E72" t="s">
        <v>13</v>
      </c>
      <c r="F72" s="5">
        <v>186950</v>
      </c>
      <c r="G72" t="s">
        <v>16</v>
      </c>
      <c r="H72" t="s">
        <v>17</v>
      </c>
      <c r="I72" s="5">
        <v>6750</v>
      </c>
      <c r="J72" t="s">
        <v>20</v>
      </c>
      <c r="K72" t="s">
        <v>940</v>
      </c>
      <c r="L72" t="s">
        <v>954</v>
      </c>
      <c r="M72" t="s">
        <v>955</v>
      </c>
      <c r="T72" s="34"/>
    </row>
    <row r="73" spans="1:20" x14ac:dyDescent="0.25">
      <c r="A73" t="s">
        <v>334</v>
      </c>
      <c r="B73" t="s">
        <v>335</v>
      </c>
      <c r="C73" t="s">
        <v>24</v>
      </c>
      <c r="D73" t="s">
        <v>8</v>
      </c>
      <c r="E73" t="s">
        <v>4</v>
      </c>
      <c r="F73" s="5">
        <v>188186</v>
      </c>
      <c r="G73" t="s">
        <v>16</v>
      </c>
      <c r="H73" t="s">
        <v>17</v>
      </c>
      <c r="I73" s="5">
        <v>6750</v>
      </c>
      <c r="J73" t="s">
        <v>20</v>
      </c>
      <c r="K73" t="s">
        <v>940</v>
      </c>
      <c r="L73" t="s">
        <v>948</v>
      </c>
      <c r="M73" t="s">
        <v>949</v>
      </c>
      <c r="T73" s="34"/>
    </row>
    <row r="74" spans="1:20" x14ac:dyDescent="0.25">
      <c r="A74" t="s">
        <v>889</v>
      </c>
      <c r="B74" t="s">
        <v>890</v>
      </c>
      <c r="C74" t="s">
        <v>24</v>
      </c>
      <c r="D74" t="s">
        <v>12</v>
      </c>
      <c r="E74" t="s">
        <v>13</v>
      </c>
      <c r="F74" s="5">
        <v>188212</v>
      </c>
      <c r="G74" t="s">
        <v>16</v>
      </c>
      <c r="H74" t="s">
        <v>17</v>
      </c>
      <c r="I74" s="5">
        <v>6750</v>
      </c>
      <c r="J74" t="s">
        <v>20</v>
      </c>
      <c r="K74" t="s">
        <v>940</v>
      </c>
      <c r="L74" t="s">
        <v>957</v>
      </c>
      <c r="M74" t="s">
        <v>958</v>
      </c>
      <c r="T74" s="34"/>
    </row>
    <row r="75" spans="1:20" x14ac:dyDescent="0.25">
      <c r="A75" t="s">
        <v>265</v>
      </c>
      <c r="B75" t="s">
        <v>266</v>
      </c>
      <c r="C75" t="s">
        <v>24</v>
      </c>
      <c r="D75" t="s">
        <v>8</v>
      </c>
      <c r="E75" t="s">
        <v>9</v>
      </c>
      <c r="F75" s="5">
        <v>163249</v>
      </c>
      <c r="G75" t="s">
        <v>19</v>
      </c>
      <c r="H75" t="s">
        <v>17</v>
      </c>
      <c r="I75" s="5">
        <v>9000</v>
      </c>
      <c r="J75" t="s">
        <v>20</v>
      </c>
      <c r="K75" t="s">
        <v>939</v>
      </c>
      <c r="L75" t="s">
        <v>948</v>
      </c>
      <c r="M75" t="s">
        <v>949</v>
      </c>
      <c r="T75" s="34"/>
    </row>
    <row r="76" spans="1:20" x14ac:dyDescent="0.25">
      <c r="A76" t="s">
        <v>400</v>
      </c>
      <c r="B76" t="s">
        <v>401</v>
      </c>
      <c r="C76" t="s">
        <v>24</v>
      </c>
      <c r="D76" t="s">
        <v>11</v>
      </c>
      <c r="E76" t="s">
        <v>9</v>
      </c>
      <c r="F76" s="5">
        <v>163243</v>
      </c>
      <c r="G76" t="s">
        <v>19</v>
      </c>
      <c r="H76" t="s">
        <v>17</v>
      </c>
      <c r="I76" s="5">
        <v>9000</v>
      </c>
      <c r="J76" t="s">
        <v>20</v>
      </c>
      <c r="K76" t="s">
        <v>939</v>
      </c>
      <c r="L76" t="s">
        <v>945</v>
      </c>
      <c r="M76" t="s">
        <v>946</v>
      </c>
      <c r="T76" s="34"/>
    </row>
    <row r="77" spans="1:20" x14ac:dyDescent="0.25">
      <c r="A77" t="s">
        <v>326</v>
      </c>
      <c r="B77" t="s">
        <v>327</v>
      </c>
      <c r="C77" t="s">
        <v>24</v>
      </c>
      <c r="D77" t="s">
        <v>3</v>
      </c>
      <c r="E77" t="s">
        <v>4</v>
      </c>
      <c r="F77" s="5">
        <v>133960</v>
      </c>
      <c r="G77" t="s">
        <v>16</v>
      </c>
      <c r="H77" t="s">
        <v>17</v>
      </c>
      <c r="I77" s="5">
        <v>6750</v>
      </c>
      <c r="J77" t="s">
        <v>20</v>
      </c>
      <c r="K77" t="s">
        <v>939</v>
      </c>
      <c r="L77" t="s">
        <v>954</v>
      </c>
      <c r="M77" t="s">
        <v>955</v>
      </c>
      <c r="T77" s="34"/>
    </row>
    <row r="78" spans="1:20" x14ac:dyDescent="0.25">
      <c r="A78" t="s">
        <v>402</v>
      </c>
      <c r="B78" t="s">
        <v>65</v>
      </c>
      <c r="C78" t="s">
        <v>24</v>
      </c>
      <c r="D78" t="s">
        <v>11</v>
      </c>
      <c r="E78" t="s">
        <v>7</v>
      </c>
      <c r="F78" s="5">
        <v>135659</v>
      </c>
      <c r="G78" t="s">
        <v>19</v>
      </c>
      <c r="H78" t="s">
        <v>17</v>
      </c>
      <c r="I78" s="5">
        <v>9000</v>
      </c>
      <c r="J78" t="s">
        <v>20</v>
      </c>
      <c r="K78" t="s">
        <v>939</v>
      </c>
      <c r="L78" t="s">
        <v>945</v>
      </c>
      <c r="M78" t="s">
        <v>946</v>
      </c>
      <c r="T78" s="34"/>
    </row>
    <row r="79" spans="1:20" x14ac:dyDescent="0.25">
      <c r="A79" t="s">
        <v>303</v>
      </c>
      <c r="B79" t="s">
        <v>304</v>
      </c>
      <c r="C79" t="s">
        <v>24</v>
      </c>
      <c r="D79" t="s">
        <v>12</v>
      </c>
      <c r="E79" t="s">
        <v>9</v>
      </c>
      <c r="F79" s="5">
        <v>139213</v>
      </c>
      <c r="G79" t="s">
        <v>16</v>
      </c>
      <c r="H79" t="s">
        <v>17</v>
      </c>
      <c r="I79" s="5">
        <v>6750</v>
      </c>
      <c r="J79" t="s">
        <v>20</v>
      </c>
      <c r="K79" t="s">
        <v>939</v>
      </c>
      <c r="L79" t="s">
        <v>957</v>
      </c>
      <c r="M79" t="s">
        <v>958</v>
      </c>
      <c r="T79" s="34"/>
    </row>
    <row r="80" spans="1:20" x14ac:dyDescent="0.25">
      <c r="A80" t="s">
        <v>427</v>
      </c>
      <c r="B80" t="s">
        <v>428</v>
      </c>
      <c r="C80" t="s">
        <v>24</v>
      </c>
      <c r="D80" t="s">
        <v>12</v>
      </c>
      <c r="E80" t="s">
        <v>4</v>
      </c>
      <c r="F80" s="5">
        <v>139426</v>
      </c>
      <c r="G80" t="s">
        <v>19</v>
      </c>
      <c r="H80" t="s">
        <v>17</v>
      </c>
      <c r="I80" s="5">
        <v>9000</v>
      </c>
      <c r="J80" t="s">
        <v>20</v>
      </c>
      <c r="K80" t="s">
        <v>939</v>
      </c>
      <c r="L80" t="s">
        <v>957</v>
      </c>
      <c r="M80" t="s">
        <v>958</v>
      </c>
      <c r="T80" s="34"/>
    </row>
    <row r="81" spans="1:20" x14ac:dyDescent="0.25">
      <c r="A81" t="s">
        <v>870</v>
      </c>
      <c r="B81" t="s">
        <v>871</v>
      </c>
      <c r="C81" t="s">
        <v>24</v>
      </c>
      <c r="D81" t="s">
        <v>3</v>
      </c>
      <c r="E81" t="s">
        <v>7</v>
      </c>
      <c r="F81" s="5">
        <v>132239</v>
      </c>
      <c r="G81" t="s">
        <v>16</v>
      </c>
      <c r="H81" t="s">
        <v>17</v>
      </c>
      <c r="I81" s="5">
        <v>6750</v>
      </c>
      <c r="J81" t="s">
        <v>20</v>
      </c>
      <c r="K81" t="s">
        <v>939</v>
      </c>
      <c r="L81" t="s">
        <v>954</v>
      </c>
      <c r="M81" t="s">
        <v>955</v>
      </c>
      <c r="T81" s="34"/>
    </row>
    <row r="82" spans="1:20" x14ac:dyDescent="0.25">
      <c r="A82" t="s">
        <v>416</v>
      </c>
      <c r="B82" t="s">
        <v>417</v>
      </c>
      <c r="C82" t="s">
        <v>24</v>
      </c>
      <c r="D82" t="s">
        <v>8</v>
      </c>
      <c r="E82" t="s">
        <v>7</v>
      </c>
      <c r="F82" s="5">
        <v>124576</v>
      </c>
      <c r="G82" t="s">
        <v>19</v>
      </c>
      <c r="H82" t="s">
        <v>17</v>
      </c>
      <c r="I82" s="5">
        <v>9000</v>
      </c>
      <c r="J82" t="s">
        <v>20</v>
      </c>
      <c r="K82" t="s">
        <v>937</v>
      </c>
      <c r="L82" t="s">
        <v>948</v>
      </c>
      <c r="M82" t="s">
        <v>949</v>
      </c>
      <c r="T82" s="34"/>
    </row>
    <row r="83" spans="1:20" x14ac:dyDescent="0.25">
      <c r="A83" t="s">
        <v>389</v>
      </c>
      <c r="B83" t="s">
        <v>390</v>
      </c>
      <c r="C83" t="s">
        <v>24</v>
      </c>
      <c r="D83" t="s">
        <v>14</v>
      </c>
      <c r="E83" t="s">
        <v>13</v>
      </c>
      <c r="F83" s="5">
        <v>126485</v>
      </c>
      <c r="G83" t="s">
        <v>19</v>
      </c>
      <c r="H83" t="s">
        <v>17</v>
      </c>
      <c r="I83" s="5">
        <v>9000</v>
      </c>
      <c r="J83" t="s">
        <v>20</v>
      </c>
      <c r="K83" t="s">
        <v>937</v>
      </c>
      <c r="L83" t="s">
        <v>951</v>
      </c>
      <c r="M83" t="s">
        <v>952</v>
      </c>
      <c r="T83" s="34"/>
    </row>
    <row r="84" spans="1:20" x14ac:dyDescent="0.25">
      <c r="A84" t="s">
        <v>273</v>
      </c>
      <c r="B84" t="s">
        <v>274</v>
      </c>
      <c r="C84" t="s">
        <v>24</v>
      </c>
      <c r="D84" t="s">
        <v>11</v>
      </c>
      <c r="E84" t="s">
        <v>4</v>
      </c>
      <c r="F84" s="5">
        <v>128447</v>
      </c>
      <c r="G84" t="s">
        <v>19</v>
      </c>
      <c r="H84" t="s">
        <v>17</v>
      </c>
      <c r="I84" s="5">
        <v>9000</v>
      </c>
      <c r="J84" t="s">
        <v>20</v>
      </c>
      <c r="K84" t="s">
        <v>937</v>
      </c>
      <c r="L84" t="s">
        <v>945</v>
      </c>
      <c r="M84" t="s">
        <v>946</v>
      </c>
      <c r="T84" s="34"/>
    </row>
    <row r="85" spans="1:20" x14ac:dyDescent="0.25">
      <c r="A85" t="s">
        <v>385</v>
      </c>
      <c r="B85" t="s">
        <v>386</v>
      </c>
      <c r="C85" t="s">
        <v>24</v>
      </c>
      <c r="D85" t="s">
        <v>11</v>
      </c>
      <c r="E85" t="s">
        <v>13</v>
      </c>
      <c r="F85" s="5">
        <v>130087</v>
      </c>
      <c r="G85" t="s">
        <v>16</v>
      </c>
      <c r="H85" t="s">
        <v>17</v>
      </c>
      <c r="I85" s="5">
        <v>6750</v>
      </c>
      <c r="J85" t="s">
        <v>20</v>
      </c>
      <c r="K85" t="s">
        <v>939</v>
      </c>
      <c r="L85" t="s">
        <v>945</v>
      </c>
      <c r="M85" t="s">
        <v>946</v>
      </c>
      <c r="T85" s="34"/>
    </row>
    <row r="86" spans="1:20" x14ac:dyDescent="0.25">
      <c r="A86" t="s">
        <v>281</v>
      </c>
      <c r="B86" t="s">
        <v>282</v>
      </c>
      <c r="C86" t="s">
        <v>24</v>
      </c>
      <c r="D86" t="s">
        <v>3</v>
      </c>
      <c r="E86" t="s">
        <v>4</v>
      </c>
      <c r="F86" s="5">
        <v>142148</v>
      </c>
      <c r="G86" t="s">
        <v>16</v>
      </c>
      <c r="H86" t="s">
        <v>17</v>
      </c>
      <c r="I86" s="5">
        <v>6750</v>
      </c>
      <c r="J86" t="s">
        <v>20</v>
      </c>
      <c r="K86" t="s">
        <v>939</v>
      </c>
      <c r="L86" t="s">
        <v>954</v>
      </c>
      <c r="M86" t="s">
        <v>955</v>
      </c>
      <c r="T86" s="34"/>
    </row>
    <row r="87" spans="1:20" x14ac:dyDescent="0.25">
      <c r="A87" t="s">
        <v>294</v>
      </c>
      <c r="B87" t="s">
        <v>295</v>
      </c>
      <c r="C87" t="s">
        <v>24</v>
      </c>
      <c r="D87" t="s">
        <v>11</v>
      </c>
      <c r="E87" t="s">
        <v>4</v>
      </c>
      <c r="F87" s="5">
        <v>151606</v>
      </c>
      <c r="G87" t="s">
        <v>16</v>
      </c>
      <c r="H87" t="s">
        <v>17</v>
      </c>
      <c r="I87" s="5">
        <v>6750</v>
      </c>
      <c r="J87" t="s">
        <v>20</v>
      </c>
      <c r="K87" t="s">
        <v>939</v>
      </c>
      <c r="L87" t="s">
        <v>945</v>
      </c>
      <c r="M87" t="s">
        <v>946</v>
      </c>
      <c r="T87" s="34"/>
    </row>
    <row r="88" spans="1:20" x14ac:dyDescent="0.25">
      <c r="A88" t="s">
        <v>358</v>
      </c>
      <c r="B88" t="s">
        <v>359</v>
      </c>
      <c r="C88" t="s">
        <v>24</v>
      </c>
      <c r="D88" t="s">
        <v>14</v>
      </c>
      <c r="E88" t="s">
        <v>7</v>
      </c>
      <c r="F88" s="5">
        <v>155713</v>
      </c>
      <c r="G88" t="s">
        <v>19</v>
      </c>
      <c r="H88" t="s">
        <v>17</v>
      </c>
      <c r="I88" s="5">
        <v>9000</v>
      </c>
      <c r="J88" t="s">
        <v>20</v>
      </c>
      <c r="K88" t="s">
        <v>939</v>
      </c>
      <c r="L88" t="s">
        <v>951</v>
      </c>
      <c r="M88" t="s">
        <v>952</v>
      </c>
      <c r="T88" s="34"/>
    </row>
    <row r="89" spans="1:20" x14ac:dyDescent="0.25">
      <c r="A89" t="s">
        <v>429</v>
      </c>
      <c r="B89" t="s">
        <v>430</v>
      </c>
      <c r="C89" t="s">
        <v>24</v>
      </c>
      <c r="D89" t="s">
        <v>8</v>
      </c>
      <c r="E89" t="s">
        <v>4</v>
      </c>
      <c r="F89" s="5">
        <v>155792</v>
      </c>
      <c r="G89" t="s">
        <v>16</v>
      </c>
      <c r="H89" t="s">
        <v>17</v>
      </c>
      <c r="I89" s="5">
        <v>6750</v>
      </c>
      <c r="J89" t="s">
        <v>20</v>
      </c>
      <c r="K89" t="s">
        <v>939</v>
      </c>
      <c r="L89" t="s">
        <v>948</v>
      </c>
      <c r="M89" t="s">
        <v>949</v>
      </c>
      <c r="T89" s="34"/>
    </row>
    <row r="90" spans="1:20" x14ac:dyDescent="0.25">
      <c r="A90" t="s">
        <v>831</v>
      </c>
      <c r="B90" t="s">
        <v>832</v>
      </c>
      <c r="C90" t="s">
        <v>24</v>
      </c>
      <c r="D90" t="s">
        <v>11</v>
      </c>
      <c r="E90" t="s">
        <v>4</v>
      </c>
      <c r="F90" s="5">
        <v>141957</v>
      </c>
      <c r="G90" t="s">
        <v>16</v>
      </c>
      <c r="H90" t="s">
        <v>17</v>
      </c>
      <c r="I90" s="5">
        <v>6750</v>
      </c>
      <c r="J90" t="s">
        <v>20</v>
      </c>
      <c r="K90" t="s">
        <v>939</v>
      </c>
      <c r="L90" t="s">
        <v>945</v>
      </c>
      <c r="M90" t="s">
        <v>946</v>
      </c>
      <c r="T90" s="34"/>
    </row>
    <row r="91" spans="1:20" x14ac:dyDescent="0.25">
      <c r="A91" t="s">
        <v>286</v>
      </c>
      <c r="B91" t="s">
        <v>287</v>
      </c>
      <c r="C91" t="s">
        <v>24</v>
      </c>
      <c r="D91" t="s">
        <v>8</v>
      </c>
      <c r="E91" t="s">
        <v>9</v>
      </c>
      <c r="F91" s="5">
        <v>161826</v>
      </c>
      <c r="G91" t="s">
        <v>16</v>
      </c>
      <c r="H91" t="s">
        <v>17</v>
      </c>
      <c r="I91" s="5">
        <v>6750</v>
      </c>
      <c r="J91" t="s">
        <v>20</v>
      </c>
      <c r="K91" t="s">
        <v>939</v>
      </c>
      <c r="L91" t="s">
        <v>948</v>
      </c>
      <c r="M91" t="s">
        <v>949</v>
      </c>
      <c r="T91" s="34"/>
    </row>
    <row r="92" spans="1:20" x14ac:dyDescent="0.25">
      <c r="A92" t="s">
        <v>403</v>
      </c>
      <c r="B92" t="s">
        <v>404</v>
      </c>
      <c r="C92" t="s">
        <v>24</v>
      </c>
      <c r="D92" t="s">
        <v>3</v>
      </c>
      <c r="E92" t="s">
        <v>4</v>
      </c>
      <c r="F92" s="5">
        <v>162242</v>
      </c>
      <c r="G92" t="s">
        <v>19</v>
      </c>
      <c r="H92" t="s">
        <v>17</v>
      </c>
      <c r="I92" s="5">
        <v>9000</v>
      </c>
      <c r="J92" t="s">
        <v>20</v>
      </c>
      <c r="K92" t="s">
        <v>939</v>
      </c>
      <c r="L92" t="s">
        <v>954</v>
      </c>
      <c r="M92" t="s">
        <v>955</v>
      </c>
      <c r="T92" s="34"/>
    </row>
    <row r="93" spans="1:20" x14ac:dyDescent="0.25">
      <c r="A93" t="s">
        <v>414</v>
      </c>
      <c r="B93" t="s">
        <v>415</v>
      </c>
      <c r="C93" t="s">
        <v>24</v>
      </c>
      <c r="D93" t="s">
        <v>14</v>
      </c>
      <c r="E93" t="s">
        <v>7</v>
      </c>
      <c r="F93" s="5">
        <v>162507</v>
      </c>
      <c r="G93" t="s">
        <v>16</v>
      </c>
      <c r="H93" t="s">
        <v>17</v>
      </c>
      <c r="I93" s="5">
        <v>6750</v>
      </c>
      <c r="J93" t="s">
        <v>20</v>
      </c>
      <c r="K93" t="s">
        <v>939</v>
      </c>
      <c r="L93" t="s">
        <v>951</v>
      </c>
      <c r="M93" t="s">
        <v>952</v>
      </c>
      <c r="T93" s="34"/>
    </row>
    <row r="94" spans="1:20" x14ac:dyDescent="0.25">
      <c r="A94" t="s">
        <v>346</v>
      </c>
      <c r="B94" t="s">
        <v>347</v>
      </c>
      <c r="C94" t="s">
        <v>24</v>
      </c>
      <c r="D94" t="s">
        <v>14</v>
      </c>
      <c r="E94" t="s">
        <v>4</v>
      </c>
      <c r="F94" s="5">
        <v>150600</v>
      </c>
      <c r="G94" t="s">
        <v>16</v>
      </c>
      <c r="H94" t="s">
        <v>17</v>
      </c>
      <c r="I94" s="5">
        <v>6750</v>
      </c>
      <c r="J94" t="s">
        <v>20</v>
      </c>
      <c r="K94" t="s">
        <v>939</v>
      </c>
      <c r="L94" t="s">
        <v>951</v>
      </c>
      <c r="M94" t="s">
        <v>952</v>
      </c>
      <c r="T94" s="34"/>
    </row>
    <row r="95" spans="1:20" x14ac:dyDescent="0.25">
      <c r="A95" t="s">
        <v>410</v>
      </c>
      <c r="B95" t="s">
        <v>411</v>
      </c>
      <c r="C95" t="s">
        <v>24</v>
      </c>
      <c r="D95" t="s">
        <v>3</v>
      </c>
      <c r="E95" t="s">
        <v>4</v>
      </c>
      <c r="F95" s="5">
        <v>161535</v>
      </c>
      <c r="G95" t="s">
        <v>19</v>
      </c>
      <c r="H95" t="s">
        <v>17</v>
      </c>
      <c r="I95" s="5">
        <v>9000</v>
      </c>
      <c r="J95" t="s">
        <v>20</v>
      </c>
      <c r="K95" t="s">
        <v>939</v>
      </c>
      <c r="L95" t="s">
        <v>954</v>
      </c>
      <c r="M95" t="s">
        <v>955</v>
      </c>
      <c r="T95" s="34"/>
    </row>
    <row r="96" spans="1:20" x14ac:dyDescent="0.25">
      <c r="A96" t="s">
        <v>864</v>
      </c>
      <c r="B96" t="s">
        <v>865</v>
      </c>
      <c r="C96" t="s">
        <v>24</v>
      </c>
      <c r="D96" t="s">
        <v>14</v>
      </c>
      <c r="E96" t="s">
        <v>7</v>
      </c>
      <c r="F96" s="5">
        <v>143842</v>
      </c>
      <c r="G96" t="s">
        <v>16</v>
      </c>
      <c r="H96" t="s">
        <v>17</v>
      </c>
      <c r="I96" s="5">
        <v>6750</v>
      </c>
      <c r="J96" t="s">
        <v>20</v>
      </c>
      <c r="K96" t="s">
        <v>939</v>
      </c>
      <c r="L96" t="s">
        <v>951</v>
      </c>
      <c r="M96" t="s">
        <v>952</v>
      </c>
      <c r="T96" s="34"/>
    </row>
    <row r="97" spans="1:20" x14ac:dyDescent="0.25">
      <c r="A97" t="s">
        <v>364</v>
      </c>
      <c r="B97" t="s">
        <v>365</v>
      </c>
      <c r="C97" t="s">
        <v>24</v>
      </c>
      <c r="D97" t="s">
        <v>14</v>
      </c>
      <c r="E97" t="s">
        <v>4</v>
      </c>
      <c r="F97" s="5">
        <v>148424</v>
      </c>
      <c r="G97" t="s">
        <v>19</v>
      </c>
      <c r="H97" t="s">
        <v>17</v>
      </c>
      <c r="I97" s="5">
        <v>9000</v>
      </c>
      <c r="J97" t="s">
        <v>20</v>
      </c>
      <c r="K97" t="s">
        <v>939</v>
      </c>
      <c r="L97" t="s">
        <v>951</v>
      </c>
      <c r="M97" t="s">
        <v>952</v>
      </c>
      <c r="T97" s="34"/>
    </row>
    <row r="98" spans="1:20" x14ac:dyDescent="0.25">
      <c r="A98" t="s">
        <v>102</v>
      </c>
      <c r="B98" t="s">
        <v>103</v>
      </c>
      <c r="C98" t="s">
        <v>24</v>
      </c>
      <c r="D98" t="s">
        <v>8</v>
      </c>
      <c r="E98" t="s">
        <v>9</v>
      </c>
      <c r="F98" s="5">
        <v>103324</v>
      </c>
      <c r="G98" t="s">
        <v>6</v>
      </c>
      <c r="H98" t="s">
        <v>10</v>
      </c>
      <c r="I98" s="5">
        <v>2800</v>
      </c>
      <c r="J98" t="s">
        <v>20</v>
      </c>
      <c r="K98" t="s">
        <v>937</v>
      </c>
      <c r="L98" t="s">
        <v>948</v>
      </c>
      <c r="M98" t="s">
        <v>949</v>
      </c>
      <c r="T98" s="34"/>
    </row>
    <row r="99" spans="1:20" x14ac:dyDescent="0.25">
      <c r="A99" t="s">
        <v>224</v>
      </c>
      <c r="B99" t="s">
        <v>225</v>
      </c>
      <c r="C99" t="s">
        <v>24</v>
      </c>
      <c r="D99" t="s">
        <v>12</v>
      </c>
      <c r="E99" t="s">
        <v>7</v>
      </c>
      <c r="F99" s="5">
        <v>100536</v>
      </c>
      <c r="G99" t="s">
        <v>16</v>
      </c>
      <c r="H99" t="s">
        <v>10</v>
      </c>
      <c r="I99" s="5">
        <v>4200</v>
      </c>
      <c r="J99" t="s">
        <v>20</v>
      </c>
      <c r="K99" t="s">
        <v>937</v>
      </c>
      <c r="L99" t="s">
        <v>957</v>
      </c>
      <c r="M99" t="s">
        <v>958</v>
      </c>
      <c r="T99" s="34"/>
    </row>
    <row r="100" spans="1:20" x14ac:dyDescent="0.25">
      <c r="A100" t="s">
        <v>248</v>
      </c>
      <c r="B100" t="s">
        <v>249</v>
      </c>
      <c r="C100" t="s">
        <v>24</v>
      </c>
      <c r="D100" t="s">
        <v>11</v>
      </c>
      <c r="E100" t="s">
        <v>4</v>
      </c>
      <c r="F100" s="5">
        <v>101981</v>
      </c>
      <c r="G100" t="s">
        <v>6</v>
      </c>
      <c r="H100" t="s">
        <v>10</v>
      </c>
      <c r="I100" s="5">
        <v>2800</v>
      </c>
      <c r="J100" t="s">
        <v>20</v>
      </c>
      <c r="K100" t="s">
        <v>937</v>
      </c>
      <c r="L100" t="s">
        <v>945</v>
      </c>
      <c r="M100" t="s">
        <v>946</v>
      </c>
      <c r="T100" s="34"/>
    </row>
    <row r="101" spans="1:20" x14ac:dyDescent="0.25">
      <c r="A101" t="s">
        <v>44</v>
      </c>
      <c r="B101" t="s">
        <v>45</v>
      </c>
      <c r="C101" t="s">
        <v>24</v>
      </c>
      <c r="D101" t="s">
        <v>3</v>
      </c>
      <c r="E101" t="s">
        <v>13</v>
      </c>
      <c r="F101" s="5">
        <v>102798</v>
      </c>
      <c r="G101" t="s">
        <v>16</v>
      </c>
      <c r="H101" t="s">
        <v>10</v>
      </c>
      <c r="I101" s="5">
        <v>4200</v>
      </c>
      <c r="J101" t="s">
        <v>20</v>
      </c>
      <c r="K101" t="s">
        <v>937</v>
      </c>
      <c r="L101" t="s">
        <v>954</v>
      </c>
      <c r="M101" t="s">
        <v>955</v>
      </c>
      <c r="T101" s="34"/>
    </row>
    <row r="102" spans="1:20" x14ac:dyDescent="0.25">
      <c r="A102" t="s">
        <v>218</v>
      </c>
      <c r="B102" t="s">
        <v>219</v>
      </c>
      <c r="C102" t="s">
        <v>24</v>
      </c>
      <c r="D102" t="s">
        <v>11</v>
      </c>
      <c r="E102" t="s">
        <v>13</v>
      </c>
      <c r="F102" s="5">
        <v>103416</v>
      </c>
      <c r="G102" t="s">
        <v>6</v>
      </c>
      <c r="H102" t="s">
        <v>10</v>
      </c>
      <c r="I102" s="5">
        <v>2800</v>
      </c>
      <c r="J102" t="s">
        <v>20</v>
      </c>
      <c r="K102" t="s">
        <v>937</v>
      </c>
      <c r="L102" t="s">
        <v>945</v>
      </c>
      <c r="M102" t="s">
        <v>946</v>
      </c>
      <c r="T102" s="34"/>
    </row>
    <row r="103" spans="1:20" x14ac:dyDescent="0.25">
      <c r="A103" t="s">
        <v>36</v>
      </c>
      <c r="B103" t="s">
        <v>37</v>
      </c>
      <c r="C103" t="s">
        <v>24</v>
      </c>
      <c r="D103" t="s">
        <v>3</v>
      </c>
      <c r="E103" t="s">
        <v>13</v>
      </c>
      <c r="F103" s="5">
        <v>96280</v>
      </c>
      <c r="G103" t="s">
        <v>6</v>
      </c>
      <c r="H103" t="s">
        <v>10</v>
      </c>
      <c r="I103" s="5">
        <v>2800</v>
      </c>
      <c r="J103" t="s">
        <v>20</v>
      </c>
      <c r="K103" t="s">
        <v>937</v>
      </c>
      <c r="L103" t="s">
        <v>954</v>
      </c>
      <c r="M103" t="s">
        <v>955</v>
      </c>
      <c r="T103" s="34"/>
    </row>
    <row r="104" spans="1:20" x14ac:dyDescent="0.25">
      <c r="A104" t="s">
        <v>186</v>
      </c>
      <c r="B104" t="s">
        <v>187</v>
      </c>
      <c r="C104" t="s">
        <v>24</v>
      </c>
      <c r="D104" t="s">
        <v>14</v>
      </c>
      <c r="E104" t="s">
        <v>13</v>
      </c>
      <c r="F104" s="5">
        <v>89258</v>
      </c>
      <c r="G104" t="s">
        <v>6</v>
      </c>
      <c r="H104" t="s">
        <v>10</v>
      </c>
      <c r="I104" s="5">
        <v>2800</v>
      </c>
      <c r="J104" t="s">
        <v>20</v>
      </c>
      <c r="K104" t="s">
        <v>937</v>
      </c>
      <c r="L104" t="s">
        <v>951</v>
      </c>
      <c r="M104" t="s">
        <v>952</v>
      </c>
      <c r="T104" s="34"/>
    </row>
    <row r="105" spans="1:20" x14ac:dyDescent="0.25">
      <c r="A105" t="s">
        <v>128</v>
      </c>
      <c r="B105" t="s">
        <v>129</v>
      </c>
      <c r="C105" t="s">
        <v>24</v>
      </c>
      <c r="D105" t="s">
        <v>8</v>
      </c>
      <c r="E105" t="s">
        <v>9</v>
      </c>
      <c r="F105" s="5">
        <v>90936</v>
      </c>
      <c r="G105" t="s">
        <v>16</v>
      </c>
      <c r="H105" t="s">
        <v>10</v>
      </c>
      <c r="I105" s="5">
        <v>4200</v>
      </c>
      <c r="J105" t="s">
        <v>20</v>
      </c>
      <c r="K105" t="s">
        <v>937</v>
      </c>
      <c r="L105" t="s">
        <v>948</v>
      </c>
      <c r="M105" t="s">
        <v>949</v>
      </c>
      <c r="T105" s="34"/>
    </row>
    <row r="106" spans="1:20" x14ac:dyDescent="0.25">
      <c r="A106" t="s">
        <v>259</v>
      </c>
      <c r="B106" t="s">
        <v>260</v>
      </c>
      <c r="C106" t="s">
        <v>24</v>
      </c>
      <c r="D106" t="s">
        <v>3</v>
      </c>
      <c r="E106" t="s">
        <v>13</v>
      </c>
      <c r="F106" s="5">
        <v>96034</v>
      </c>
      <c r="G106" t="s">
        <v>6</v>
      </c>
      <c r="H106" t="s">
        <v>10</v>
      </c>
      <c r="I106" s="5">
        <v>2800</v>
      </c>
      <c r="J106" t="s">
        <v>20</v>
      </c>
      <c r="K106" t="s">
        <v>937</v>
      </c>
      <c r="L106" t="s">
        <v>954</v>
      </c>
      <c r="M106" t="s">
        <v>955</v>
      </c>
      <c r="T106" s="34"/>
    </row>
    <row r="107" spans="1:20" x14ac:dyDescent="0.25">
      <c r="A107" t="s">
        <v>40</v>
      </c>
      <c r="B107" t="s">
        <v>41</v>
      </c>
      <c r="C107" t="s">
        <v>24</v>
      </c>
      <c r="D107" t="s">
        <v>11</v>
      </c>
      <c r="E107" t="s">
        <v>9</v>
      </c>
      <c r="F107" s="5">
        <v>92102</v>
      </c>
      <c r="G107" t="s">
        <v>16</v>
      </c>
      <c r="H107" t="s">
        <v>10</v>
      </c>
      <c r="I107" s="5">
        <v>4200</v>
      </c>
      <c r="J107" t="s">
        <v>20</v>
      </c>
      <c r="K107" t="s">
        <v>937</v>
      </c>
      <c r="L107" t="s">
        <v>945</v>
      </c>
      <c r="M107" t="s">
        <v>946</v>
      </c>
      <c r="T107" s="34"/>
    </row>
    <row r="108" spans="1:20" x14ac:dyDescent="0.25">
      <c r="A108" t="s">
        <v>230</v>
      </c>
      <c r="B108" t="s">
        <v>231</v>
      </c>
      <c r="C108" t="s">
        <v>24</v>
      </c>
      <c r="D108" t="s">
        <v>3</v>
      </c>
      <c r="E108" t="s">
        <v>13</v>
      </c>
      <c r="F108" s="5">
        <v>92318</v>
      </c>
      <c r="G108" t="s">
        <v>6</v>
      </c>
      <c r="H108" t="s">
        <v>10</v>
      </c>
      <c r="I108" s="5">
        <v>2800</v>
      </c>
      <c r="J108" t="s">
        <v>20</v>
      </c>
      <c r="K108" t="s">
        <v>937</v>
      </c>
      <c r="L108" t="s">
        <v>954</v>
      </c>
      <c r="M108" t="s">
        <v>955</v>
      </c>
      <c r="T108" s="34"/>
    </row>
    <row r="109" spans="1:20" x14ac:dyDescent="0.25">
      <c r="A109" t="s">
        <v>38</v>
      </c>
      <c r="B109" t="s">
        <v>39</v>
      </c>
      <c r="C109" t="s">
        <v>24</v>
      </c>
      <c r="D109" t="s">
        <v>14</v>
      </c>
      <c r="E109" t="s">
        <v>7</v>
      </c>
      <c r="F109" s="5">
        <v>117967</v>
      </c>
      <c r="G109" t="s">
        <v>6</v>
      </c>
      <c r="H109" t="s">
        <v>10</v>
      </c>
      <c r="I109" s="5">
        <v>2800</v>
      </c>
      <c r="J109" t="s">
        <v>20</v>
      </c>
      <c r="K109" t="s">
        <v>937</v>
      </c>
      <c r="L109" t="s">
        <v>951</v>
      </c>
      <c r="M109" t="s">
        <v>952</v>
      </c>
      <c r="T109" s="34"/>
    </row>
    <row r="110" spans="1:20" x14ac:dyDescent="0.25">
      <c r="A110" t="s">
        <v>162</v>
      </c>
      <c r="B110" t="s">
        <v>163</v>
      </c>
      <c r="C110" t="s">
        <v>24</v>
      </c>
      <c r="D110" t="s">
        <v>11</v>
      </c>
      <c r="E110" t="s">
        <v>4</v>
      </c>
      <c r="F110" s="5">
        <v>119922</v>
      </c>
      <c r="G110" t="s">
        <v>16</v>
      </c>
      <c r="H110" t="s">
        <v>10</v>
      </c>
      <c r="I110" s="5">
        <v>4200</v>
      </c>
      <c r="J110" t="s">
        <v>20</v>
      </c>
      <c r="K110" t="s">
        <v>937</v>
      </c>
      <c r="L110" t="s">
        <v>945</v>
      </c>
      <c r="M110" t="s">
        <v>946</v>
      </c>
      <c r="T110" s="34"/>
    </row>
    <row r="111" spans="1:20" x14ac:dyDescent="0.25">
      <c r="A111" t="s">
        <v>42</v>
      </c>
      <c r="B111" t="s">
        <v>43</v>
      </c>
      <c r="C111" t="s">
        <v>24</v>
      </c>
      <c r="D111" t="s">
        <v>12</v>
      </c>
      <c r="E111" t="s">
        <v>4</v>
      </c>
      <c r="F111" s="5">
        <v>120339</v>
      </c>
      <c r="G111" t="s">
        <v>16</v>
      </c>
      <c r="H111" t="s">
        <v>10</v>
      </c>
      <c r="I111" s="5">
        <v>4200</v>
      </c>
      <c r="J111" t="s">
        <v>20</v>
      </c>
      <c r="K111" t="s">
        <v>937</v>
      </c>
      <c r="L111" t="s">
        <v>957</v>
      </c>
      <c r="M111" t="s">
        <v>958</v>
      </c>
      <c r="T111" s="34"/>
    </row>
    <row r="112" spans="1:20" x14ac:dyDescent="0.25">
      <c r="A112" t="s">
        <v>74</v>
      </c>
      <c r="B112" t="s">
        <v>75</v>
      </c>
      <c r="C112" t="s">
        <v>24</v>
      </c>
      <c r="D112" t="s">
        <v>12</v>
      </c>
      <c r="E112" t="s">
        <v>4</v>
      </c>
      <c r="F112" s="5">
        <v>121422</v>
      </c>
      <c r="G112" t="s">
        <v>6</v>
      </c>
      <c r="H112" t="s">
        <v>10</v>
      </c>
      <c r="I112" s="5">
        <v>2800</v>
      </c>
      <c r="J112" t="s">
        <v>20</v>
      </c>
      <c r="K112" t="s">
        <v>937</v>
      </c>
      <c r="L112" t="s">
        <v>957</v>
      </c>
      <c r="M112" t="s">
        <v>958</v>
      </c>
      <c r="T112" s="34"/>
    </row>
    <row r="113" spans="1:20" x14ac:dyDescent="0.25">
      <c r="A113" t="s">
        <v>232</v>
      </c>
      <c r="B113" t="s">
        <v>233</v>
      </c>
      <c r="C113" t="s">
        <v>24</v>
      </c>
      <c r="D113" t="s">
        <v>12</v>
      </c>
      <c r="E113" t="s">
        <v>7</v>
      </c>
      <c r="F113" s="5">
        <v>107757</v>
      </c>
      <c r="G113" t="s">
        <v>6</v>
      </c>
      <c r="H113" t="s">
        <v>10</v>
      </c>
      <c r="I113" s="5">
        <v>2800</v>
      </c>
      <c r="J113" t="s">
        <v>20</v>
      </c>
      <c r="K113" t="s">
        <v>937</v>
      </c>
      <c r="L113" t="s">
        <v>957</v>
      </c>
      <c r="M113" t="s">
        <v>958</v>
      </c>
      <c r="T113" s="34"/>
    </row>
    <row r="114" spans="1:20" x14ac:dyDescent="0.25">
      <c r="A114" t="s">
        <v>210</v>
      </c>
      <c r="B114" t="s">
        <v>211</v>
      </c>
      <c r="C114" t="s">
        <v>24</v>
      </c>
      <c r="D114" t="s">
        <v>14</v>
      </c>
      <c r="E114" t="s">
        <v>4</v>
      </c>
      <c r="F114" s="5">
        <v>108652</v>
      </c>
      <c r="G114" t="s">
        <v>16</v>
      </c>
      <c r="H114" t="s">
        <v>10</v>
      </c>
      <c r="I114" s="5">
        <v>4200</v>
      </c>
      <c r="J114" t="s">
        <v>20</v>
      </c>
      <c r="K114" t="s">
        <v>937</v>
      </c>
      <c r="L114" t="s">
        <v>951</v>
      </c>
      <c r="M114" t="s">
        <v>952</v>
      </c>
      <c r="T114" s="34"/>
    </row>
    <row r="115" spans="1:20" x14ac:dyDescent="0.25">
      <c r="A115" t="s">
        <v>56</v>
      </c>
      <c r="B115" t="s">
        <v>57</v>
      </c>
      <c r="C115" t="s">
        <v>24</v>
      </c>
      <c r="D115" t="s">
        <v>12</v>
      </c>
      <c r="E115" t="s">
        <v>9</v>
      </c>
      <c r="F115" s="5">
        <v>110047</v>
      </c>
      <c r="G115" t="s">
        <v>6</v>
      </c>
      <c r="H115" t="s">
        <v>10</v>
      </c>
      <c r="I115" s="5">
        <v>2800</v>
      </c>
      <c r="J115" t="s">
        <v>20</v>
      </c>
      <c r="K115" t="s">
        <v>937</v>
      </c>
      <c r="L115" t="s">
        <v>957</v>
      </c>
      <c r="M115" t="s">
        <v>958</v>
      </c>
      <c r="T115" s="34"/>
    </row>
    <row r="116" spans="1:20" x14ac:dyDescent="0.25">
      <c r="A116" t="s">
        <v>160</v>
      </c>
      <c r="B116" t="s">
        <v>161</v>
      </c>
      <c r="C116" t="s">
        <v>24</v>
      </c>
      <c r="D116" t="s">
        <v>8</v>
      </c>
      <c r="E116" t="s">
        <v>9</v>
      </c>
      <c r="F116" s="5">
        <v>110346</v>
      </c>
      <c r="G116" t="s">
        <v>16</v>
      </c>
      <c r="H116" t="s">
        <v>10</v>
      </c>
      <c r="I116" s="5">
        <v>4200</v>
      </c>
      <c r="J116" t="s">
        <v>20</v>
      </c>
      <c r="K116" t="s">
        <v>937</v>
      </c>
      <c r="L116" t="s">
        <v>948</v>
      </c>
      <c r="M116" t="s">
        <v>949</v>
      </c>
      <c r="T116" s="34"/>
    </row>
    <row r="117" spans="1:20" x14ac:dyDescent="0.25">
      <c r="A117" t="s">
        <v>142</v>
      </c>
      <c r="B117" t="s">
        <v>143</v>
      </c>
      <c r="C117" t="s">
        <v>24</v>
      </c>
      <c r="D117" t="s">
        <v>11</v>
      </c>
      <c r="E117" t="s">
        <v>4</v>
      </c>
      <c r="F117" s="5">
        <v>110961</v>
      </c>
      <c r="G117" t="s">
        <v>6</v>
      </c>
      <c r="H117" t="s">
        <v>10</v>
      </c>
      <c r="I117" s="5">
        <v>2800</v>
      </c>
      <c r="J117" t="s">
        <v>20</v>
      </c>
      <c r="K117" t="s">
        <v>937</v>
      </c>
      <c r="L117" t="s">
        <v>945</v>
      </c>
      <c r="M117" t="s">
        <v>946</v>
      </c>
      <c r="T117" s="34"/>
    </row>
    <row r="118" spans="1:20" x14ac:dyDescent="0.25">
      <c r="A118" t="s">
        <v>114</v>
      </c>
      <c r="B118" t="s">
        <v>115</v>
      </c>
      <c r="C118" t="s">
        <v>24</v>
      </c>
      <c r="D118" t="s">
        <v>3</v>
      </c>
      <c r="E118" t="s">
        <v>9</v>
      </c>
      <c r="F118" s="5">
        <v>111313</v>
      </c>
      <c r="G118" t="s">
        <v>6</v>
      </c>
      <c r="H118" t="s">
        <v>10</v>
      </c>
      <c r="I118" s="5">
        <v>2800</v>
      </c>
      <c r="J118" t="s">
        <v>20</v>
      </c>
      <c r="K118" t="s">
        <v>937</v>
      </c>
      <c r="L118" t="s">
        <v>954</v>
      </c>
      <c r="M118" t="s">
        <v>955</v>
      </c>
      <c r="T118" s="34"/>
    </row>
    <row r="119" spans="1:20" x14ac:dyDescent="0.25">
      <c r="A119" t="s">
        <v>112</v>
      </c>
      <c r="B119" t="s">
        <v>113</v>
      </c>
      <c r="C119" t="s">
        <v>24</v>
      </c>
      <c r="D119" t="s">
        <v>11</v>
      </c>
      <c r="E119" t="s">
        <v>13</v>
      </c>
      <c r="F119" s="5">
        <v>61807</v>
      </c>
      <c r="G119" t="s">
        <v>16</v>
      </c>
      <c r="H119" t="s">
        <v>10</v>
      </c>
      <c r="I119" s="5">
        <v>4200</v>
      </c>
      <c r="J119" t="s">
        <v>20</v>
      </c>
      <c r="K119" t="s">
        <v>938</v>
      </c>
      <c r="L119" t="s">
        <v>945</v>
      </c>
      <c r="M119" t="s">
        <v>946</v>
      </c>
      <c r="T119" s="34"/>
    </row>
    <row r="120" spans="1:20" x14ac:dyDescent="0.25">
      <c r="A120" t="s">
        <v>130</v>
      </c>
      <c r="B120" t="s">
        <v>131</v>
      </c>
      <c r="C120" t="s">
        <v>24</v>
      </c>
      <c r="D120" t="s">
        <v>3</v>
      </c>
      <c r="E120" t="s">
        <v>13</v>
      </c>
      <c r="F120" s="5">
        <v>59405</v>
      </c>
      <c r="G120" t="s">
        <v>6</v>
      </c>
      <c r="H120" t="s">
        <v>10</v>
      </c>
      <c r="I120" s="5">
        <v>2800</v>
      </c>
      <c r="J120" t="s">
        <v>20</v>
      </c>
      <c r="K120" t="s">
        <v>938</v>
      </c>
      <c r="L120" t="s">
        <v>954</v>
      </c>
      <c r="M120" t="s">
        <v>955</v>
      </c>
      <c r="T120" s="34"/>
    </row>
    <row r="121" spans="1:20" x14ac:dyDescent="0.25">
      <c r="A121" t="s">
        <v>66</v>
      </c>
      <c r="B121" t="s">
        <v>67</v>
      </c>
      <c r="C121" t="s">
        <v>24</v>
      </c>
      <c r="D121" t="s">
        <v>14</v>
      </c>
      <c r="E121" t="s">
        <v>7</v>
      </c>
      <c r="F121" s="5">
        <v>65043</v>
      </c>
      <c r="G121" t="s">
        <v>16</v>
      </c>
      <c r="H121" t="s">
        <v>10</v>
      </c>
      <c r="I121" s="5">
        <v>4200</v>
      </c>
      <c r="J121" t="s">
        <v>20</v>
      </c>
      <c r="K121" t="s">
        <v>938</v>
      </c>
      <c r="L121" t="s">
        <v>951</v>
      </c>
      <c r="M121" t="s">
        <v>952</v>
      </c>
      <c r="T121" s="34"/>
    </row>
    <row r="122" spans="1:20" x14ac:dyDescent="0.25">
      <c r="A122" t="s">
        <v>182</v>
      </c>
      <c r="B122" t="s">
        <v>183</v>
      </c>
      <c r="C122" t="s">
        <v>24</v>
      </c>
      <c r="D122" t="s">
        <v>8</v>
      </c>
      <c r="E122" t="s">
        <v>13</v>
      </c>
      <c r="F122" s="5">
        <v>66113</v>
      </c>
      <c r="G122" t="s">
        <v>16</v>
      </c>
      <c r="H122" t="s">
        <v>10</v>
      </c>
      <c r="I122" s="5">
        <v>4200</v>
      </c>
      <c r="J122" t="s">
        <v>20</v>
      </c>
      <c r="K122" t="s">
        <v>938</v>
      </c>
      <c r="L122" t="s">
        <v>948</v>
      </c>
      <c r="M122" t="s">
        <v>949</v>
      </c>
      <c r="T122" s="34"/>
    </row>
    <row r="123" spans="1:20" x14ac:dyDescent="0.25">
      <c r="A123" t="s">
        <v>138</v>
      </c>
      <c r="B123" t="s">
        <v>139</v>
      </c>
      <c r="C123" t="s">
        <v>24</v>
      </c>
      <c r="D123" t="s">
        <v>3</v>
      </c>
      <c r="E123" t="s">
        <v>13</v>
      </c>
      <c r="F123" s="5">
        <v>52518</v>
      </c>
      <c r="G123" t="s">
        <v>16</v>
      </c>
      <c r="H123" t="s">
        <v>10</v>
      </c>
      <c r="I123" s="5">
        <v>4200</v>
      </c>
      <c r="J123" t="s">
        <v>20</v>
      </c>
      <c r="K123" t="s">
        <v>938</v>
      </c>
      <c r="L123" t="s">
        <v>954</v>
      </c>
      <c r="M123" t="s">
        <v>955</v>
      </c>
      <c r="T123" s="34"/>
    </row>
    <row r="124" spans="1:20" x14ac:dyDescent="0.25">
      <c r="A124" t="s">
        <v>234</v>
      </c>
      <c r="B124" t="s">
        <v>235</v>
      </c>
      <c r="C124" t="s">
        <v>24</v>
      </c>
      <c r="D124" t="s">
        <v>8</v>
      </c>
      <c r="E124" t="s">
        <v>9</v>
      </c>
      <c r="F124" s="5">
        <v>53107</v>
      </c>
      <c r="G124" t="s">
        <v>16</v>
      </c>
      <c r="H124" t="s">
        <v>10</v>
      </c>
      <c r="I124" s="5">
        <v>4200</v>
      </c>
      <c r="J124" t="s">
        <v>20</v>
      </c>
      <c r="K124" t="s">
        <v>938</v>
      </c>
      <c r="L124" t="s">
        <v>948</v>
      </c>
      <c r="M124" t="s">
        <v>949</v>
      </c>
      <c r="T124" s="34"/>
    </row>
    <row r="125" spans="1:20" x14ac:dyDescent="0.25">
      <c r="A125" t="s">
        <v>158</v>
      </c>
      <c r="B125" t="s">
        <v>159</v>
      </c>
      <c r="C125" t="s">
        <v>24</v>
      </c>
      <c r="D125" t="s">
        <v>11</v>
      </c>
      <c r="E125" t="s">
        <v>4</v>
      </c>
      <c r="F125" s="5">
        <v>53213</v>
      </c>
      <c r="G125" t="s">
        <v>6</v>
      </c>
      <c r="H125" t="s">
        <v>10</v>
      </c>
      <c r="I125" s="5">
        <v>2800</v>
      </c>
      <c r="J125" t="s">
        <v>20</v>
      </c>
      <c r="K125" t="s">
        <v>938</v>
      </c>
      <c r="L125" t="s">
        <v>945</v>
      </c>
      <c r="M125" t="s">
        <v>946</v>
      </c>
      <c r="T125" s="34"/>
    </row>
    <row r="126" spans="1:20" x14ac:dyDescent="0.25">
      <c r="A126" t="s">
        <v>252</v>
      </c>
      <c r="B126" t="s">
        <v>253</v>
      </c>
      <c r="C126" t="s">
        <v>24</v>
      </c>
      <c r="D126" t="s">
        <v>12</v>
      </c>
      <c r="E126" t="s">
        <v>7</v>
      </c>
      <c r="F126" s="5">
        <v>53319</v>
      </c>
      <c r="G126" t="s">
        <v>6</v>
      </c>
      <c r="H126" t="s">
        <v>10</v>
      </c>
      <c r="I126" s="5">
        <v>2800</v>
      </c>
      <c r="J126" t="s">
        <v>20</v>
      </c>
      <c r="K126" t="s">
        <v>938</v>
      </c>
      <c r="L126" t="s">
        <v>957</v>
      </c>
      <c r="M126" t="s">
        <v>958</v>
      </c>
      <c r="T126" s="34"/>
    </row>
    <row r="127" spans="1:20" x14ac:dyDescent="0.25">
      <c r="A127" t="s">
        <v>170</v>
      </c>
      <c r="B127" t="s">
        <v>171</v>
      </c>
      <c r="C127" t="s">
        <v>24</v>
      </c>
      <c r="D127" t="s">
        <v>8</v>
      </c>
      <c r="E127" t="s">
        <v>9</v>
      </c>
      <c r="F127" s="5">
        <v>54410</v>
      </c>
      <c r="G127" t="s">
        <v>16</v>
      </c>
      <c r="H127" t="s">
        <v>10</v>
      </c>
      <c r="I127" s="5">
        <v>4200</v>
      </c>
      <c r="J127" t="s">
        <v>20</v>
      </c>
      <c r="K127" t="s">
        <v>938</v>
      </c>
      <c r="L127" t="s">
        <v>948</v>
      </c>
      <c r="M127" t="s">
        <v>949</v>
      </c>
      <c r="T127" s="34"/>
    </row>
    <row r="128" spans="1:20" x14ac:dyDescent="0.25">
      <c r="A128" t="s">
        <v>96</v>
      </c>
      <c r="B128" t="s">
        <v>97</v>
      </c>
      <c r="C128" t="s">
        <v>24</v>
      </c>
      <c r="D128" t="s">
        <v>12</v>
      </c>
      <c r="E128" t="s">
        <v>7</v>
      </c>
      <c r="F128" s="5">
        <v>55047</v>
      </c>
      <c r="G128" t="s">
        <v>16</v>
      </c>
      <c r="H128" t="s">
        <v>10</v>
      </c>
      <c r="I128" s="5">
        <v>4200</v>
      </c>
      <c r="J128" t="s">
        <v>20</v>
      </c>
      <c r="K128" t="s">
        <v>938</v>
      </c>
      <c r="L128" t="s">
        <v>957</v>
      </c>
      <c r="M128" t="s">
        <v>958</v>
      </c>
      <c r="T128" s="34"/>
    </row>
    <row r="129" spans="1:20" x14ac:dyDescent="0.25">
      <c r="A129" t="s">
        <v>258</v>
      </c>
      <c r="B129" t="s">
        <v>249</v>
      </c>
      <c r="C129" t="s">
        <v>24</v>
      </c>
      <c r="D129" t="s">
        <v>14</v>
      </c>
      <c r="E129" t="s">
        <v>9</v>
      </c>
      <c r="F129" s="5">
        <v>66605</v>
      </c>
      <c r="G129" t="s">
        <v>6</v>
      </c>
      <c r="H129" t="s">
        <v>10</v>
      </c>
      <c r="I129" s="5">
        <v>2800</v>
      </c>
      <c r="J129" t="s">
        <v>20</v>
      </c>
      <c r="K129" t="s">
        <v>938</v>
      </c>
      <c r="L129" t="s">
        <v>951</v>
      </c>
      <c r="M129" t="s">
        <v>952</v>
      </c>
      <c r="T129" s="34"/>
    </row>
    <row r="130" spans="1:20" x14ac:dyDescent="0.25">
      <c r="A130" t="s">
        <v>78</v>
      </c>
      <c r="B130" t="s">
        <v>79</v>
      </c>
      <c r="C130" t="s">
        <v>24</v>
      </c>
      <c r="D130" t="s">
        <v>14</v>
      </c>
      <c r="E130" t="s">
        <v>7</v>
      </c>
      <c r="F130" s="5">
        <v>66864</v>
      </c>
      <c r="G130" t="s">
        <v>16</v>
      </c>
      <c r="H130" t="s">
        <v>10</v>
      </c>
      <c r="I130" s="5">
        <v>4200</v>
      </c>
      <c r="J130" t="s">
        <v>20</v>
      </c>
      <c r="K130" t="s">
        <v>938</v>
      </c>
      <c r="L130" t="s">
        <v>951</v>
      </c>
      <c r="M130" t="s">
        <v>952</v>
      </c>
      <c r="T130" s="34"/>
    </row>
    <row r="131" spans="1:20" x14ac:dyDescent="0.25">
      <c r="A131" t="s">
        <v>104</v>
      </c>
      <c r="B131" t="s">
        <v>105</v>
      </c>
      <c r="C131" t="s">
        <v>24</v>
      </c>
      <c r="D131" t="s">
        <v>12</v>
      </c>
      <c r="E131" t="s">
        <v>13</v>
      </c>
      <c r="F131" s="5">
        <v>80212</v>
      </c>
      <c r="G131" t="s">
        <v>16</v>
      </c>
      <c r="H131" t="s">
        <v>10</v>
      </c>
      <c r="I131" s="5">
        <v>4200</v>
      </c>
      <c r="J131" t="s">
        <v>20</v>
      </c>
      <c r="K131" t="s">
        <v>938</v>
      </c>
      <c r="L131" t="s">
        <v>957</v>
      </c>
      <c r="M131" t="s">
        <v>958</v>
      </c>
      <c r="T131" s="34"/>
    </row>
    <row r="132" spans="1:20" x14ac:dyDescent="0.25">
      <c r="A132" t="s">
        <v>178</v>
      </c>
      <c r="B132" t="s">
        <v>179</v>
      </c>
      <c r="C132" t="s">
        <v>24</v>
      </c>
      <c r="D132" t="s">
        <v>3</v>
      </c>
      <c r="E132" t="s">
        <v>9</v>
      </c>
      <c r="F132" s="5">
        <v>80927</v>
      </c>
      <c r="G132" t="s">
        <v>6</v>
      </c>
      <c r="H132" t="s">
        <v>10</v>
      </c>
      <c r="I132" s="5">
        <v>2800</v>
      </c>
      <c r="J132" t="s">
        <v>20</v>
      </c>
      <c r="K132" t="s">
        <v>938</v>
      </c>
      <c r="L132" t="s">
        <v>954</v>
      </c>
      <c r="M132" t="s">
        <v>955</v>
      </c>
      <c r="T132" s="34"/>
    </row>
    <row r="133" spans="1:20" x14ac:dyDescent="0.25">
      <c r="A133" t="s">
        <v>254</v>
      </c>
      <c r="B133" t="s">
        <v>255</v>
      </c>
      <c r="C133" t="s">
        <v>24</v>
      </c>
      <c r="D133" t="s">
        <v>8</v>
      </c>
      <c r="E133" t="s">
        <v>7</v>
      </c>
      <c r="F133" s="5">
        <v>82771</v>
      </c>
      <c r="G133" t="s">
        <v>6</v>
      </c>
      <c r="H133" t="s">
        <v>10</v>
      </c>
      <c r="I133" s="5">
        <v>2800</v>
      </c>
      <c r="J133" t="s">
        <v>20</v>
      </c>
      <c r="K133" t="s">
        <v>937</v>
      </c>
      <c r="L133" t="s">
        <v>948</v>
      </c>
      <c r="M133" t="s">
        <v>949</v>
      </c>
      <c r="T133" s="34"/>
    </row>
    <row r="134" spans="1:20" x14ac:dyDescent="0.25">
      <c r="A134" t="s">
        <v>176</v>
      </c>
      <c r="B134" t="s">
        <v>177</v>
      </c>
      <c r="C134" t="s">
        <v>24</v>
      </c>
      <c r="D134" t="s">
        <v>14</v>
      </c>
      <c r="E134" t="s">
        <v>9</v>
      </c>
      <c r="F134" s="5">
        <v>85342</v>
      </c>
      <c r="G134" t="s">
        <v>6</v>
      </c>
      <c r="H134" t="s">
        <v>10</v>
      </c>
      <c r="I134" s="5">
        <v>2800</v>
      </c>
      <c r="J134" t="s">
        <v>20</v>
      </c>
      <c r="K134" t="s">
        <v>937</v>
      </c>
      <c r="L134" t="s">
        <v>951</v>
      </c>
      <c r="M134" t="s">
        <v>952</v>
      </c>
      <c r="T134" s="34"/>
    </row>
    <row r="135" spans="1:20" x14ac:dyDescent="0.25">
      <c r="A135" t="s">
        <v>236</v>
      </c>
      <c r="B135" t="s">
        <v>237</v>
      </c>
      <c r="C135" t="s">
        <v>24</v>
      </c>
      <c r="D135" t="s">
        <v>11</v>
      </c>
      <c r="E135" t="s">
        <v>9</v>
      </c>
      <c r="F135" s="5">
        <v>87571</v>
      </c>
      <c r="G135" t="s">
        <v>6</v>
      </c>
      <c r="H135" t="s">
        <v>10</v>
      </c>
      <c r="I135" s="5">
        <v>2800</v>
      </c>
      <c r="J135" t="s">
        <v>20</v>
      </c>
      <c r="K135" t="s">
        <v>937</v>
      </c>
      <c r="L135" t="s">
        <v>945</v>
      </c>
      <c r="M135" t="s">
        <v>946</v>
      </c>
      <c r="T135" s="34"/>
    </row>
    <row r="136" spans="1:20" x14ac:dyDescent="0.25">
      <c r="A136" t="s">
        <v>154</v>
      </c>
      <c r="B136" t="s">
        <v>155</v>
      </c>
      <c r="C136" t="s">
        <v>24</v>
      </c>
      <c r="D136" t="s">
        <v>14</v>
      </c>
      <c r="E136" t="s">
        <v>13</v>
      </c>
      <c r="F136" s="5">
        <v>79051</v>
      </c>
      <c r="G136" t="s">
        <v>6</v>
      </c>
      <c r="H136" t="s">
        <v>10</v>
      </c>
      <c r="I136" s="5">
        <v>2800</v>
      </c>
      <c r="J136" t="s">
        <v>20</v>
      </c>
      <c r="K136" t="s">
        <v>938</v>
      </c>
      <c r="L136" t="s">
        <v>951</v>
      </c>
      <c r="M136" t="s">
        <v>952</v>
      </c>
      <c r="T136" s="34"/>
    </row>
    <row r="137" spans="1:20" x14ac:dyDescent="0.25">
      <c r="A137" t="s">
        <v>180</v>
      </c>
      <c r="B137" t="s">
        <v>181</v>
      </c>
      <c r="C137" t="s">
        <v>24</v>
      </c>
      <c r="D137" t="s">
        <v>8</v>
      </c>
      <c r="E137" t="s">
        <v>13</v>
      </c>
      <c r="F137" s="5">
        <v>70322</v>
      </c>
      <c r="G137" t="s">
        <v>6</v>
      </c>
      <c r="H137" t="s">
        <v>10</v>
      </c>
      <c r="I137" s="5">
        <v>2800</v>
      </c>
      <c r="J137" t="s">
        <v>20</v>
      </c>
      <c r="K137" t="s">
        <v>938</v>
      </c>
      <c r="L137" t="s">
        <v>948</v>
      </c>
      <c r="M137" t="s">
        <v>949</v>
      </c>
      <c r="T137" s="34"/>
    </row>
    <row r="138" spans="1:20" x14ac:dyDescent="0.25">
      <c r="A138" t="s">
        <v>106</v>
      </c>
      <c r="B138" t="s">
        <v>107</v>
      </c>
      <c r="C138" t="s">
        <v>24</v>
      </c>
      <c r="D138" t="s">
        <v>14</v>
      </c>
      <c r="E138" t="s">
        <v>13</v>
      </c>
      <c r="F138" s="5">
        <v>70350</v>
      </c>
      <c r="G138" t="s">
        <v>6</v>
      </c>
      <c r="H138" t="s">
        <v>10</v>
      </c>
      <c r="I138" s="5">
        <v>2800</v>
      </c>
      <c r="J138" t="s">
        <v>20</v>
      </c>
      <c r="K138" t="s">
        <v>938</v>
      </c>
      <c r="L138" t="s">
        <v>951</v>
      </c>
      <c r="M138" t="s">
        <v>952</v>
      </c>
      <c r="T138" s="34"/>
    </row>
    <row r="139" spans="1:20" x14ac:dyDescent="0.25">
      <c r="A139" t="s">
        <v>148</v>
      </c>
      <c r="B139" t="s">
        <v>149</v>
      </c>
      <c r="C139" t="s">
        <v>24</v>
      </c>
      <c r="D139" t="s">
        <v>8</v>
      </c>
      <c r="E139" t="s">
        <v>9</v>
      </c>
      <c r="F139" s="5">
        <v>71327</v>
      </c>
      <c r="G139" t="s">
        <v>6</v>
      </c>
      <c r="H139" t="s">
        <v>10</v>
      </c>
      <c r="I139" s="5">
        <v>2800</v>
      </c>
      <c r="J139" t="s">
        <v>20</v>
      </c>
      <c r="K139" t="s">
        <v>938</v>
      </c>
      <c r="L139" t="s">
        <v>948</v>
      </c>
      <c r="M139" t="s">
        <v>949</v>
      </c>
      <c r="T139" s="34"/>
    </row>
    <row r="140" spans="1:20" x14ac:dyDescent="0.25">
      <c r="A140" t="s">
        <v>152</v>
      </c>
      <c r="B140" t="s">
        <v>153</v>
      </c>
      <c r="C140" t="s">
        <v>24</v>
      </c>
      <c r="D140" t="s">
        <v>14</v>
      </c>
      <c r="E140" t="s">
        <v>13</v>
      </c>
      <c r="F140" s="5">
        <v>78288</v>
      </c>
      <c r="G140" t="s">
        <v>6</v>
      </c>
      <c r="H140" t="s">
        <v>10</v>
      </c>
      <c r="I140" s="5">
        <v>2800</v>
      </c>
      <c r="J140" t="s">
        <v>20</v>
      </c>
      <c r="K140" t="s">
        <v>938</v>
      </c>
      <c r="L140" t="s">
        <v>951</v>
      </c>
      <c r="M140" t="s">
        <v>952</v>
      </c>
      <c r="T140" s="34"/>
    </row>
    <row r="141" spans="1:20" x14ac:dyDescent="0.25">
      <c r="A141" t="s">
        <v>82</v>
      </c>
      <c r="B141" t="s">
        <v>83</v>
      </c>
      <c r="C141" t="s">
        <v>24</v>
      </c>
      <c r="D141" t="s">
        <v>11</v>
      </c>
      <c r="E141" t="s">
        <v>4</v>
      </c>
      <c r="F141" s="5">
        <v>129037</v>
      </c>
      <c r="G141" t="s">
        <v>6</v>
      </c>
      <c r="H141" t="s">
        <v>10</v>
      </c>
      <c r="I141" s="5">
        <v>2800</v>
      </c>
      <c r="J141" t="s">
        <v>20</v>
      </c>
      <c r="K141" t="s">
        <v>937</v>
      </c>
      <c r="L141" t="s">
        <v>945</v>
      </c>
      <c r="M141" t="s">
        <v>946</v>
      </c>
      <c r="T141" s="34"/>
    </row>
    <row r="142" spans="1:20" x14ac:dyDescent="0.25">
      <c r="A142" t="s">
        <v>52</v>
      </c>
      <c r="B142" t="s">
        <v>53</v>
      </c>
      <c r="C142" t="s">
        <v>24</v>
      </c>
      <c r="D142" t="s">
        <v>11</v>
      </c>
      <c r="E142" t="s">
        <v>4</v>
      </c>
      <c r="F142" s="5">
        <v>176031</v>
      </c>
      <c r="G142" t="s">
        <v>16</v>
      </c>
      <c r="H142" t="s">
        <v>10</v>
      </c>
      <c r="I142" s="5">
        <v>4200</v>
      </c>
      <c r="J142" t="s">
        <v>20</v>
      </c>
      <c r="K142" t="s">
        <v>939</v>
      </c>
      <c r="L142" t="s">
        <v>945</v>
      </c>
      <c r="M142" t="s">
        <v>946</v>
      </c>
      <c r="T142" s="34"/>
    </row>
    <row r="143" spans="1:20" x14ac:dyDescent="0.25">
      <c r="A143" t="s">
        <v>164</v>
      </c>
      <c r="B143" t="s">
        <v>165</v>
      </c>
      <c r="C143" t="s">
        <v>24</v>
      </c>
      <c r="D143" t="s">
        <v>8</v>
      </c>
      <c r="E143" t="s">
        <v>7</v>
      </c>
      <c r="F143" s="5">
        <v>174082</v>
      </c>
      <c r="G143" t="s">
        <v>6</v>
      </c>
      <c r="H143" t="s">
        <v>10</v>
      </c>
      <c r="I143" s="5">
        <v>2800</v>
      </c>
      <c r="J143" t="s">
        <v>20</v>
      </c>
      <c r="K143" t="s">
        <v>939</v>
      </c>
      <c r="L143" t="s">
        <v>948</v>
      </c>
      <c r="M143" t="s">
        <v>949</v>
      </c>
      <c r="T143" s="34"/>
    </row>
    <row r="144" spans="1:20" x14ac:dyDescent="0.25">
      <c r="A144" t="s">
        <v>144</v>
      </c>
      <c r="B144" t="s">
        <v>145</v>
      </c>
      <c r="C144" t="s">
        <v>24</v>
      </c>
      <c r="D144" t="s">
        <v>11</v>
      </c>
      <c r="E144" t="s">
        <v>9</v>
      </c>
      <c r="F144" s="5">
        <v>178002</v>
      </c>
      <c r="G144" t="s">
        <v>16</v>
      </c>
      <c r="H144" t="s">
        <v>10</v>
      </c>
      <c r="I144" s="5">
        <v>4200</v>
      </c>
      <c r="J144" t="s">
        <v>20</v>
      </c>
      <c r="K144" t="s">
        <v>939</v>
      </c>
      <c r="L144" t="s">
        <v>945</v>
      </c>
      <c r="M144" t="s">
        <v>946</v>
      </c>
      <c r="T144" s="34"/>
    </row>
    <row r="145" spans="1:20" x14ac:dyDescent="0.25">
      <c r="A145" t="s">
        <v>198</v>
      </c>
      <c r="B145" t="s">
        <v>199</v>
      </c>
      <c r="C145" t="s">
        <v>24</v>
      </c>
      <c r="D145" t="s">
        <v>11</v>
      </c>
      <c r="E145" t="s">
        <v>9</v>
      </c>
      <c r="F145" s="5">
        <v>178969</v>
      </c>
      <c r="G145" t="s">
        <v>16</v>
      </c>
      <c r="H145" t="s">
        <v>10</v>
      </c>
      <c r="I145" s="5">
        <v>4200</v>
      </c>
      <c r="J145" t="s">
        <v>20</v>
      </c>
      <c r="K145" t="s">
        <v>940</v>
      </c>
      <c r="L145" t="s">
        <v>945</v>
      </c>
      <c r="M145" t="s">
        <v>946</v>
      </c>
      <c r="T145" s="34"/>
    </row>
    <row r="146" spans="1:20" x14ac:dyDescent="0.25">
      <c r="A146" t="s">
        <v>226</v>
      </c>
      <c r="B146" t="s">
        <v>227</v>
      </c>
      <c r="C146" t="s">
        <v>24</v>
      </c>
      <c r="D146" t="s">
        <v>14</v>
      </c>
      <c r="E146" t="s">
        <v>9</v>
      </c>
      <c r="F146" s="5">
        <v>179542</v>
      </c>
      <c r="G146" t="s">
        <v>16</v>
      </c>
      <c r="H146" t="s">
        <v>10</v>
      </c>
      <c r="I146" s="5">
        <v>4200</v>
      </c>
      <c r="J146" t="s">
        <v>20</v>
      </c>
      <c r="K146" t="s">
        <v>940</v>
      </c>
      <c r="L146" t="s">
        <v>951</v>
      </c>
      <c r="M146" t="s">
        <v>952</v>
      </c>
      <c r="T146" s="34"/>
    </row>
    <row r="147" spans="1:20" x14ac:dyDescent="0.25">
      <c r="A147" t="s">
        <v>146</v>
      </c>
      <c r="B147" t="s">
        <v>147</v>
      </c>
      <c r="C147" t="s">
        <v>24</v>
      </c>
      <c r="D147" t="s">
        <v>8</v>
      </c>
      <c r="E147" t="s">
        <v>7</v>
      </c>
      <c r="F147" s="5">
        <v>163336</v>
      </c>
      <c r="G147" t="s">
        <v>6</v>
      </c>
      <c r="H147" t="s">
        <v>10</v>
      </c>
      <c r="I147" s="5">
        <v>2800</v>
      </c>
      <c r="J147" t="s">
        <v>20</v>
      </c>
      <c r="K147" t="s">
        <v>939</v>
      </c>
      <c r="L147" t="s">
        <v>948</v>
      </c>
      <c r="M147" t="s">
        <v>949</v>
      </c>
      <c r="T147" s="34"/>
    </row>
    <row r="148" spans="1:20" x14ac:dyDescent="0.25">
      <c r="A148" t="s">
        <v>246</v>
      </c>
      <c r="B148" t="s">
        <v>247</v>
      </c>
      <c r="C148" t="s">
        <v>24</v>
      </c>
      <c r="D148" t="s">
        <v>12</v>
      </c>
      <c r="E148" t="s">
        <v>7</v>
      </c>
      <c r="F148" s="5">
        <v>164312</v>
      </c>
      <c r="G148" t="s">
        <v>6</v>
      </c>
      <c r="H148" t="s">
        <v>10</v>
      </c>
      <c r="I148" s="5">
        <v>2800</v>
      </c>
      <c r="J148" t="s">
        <v>20</v>
      </c>
      <c r="K148" t="s">
        <v>939</v>
      </c>
      <c r="L148" t="s">
        <v>957</v>
      </c>
      <c r="M148" t="s">
        <v>958</v>
      </c>
      <c r="T148" s="34"/>
    </row>
    <row r="149" spans="1:20" x14ac:dyDescent="0.25">
      <c r="A149" t="s">
        <v>196</v>
      </c>
      <c r="B149" t="s">
        <v>197</v>
      </c>
      <c r="C149" t="s">
        <v>24</v>
      </c>
      <c r="D149" t="s">
        <v>3</v>
      </c>
      <c r="E149" t="s">
        <v>9</v>
      </c>
      <c r="F149" s="5">
        <v>166056</v>
      </c>
      <c r="G149" t="s">
        <v>6</v>
      </c>
      <c r="H149" t="s">
        <v>10</v>
      </c>
      <c r="I149" s="5">
        <v>2800</v>
      </c>
      <c r="J149" t="s">
        <v>20</v>
      </c>
      <c r="K149" t="s">
        <v>939</v>
      </c>
      <c r="L149" t="s">
        <v>954</v>
      </c>
      <c r="M149" t="s">
        <v>955</v>
      </c>
      <c r="T149" s="34"/>
    </row>
    <row r="150" spans="1:20" x14ac:dyDescent="0.25">
      <c r="A150" t="s">
        <v>190</v>
      </c>
      <c r="B150" t="s">
        <v>191</v>
      </c>
      <c r="C150" t="s">
        <v>24</v>
      </c>
      <c r="D150" t="s">
        <v>3</v>
      </c>
      <c r="E150" t="s">
        <v>7</v>
      </c>
      <c r="F150" s="5">
        <v>166251</v>
      </c>
      <c r="G150" t="s">
        <v>6</v>
      </c>
      <c r="H150" t="s">
        <v>10</v>
      </c>
      <c r="I150" s="5">
        <v>2800</v>
      </c>
      <c r="J150" t="s">
        <v>20</v>
      </c>
      <c r="K150" t="s">
        <v>939</v>
      </c>
      <c r="L150" t="s">
        <v>954</v>
      </c>
      <c r="M150" t="s">
        <v>955</v>
      </c>
      <c r="T150" s="34"/>
    </row>
    <row r="151" spans="1:20" x14ac:dyDescent="0.25">
      <c r="A151" t="s">
        <v>108</v>
      </c>
      <c r="B151" t="s">
        <v>109</v>
      </c>
      <c r="C151" t="s">
        <v>24</v>
      </c>
      <c r="D151" t="s">
        <v>3</v>
      </c>
      <c r="E151" t="s">
        <v>9</v>
      </c>
      <c r="F151" s="5">
        <v>171102</v>
      </c>
      <c r="G151" t="s">
        <v>16</v>
      </c>
      <c r="H151" t="s">
        <v>10</v>
      </c>
      <c r="I151" s="5">
        <v>4200</v>
      </c>
      <c r="J151" t="s">
        <v>20</v>
      </c>
      <c r="K151" t="s">
        <v>939</v>
      </c>
      <c r="L151" t="s">
        <v>954</v>
      </c>
      <c r="M151" t="s">
        <v>955</v>
      </c>
      <c r="T151" s="34"/>
    </row>
    <row r="152" spans="1:20" x14ac:dyDescent="0.25">
      <c r="A152" t="s">
        <v>140</v>
      </c>
      <c r="B152" t="s">
        <v>141</v>
      </c>
      <c r="C152" t="s">
        <v>24</v>
      </c>
      <c r="D152" t="s">
        <v>14</v>
      </c>
      <c r="E152" t="s">
        <v>7</v>
      </c>
      <c r="F152" s="5">
        <v>171930</v>
      </c>
      <c r="G152" t="s">
        <v>16</v>
      </c>
      <c r="H152" t="s">
        <v>10</v>
      </c>
      <c r="I152" s="5">
        <v>4200</v>
      </c>
      <c r="J152" t="s">
        <v>20</v>
      </c>
      <c r="K152" t="s">
        <v>939</v>
      </c>
      <c r="L152" t="s">
        <v>951</v>
      </c>
      <c r="M152" t="s">
        <v>952</v>
      </c>
      <c r="T152" s="34"/>
    </row>
    <row r="153" spans="1:20" x14ac:dyDescent="0.25">
      <c r="A153" t="s">
        <v>192</v>
      </c>
      <c r="B153" t="s">
        <v>193</v>
      </c>
      <c r="C153" t="s">
        <v>24</v>
      </c>
      <c r="D153" t="s">
        <v>11</v>
      </c>
      <c r="E153" t="s">
        <v>9</v>
      </c>
      <c r="F153" s="5">
        <v>182568</v>
      </c>
      <c r="G153" t="s">
        <v>6</v>
      </c>
      <c r="H153" t="s">
        <v>10</v>
      </c>
      <c r="I153" s="5">
        <v>2800</v>
      </c>
      <c r="J153" t="s">
        <v>20</v>
      </c>
      <c r="K153" t="s">
        <v>940</v>
      </c>
      <c r="L153" t="s">
        <v>945</v>
      </c>
      <c r="M153" t="s">
        <v>946</v>
      </c>
      <c r="T153" s="34"/>
    </row>
    <row r="154" spans="1:20" x14ac:dyDescent="0.25">
      <c r="A154" t="s">
        <v>126</v>
      </c>
      <c r="B154" t="s">
        <v>127</v>
      </c>
      <c r="C154" t="s">
        <v>24</v>
      </c>
      <c r="D154" t="s">
        <v>12</v>
      </c>
      <c r="E154" t="s">
        <v>13</v>
      </c>
      <c r="F154" s="5">
        <v>192516</v>
      </c>
      <c r="G154" t="s">
        <v>16</v>
      </c>
      <c r="H154" t="s">
        <v>10</v>
      </c>
      <c r="I154" s="5">
        <v>4200</v>
      </c>
      <c r="J154" t="s">
        <v>20</v>
      </c>
      <c r="K154" t="s">
        <v>940</v>
      </c>
      <c r="L154" t="s">
        <v>957</v>
      </c>
      <c r="M154" t="s">
        <v>958</v>
      </c>
      <c r="T154" s="34"/>
    </row>
    <row r="155" spans="1:20" x14ac:dyDescent="0.25">
      <c r="A155" t="s">
        <v>86</v>
      </c>
      <c r="B155" t="s">
        <v>87</v>
      </c>
      <c r="C155" t="s">
        <v>24</v>
      </c>
      <c r="D155" t="s">
        <v>12</v>
      </c>
      <c r="E155" t="s">
        <v>7</v>
      </c>
      <c r="F155" s="5">
        <v>192788</v>
      </c>
      <c r="G155" t="s">
        <v>6</v>
      </c>
      <c r="H155" t="s">
        <v>10</v>
      </c>
      <c r="I155" s="5">
        <v>2800</v>
      </c>
      <c r="J155" t="s">
        <v>20</v>
      </c>
      <c r="K155" t="s">
        <v>940</v>
      </c>
      <c r="L155" t="s">
        <v>957</v>
      </c>
      <c r="M155" t="s">
        <v>958</v>
      </c>
      <c r="T155" s="34"/>
    </row>
    <row r="156" spans="1:20" x14ac:dyDescent="0.25">
      <c r="A156" t="s">
        <v>34</v>
      </c>
      <c r="B156" t="s">
        <v>35</v>
      </c>
      <c r="C156" t="s">
        <v>24</v>
      </c>
      <c r="D156" t="s">
        <v>12</v>
      </c>
      <c r="E156" t="s">
        <v>9</v>
      </c>
      <c r="F156" s="5">
        <v>193551</v>
      </c>
      <c r="G156" t="s">
        <v>6</v>
      </c>
      <c r="H156" t="s">
        <v>10</v>
      </c>
      <c r="I156" s="5">
        <v>2800</v>
      </c>
      <c r="J156" t="s">
        <v>20</v>
      </c>
      <c r="K156" t="s">
        <v>940</v>
      </c>
      <c r="L156" t="s">
        <v>957</v>
      </c>
      <c r="M156" t="s">
        <v>958</v>
      </c>
      <c r="T156" s="34"/>
    </row>
    <row r="157" spans="1:20" x14ac:dyDescent="0.25">
      <c r="A157" t="s">
        <v>136</v>
      </c>
      <c r="B157" t="s">
        <v>137</v>
      </c>
      <c r="C157" t="s">
        <v>24</v>
      </c>
      <c r="D157" t="s">
        <v>3</v>
      </c>
      <c r="E157" t="s">
        <v>13</v>
      </c>
      <c r="F157" s="5">
        <v>194591</v>
      </c>
      <c r="G157" t="s">
        <v>6</v>
      </c>
      <c r="H157" t="s">
        <v>10</v>
      </c>
      <c r="I157" s="5">
        <v>2800</v>
      </c>
      <c r="J157" t="s">
        <v>20</v>
      </c>
      <c r="K157" t="s">
        <v>940</v>
      </c>
      <c r="L157" t="s">
        <v>954</v>
      </c>
      <c r="M157" t="s">
        <v>955</v>
      </c>
      <c r="T157" s="34"/>
    </row>
    <row r="158" spans="1:20" x14ac:dyDescent="0.25">
      <c r="A158" t="s">
        <v>168</v>
      </c>
      <c r="B158" t="s">
        <v>169</v>
      </c>
      <c r="C158" t="s">
        <v>24</v>
      </c>
      <c r="D158" t="s">
        <v>8</v>
      </c>
      <c r="E158" t="s">
        <v>4</v>
      </c>
      <c r="F158" s="5">
        <v>191880</v>
      </c>
      <c r="G158" t="s">
        <v>16</v>
      </c>
      <c r="H158" t="s">
        <v>10</v>
      </c>
      <c r="I158" s="5">
        <v>4200</v>
      </c>
      <c r="J158" t="s">
        <v>20</v>
      </c>
      <c r="K158" t="s">
        <v>940</v>
      </c>
      <c r="L158" t="s">
        <v>948</v>
      </c>
      <c r="M158" t="s">
        <v>949</v>
      </c>
      <c r="T158" s="34"/>
    </row>
    <row r="159" spans="1:20" x14ac:dyDescent="0.25">
      <c r="A159" t="s">
        <v>92</v>
      </c>
      <c r="B159" t="s">
        <v>93</v>
      </c>
      <c r="C159" t="s">
        <v>24</v>
      </c>
      <c r="D159" t="s">
        <v>12</v>
      </c>
      <c r="E159" t="s">
        <v>9</v>
      </c>
      <c r="F159" s="5">
        <v>196995</v>
      </c>
      <c r="G159" t="s">
        <v>6</v>
      </c>
      <c r="H159" t="s">
        <v>10</v>
      </c>
      <c r="I159" s="5">
        <v>2800</v>
      </c>
      <c r="J159" t="s">
        <v>20</v>
      </c>
      <c r="K159" t="s">
        <v>940</v>
      </c>
      <c r="L159" t="s">
        <v>957</v>
      </c>
      <c r="M159" t="s">
        <v>958</v>
      </c>
      <c r="T159" s="34"/>
    </row>
    <row r="160" spans="1:20" x14ac:dyDescent="0.25">
      <c r="A160" t="s">
        <v>208</v>
      </c>
      <c r="B160" t="s">
        <v>209</v>
      </c>
      <c r="C160" t="s">
        <v>24</v>
      </c>
      <c r="D160" t="s">
        <v>8</v>
      </c>
      <c r="E160" t="s">
        <v>4</v>
      </c>
      <c r="F160" s="5">
        <v>198396</v>
      </c>
      <c r="G160" t="s">
        <v>16</v>
      </c>
      <c r="H160" t="s">
        <v>10</v>
      </c>
      <c r="I160" s="5">
        <v>4200</v>
      </c>
      <c r="J160" t="s">
        <v>20</v>
      </c>
      <c r="K160" t="s">
        <v>940</v>
      </c>
      <c r="L160" t="s">
        <v>948</v>
      </c>
      <c r="M160" t="s">
        <v>949</v>
      </c>
      <c r="T160" s="34"/>
    </row>
    <row r="161" spans="1:20" x14ac:dyDescent="0.25">
      <c r="A161" t="s">
        <v>60</v>
      </c>
      <c r="B161" t="s">
        <v>61</v>
      </c>
      <c r="C161" t="s">
        <v>24</v>
      </c>
      <c r="D161" t="s">
        <v>14</v>
      </c>
      <c r="E161" t="s">
        <v>7</v>
      </c>
      <c r="F161" s="5">
        <v>196771</v>
      </c>
      <c r="G161" t="s">
        <v>6</v>
      </c>
      <c r="H161" t="s">
        <v>10</v>
      </c>
      <c r="I161" s="5">
        <v>2800</v>
      </c>
      <c r="J161" t="s">
        <v>20</v>
      </c>
      <c r="K161" t="s">
        <v>940</v>
      </c>
      <c r="L161" t="s">
        <v>951</v>
      </c>
      <c r="M161" t="s">
        <v>952</v>
      </c>
      <c r="T161" s="34"/>
    </row>
    <row r="162" spans="1:20" x14ac:dyDescent="0.25">
      <c r="A162" t="s">
        <v>70</v>
      </c>
      <c r="B162" t="s">
        <v>71</v>
      </c>
      <c r="C162" t="s">
        <v>24</v>
      </c>
      <c r="D162" t="s">
        <v>14</v>
      </c>
      <c r="E162" t="s">
        <v>4</v>
      </c>
      <c r="F162" s="5">
        <v>191776</v>
      </c>
      <c r="G162" t="s">
        <v>6</v>
      </c>
      <c r="H162" t="s">
        <v>10</v>
      </c>
      <c r="I162" s="5">
        <v>2800</v>
      </c>
      <c r="J162" t="s">
        <v>20</v>
      </c>
      <c r="K162" t="s">
        <v>940</v>
      </c>
      <c r="L162" t="s">
        <v>951</v>
      </c>
      <c r="M162" t="s">
        <v>952</v>
      </c>
      <c r="T162" s="34"/>
    </row>
    <row r="163" spans="1:20" x14ac:dyDescent="0.25">
      <c r="A163" t="s">
        <v>150</v>
      </c>
      <c r="B163" t="s">
        <v>151</v>
      </c>
      <c r="C163" t="s">
        <v>24</v>
      </c>
      <c r="D163" t="s">
        <v>12</v>
      </c>
      <c r="E163" t="s">
        <v>4</v>
      </c>
      <c r="F163" s="5">
        <v>186225</v>
      </c>
      <c r="G163" t="s">
        <v>16</v>
      </c>
      <c r="H163" t="s">
        <v>10</v>
      </c>
      <c r="I163" s="5">
        <v>4200</v>
      </c>
      <c r="J163" t="s">
        <v>20</v>
      </c>
      <c r="K163" t="s">
        <v>940</v>
      </c>
      <c r="L163" t="s">
        <v>957</v>
      </c>
      <c r="M163" t="s">
        <v>958</v>
      </c>
      <c r="T163" s="34"/>
    </row>
    <row r="164" spans="1:20" x14ac:dyDescent="0.25">
      <c r="A164" t="s">
        <v>46</v>
      </c>
      <c r="B164" t="s">
        <v>47</v>
      </c>
      <c r="C164" t="s">
        <v>24</v>
      </c>
      <c r="D164" t="s">
        <v>11</v>
      </c>
      <c r="E164" t="s">
        <v>7</v>
      </c>
      <c r="F164" s="5">
        <v>186590</v>
      </c>
      <c r="G164" t="s">
        <v>6</v>
      </c>
      <c r="H164" t="s">
        <v>10</v>
      </c>
      <c r="I164" s="5">
        <v>2800</v>
      </c>
      <c r="J164" t="s">
        <v>20</v>
      </c>
      <c r="K164" t="s">
        <v>940</v>
      </c>
      <c r="L164" t="s">
        <v>945</v>
      </c>
      <c r="M164" t="s">
        <v>946</v>
      </c>
      <c r="T164" s="34"/>
    </row>
    <row r="165" spans="1:20" x14ac:dyDescent="0.25">
      <c r="A165" t="s">
        <v>206</v>
      </c>
      <c r="B165" t="s">
        <v>207</v>
      </c>
      <c r="C165" t="s">
        <v>24</v>
      </c>
      <c r="D165" t="s">
        <v>14</v>
      </c>
      <c r="E165" t="s">
        <v>4</v>
      </c>
      <c r="F165" s="5">
        <v>187474</v>
      </c>
      <c r="G165" t="s">
        <v>16</v>
      </c>
      <c r="H165" t="s">
        <v>10</v>
      </c>
      <c r="I165" s="5">
        <v>4200</v>
      </c>
      <c r="J165" t="s">
        <v>20</v>
      </c>
      <c r="K165" t="s">
        <v>940</v>
      </c>
      <c r="L165" t="s">
        <v>951</v>
      </c>
      <c r="M165" t="s">
        <v>952</v>
      </c>
      <c r="T165" s="34"/>
    </row>
    <row r="166" spans="1:20" x14ac:dyDescent="0.25">
      <c r="A166" t="s">
        <v>214</v>
      </c>
      <c r="B166" t="s">
        <v>215</v>
      </c>
      <c r="C166" t="s">
        <v>24</v>
      </c>
      <c r="D166" t="s">
        <v>8</v>
      </c>
      <c r="E166" t="s">
        <v>7</v>
      </c>
      <c r="F166" s="5">
        <v>187730</v>
      </c>
      <c r="G166" t="s">
        <v>16</v>
      </c>
      <c r="H166" t="s">
        <v>10</v>
      </c>
      <c r="I166" s="5">
        <v>4200</v>
      </c>
      <c r="J166" t="s">
        <v>20</v>
      </c>
      <c r="K166" t="s">
        <v>940</v>
      </c>
      <c r="L166" t="s">
        <v>948</v>
      </c>
      <c r="M166" t="s">
        <v>949</v>
      </c>
      <c r="T166" s="34"/>
    </row>
    <row r="167" spans="1:20" x14ac:dyDescent="0.25">
      <c r="A167" t="s">
        <v>64</v>
      </c>
      <c r="B167" t="s">
        <v>65</v>
      </c>
      <c r="C167" t="s">
        <v>24</v>
      </c>
      <c r="D167" t="s">
        <v>8</v>
      </c>
      <c r="E167" t="s">
        <v>9</v>
      </c>
      <c r="F167" s="5">
        <v>189223</v>
      </c>
      <c r="G167" t="s">
        <v>16</v>
      </c>
      <c r="H167" t="s">
        <v>10</v>
      </c>
      <c r="I167" s="5">
        <v>4200</v>
      </c>
      <c r="J167" t="s">
        <v>20</v>
      </c>
      <c r="K167" t="s">
        <v>940</v>
      </c>
      <c r="L167" t="s">
        <v>948</v>
      </c>
      <c r="M167" t="s">
        <v>949</v>
      </c>
      <c r="T167" s="34"/>
    </row>
    <row r="168" spans="1:20" x14ac:dyDescent="0.25">
      <c r="A168" t="s">
        <v>220</v>
      </c>
      <c r="B168" t="s">
        <v>221</v>
      </c>
      <c r="C168" t="s">
        <v>24</v>
      </c>
      <c r="D168" t="s">
        <v>8</v>
      </c>
      <c r="E168" t="s">
        <v>13</v>
      </c>
      <c r="F168" s="5">
        <v>171131</v>
      </c>
      <c r="G168" t="s">
        <v>16</v>
      </c>
      <c r="H168" t="s">
        <v>10</v>
      </c>
      <c r="I168" s="5">
        <v>4200</v>
      </c>
      <c r="J168" t="s">
        <v>20</v>
      </c>
      <c r="K168" t="s">
        <v>939</v>
      </c>
      <c r="L168" t="s">
        <v>948</v>
      </c>
      <c r="M168" t="s">
        <v>949</v>
      </c>
      <c r="T168" s="34"/>
    </row>
    <row r="169" spans="1:20" x14ac:dyDescent="0.25">
      <c r="A169" t="s">
        <v>156</v>
      </c>
      <c r="B169" t="s">
        <v>157</v>
      </c>
      <c r="C169" t="s">
        <v>24</v>
      </c>
      <c r="D169" t="s">
        <v>12</v>
      </c>
      <c r="E169" t="s">
        <v>7</v>
      </c>
      <c r="F169" s="5">
        <v>133373</v>
      </c>
      <c r="G169" t="s">
        <v>6</v>
      </c>
      <c r="H169" t="s">
        <v>10</v>
      </c>
      <c r="I169" s="5">
        <v>2800</v>
      </c>
      <c r="J169" t="s">
        <v>20</v>
      </c>
      <c r="K169" t="s">
        <v>939</v>
      </c>
      <c r="L169" t="s">
        <v>957</v>
      </c>
      <c r="M169" t="s">
        <v>958</v>
      </c>
      <c r="T169" s="34"/>
    </row>
    <row r="170" spans="1:20" x14ac:dyDescent="0.25">
      <c r="A170" t="s">
        <v>202</v>
      </c>
      <c r="B170" t="s">
        <v>203</v>
      </c>
      <c r="C170" t="s">
        <v>24</v>
      </c>
      <c r="D170" t="s">
        <v>12</v>
      </c>
      <c r="E170" t="s">
        <v>4</v>
      </c>
      <c r="F170" s="5">
        <v>136913</v>
      </c>
      <c r="G170" t="s">
        <v>16</v>
      </c>
      <c r="H170" t="s">
        <v>10</v>
      </c>
      <c r="I170" s="5">
        <v>4200</v>
      </c>
      <c r="J170" t="s">
        <v>20</v>
      </c>
      <c r="K170" t="s">
        <v>939</v>
      </c>
      <c r="L170" t="s">
        <v>957</v>
      </c>
      <c r="M170" t="s">
        <v>958</v>
      </c>
      <c r="T170" s="34"/>
    </row>
    <row r="171" spans="1:20" x14ac:dyDescent="0.25">
      <c r="A171" t="s">
        <v>50</v>
      </c>
      <c r="B171" t="s">
        <v>51</v>
      </c>
      <c r="C171" t="s">
        <v>24</v>
      </c>
      <c r="D171" t="s">
        <v>12</v>
      </c>
      <c r="E171" t="s">
        <v>9</v>
      </c>
      <c r="F171" s="5">
        <v>138215</v>
      </c>
      <c r="G171" t="s">
        <v>16</v>
      </c>
      <c r="H171" t="s">
        <v>10</v>
      </c>
      <c r="I171" s="5">
        <v>4200</v>
      </c>
      <c r="J171" t="s">
        <v>20</v>
      </c>
      <c r="K171" t="s">
        <v>939</v>
      </c>
      <c r="L171" t="s">
        <v>957</v>
      </c>
      <c r="M171" t="s">
        <v>958</v>
      </c>
      <c r="T171" s="34"/>
    </row>
    <row r="172" spans="1:20" x14ac:dyDescent="0.25">
      <c r="A172" t="s">
        <v>68</v>
      </c>
      <c r="B172" t="s">
        <v>69</v>
      </c>
      <c r="C172" t="s">
        <v>24</v>
      </c>
      <c r="D172" t="s">
        <v>14</v>
      </c>
      <c r="E172" t="s">
        <v>9</v>
      </c>
      <c r="F172" s="5">
        <v>140787</v>
      </c>
      <c r="G172" t="s">
        <v>16</v>
      </c>
      <c r="H172" t="s">
        <v>10</v>
      </c>
      <c r="I172" s="5">
        <v>4200</v>
      </c>
      <c r="J172" t="s">
        <v>20</v>
      </c>
      <c r="K172" t="s">
        <v>939</v>
      </c>
      <c r="L172" t="s">
        <v>951</v>
      </c>
      <c r="M172" t="s">
        <v>952</v>
      </c>
      <c r="T172" s="34"/>
    </row>
    <row r="173" spans="1:20" x14ac:dyDescent="0.25">
      <c r="A173" t="s">
        <v>132</v>
      </c>
      <c r="B173" t="s">
        <v>133</v>
      </c>
      <c r="C173" t="s">
        <v>24</v>
      </c>
      <c r="D173" t="s">
        <v>3</v>
      </c>
      <c r="E173" t="s">
        <v>4</v>
      </c>
      <c r="F173" s="5">
        <v>124330</v>
      </c>
      <c r="G173" t="s">
        <v>16</v>
      </c>
      <c r="H173" t="s">
        <v>10</v>
      </c>
      <c r="I173" s="5">
        <v>4200</v>
      </c>
      <c r="J173" t="s">
        <v>20</v>
      </c>
      <c r="K173" t="s">
        <v>937</v>
      </c>
      <c r="L173" t="s">
        <v>954</v>
      </c>
      <c r="M173" t="s">
        <v>955</v>
      </c>
      <c r="T173" s="34"/>
    </row>
    <row r="174" spans="1:20" x14ac:dyDescent="0.25">
      <c r="A174" t="s">
        <v>166</v>
      </c>
      <c r="B174" t="s">
        <v>167</v>
      </c>
      <c r="C174" t="s">
        <v>24</v>
      </c>
      <c r="D174" t="s">
        <v>11</v>
      </c>
      <c r="E174" t="s">
        <v>7</v>
      </c>
      <c r="F174" s="5">
        <v>125220</v>
      </c>
      <c r="G174" t="s">
        <v>6</v>
      </c>
      <c r="H174" t="s">
        <v>10</v>
      </c>
      <c r="I174" s="5">
        <v>2800</v>
      </c>
      <c r="J174" t="s">
        <v>20</v>
      </c>
      <c r="K174" t="s">
        <v>937</v>
      </c>
      <c r="L174" t="s">
        <v>945</v>
      </c>
      <c r="M174" t="s">
        <v>946</v>
      </c>
      <c r="T174" s="34"/>
    </row>
    <row r="175" spans="1:20" x14ac:dyDescent="0.25">
      <c r="A175" t="s">
        <v>94</v>
      </c>
      <c r="B175" t="s">
        <v>95</v>
      </c>
      <c r="C175" t="s">
        <v>24</v>
      </c>
      <c r="D175" t="s">
        <v>12</v>
      </c>
      <c r="E175" t="s">
        <v>7</v>
      </c>
      <c r="F175" s="5">
        <v>132334</v>
      </c>
      <c r="G175" t="s">
        <v>6</v>
      </c>
      <c r="H175" t="s">
        <v>10</v>
      </c>
      <c r="I175" s="5">
        <v>2800</v>
      </c>
      <c r="J175" t="s">
        <v>20</v>
      </c>
      <c r="K175" t="s">
        <v>939</v>
      </c>
      <c r="L175" t="s">
        <v>957</v>
      </c>
      <c r="M175" t="s">
        <v>958</v>
      </c>
      <c r="T175" s="34"/>
    </row>
    <row r="176" spans="1:20" x14ac:dyDescent="0.25">
      <c r="A176" t="s">
        <v>222</v>
      </c>
      <c r="B176" t="s">
        <v>223</v>
      </c>
      <c r="C176" t="s">
        <v>24</v>
      </c>
      <c r="D176" t="s">
        <v>3</v>
      </c>
      <c r="E176" t="s">
        <v>4</v>
      </c>
      <c r="F176" s="5">
        <v>158848</v>
      </c>
      <c r="G176" t="s">
        <v>6</v>
      </c>
      <c r="H176" t="s">
        <v>10</v>
      </c>
      <c r="I176" s="5">
        <v>2800</v>
      </c>
      <c r="J176" t="s">
        <v>20</v>
      </c>
      <c r="K176" t="s">
        <v>939</v>
      </c>
      <c r="L176" t="s">
        <v>954</v>
      </c>
      <c r="M176" t="s">
        <v>955</v>
      </c>
      <c r="T176" s="34"/>
    </row>
    <row r="177" spans="1:20" x14ac:dyDescent="0.25">
      <c r="A177" t="s">
        <v>184</v>
      </c>
      <c r="B177" t="s">
        <v>185</v>
      </c>
      <c r="C177" t="s">
        <v>24</v>
      </c>
      <c r="D177" t="s">
        <v>3</v>
      </c>
      <c r="E177" t="s">
        <v>13</v>
      </c>
      <c r="F177" s="5">
        <v>160370</v>
      </c>
      <c r="G177" t="s">
        <v>16</v>
      </c>
      <c r="H177" t="s">
        <v>10</v>
      </c>
      <c r="I177" s="5">
        <v>4200</v>
      </c>
      <c r="J177" t="s">
        <v>20</v>
      </c>
      <c r="K177" t="s">
        <v>939</v>
      </c>
      <c r="L177" t="s">
        <v>954</v>
      </c>
      <c r="M177" t="s">
        <v>955</v>
      </c>
      <c r="T177" s="34"/>
    </row>
    <row r="178" spans="1:20" x14ac:dyDescent="0.25">
      <c r="A178" t="s">
        <v>240</v>
      </c>
      <c r="B178" t="s">
        <v>241</v>
      </c>
      <c r="C178" t="s">
        <v>24</v>
      </c>
      <c r="D178" t="s">
        <v>14</v>
      </c>
      <c r="E178" t="s">
        <v>7</v>
      </c>
      <c r="F178" s="5">
        <v>157184</v>
      </c>
      <c r="G178" t="s">
        <v>6</v>
      </c>
      <c r="H178" t="s">
        <v>10</v>
      </c>
      <c r="I178" s="5">
        <v>2800</v>
      </c>
      <c r="J178" t="s">
        <v>20</v>
      </c>
      <c r="K178" t="s">
        <v>939</v>
      </c>
      <c r="L178" t="s">
        <v>951</v>
      </c>
      <c r="M178" t="s">
        <v>952</v>
      </c>
      <c r="T178" s="34"/>
    </row>
    <row r="179" spans="1:20" x14ac:dyDescent="0.25">
      <c r="A179" t="s">
        <v>98</v>
      </c>
      <c r="B179" t="s">
        <v>99</v>
      </c>
      <c r="C179" t="s">
        <v>24</v>
      </c>
      <c r="D179" t="s">
        <v>3</v>
      </c>
      <c r="E179" t="s">
        <v>13</v>
      </c>
      <c r="F179" s="5">
        <v>149587</v>
      </c>
      <c r="G179" t="s">
        <v>16</v>
      </c>
      <c r="H179" t="s">
        <v>10</v>
      </c>
      <c r="I179" s="5">
        <v>4200</v>
      </c>
      <c r="J179" t="s">
        <v>20</v>
      </c>
      <c r="K179" t="s">
        <v>939</v>
      </c>
      <c r="L179" t="s">
        <v>954</v>
      </c>
      <c r="M179" t="s">
        <v>955</v>
      </c>
      <c r="T179" s="34"/>
    </row>
    <row r="180" spans="1:20" x14ac:dyDescent="0.25">
      <c r="A180" t="s">
        <v>172</v>
      </c>
      <c r="B180" t="s">
        <v>173</v>
      </c>
      <c r="C180" t="s">
        <v>24</v>
      </c>
      <c r="D180" t="s">
        <v>11</v>
      </c>
      <c r="E180" t="s">
        <v>4</v>
      </c>
      <c r="F180" s="5">
        <v>149757</v>
      </c>
      <c r="G180" t="s">
        <v>6</v>
      </c>
      <c r="H180" t="s">
        <v>10</v>
      </c>
      <c r="I180" s="5">
        <v>2800</v>
      </c>
      <c r="J180" t="s">
        <v>20</v>
      </c>
      <c r="K180" t="s">
        <v>939</v>
      </c>
      <c r="L180" t="s">
        <v>945</v>
      </c>
      <c r="M180" t="s">
        <v>946</v>
      </c>
      <c r="T180" s="34"/>
    </row>
    <row r="181" spans="1:20" x14ac:dyDescent="0.25">
      <c r="A181" t="s">
        <v>134</v>
      </c>
      <c r="B181" t="s">
        <v>135</v>
      </c>
      <c r="C181" t="s">
        <v>24</v>
      </c>
      <c r="D181" t="s">
        <v>3</v>
      </c>
      <c r="E181" t="s">
        <v>13</v>
      </c>
      <c r="F181" s="5">
        <v>142238</v>
      </c>
      <c r="G181" t="s">
        <v>16</v>
      </c>
      <c r="H181" t="s">
        <v>10</v>
      </c>
      <c r="I181" s="5">
        <v>4200</v>
      </c>
      <c r="J181" t="s">
        <v>20</v>
      </c>
      <c r="K181" t="s">
        <v>939</v>
      </c>
      <c r="L181" t="s">
        <v>954</v>
      </c>
      <c r="M181" t="s">
        <v>955</v>
      </c>
      <c r="T181" s="34"/>
    </row>
    <row r="182" spans="1:20" x14ac:dyDescent="0.25">
      <c r="A182" t="s">
        <v>261</v>
      </c>
      <c r="B182" t="s">
        <v>262</v>
      </c>
      <c r="C182" t="s">
        <v>24</v>
      </c>
      <c r="D182" t="s">
        <v>12</v>
      </c>
      <c r="E182" t="s">
        <v>7</v>
      </c>
      <c r="F182" s="5">
        <v>144533</v>
      </c>
      <c r="G182" t="s">
        <v>16</v>
      </c>
      <c r="H182" t="s">
        <v>10</v>
      </c>
      <c r="I182" s="5">
        <v>4200</v>
      </c>
      <c r="J182" t="s">
        <v>20</v>
      </c>
      <c r="K182" t="s">
        <v>939</v>
      </c>
      <c r="L182" t="s">
        <v>957</v>
      </c>
      <c r="M182" t="s">
        <v>958</v>
      </c>
      <c r="T182" s="34"/>
    </row>
    <row r="183" spans="1:20" x14ac:dyDescent="0.25">
      <c r="A183" t="s">
        <v>84</v>
      </c>
      <c r="B183" t="s">
        <v>85</v>
      </c>
      <c r="C183" t="s">
        <v>24</v>
      </c>
      <c r="D183" t="s">
        <v>12</v>
      </c>
      <c r="E183" t="s">
        <v>13</v>
      </c>
      <c r="F183" s="5">
        <v>145256</v>
      </c>
      <c r="G183" t="s">
        <v>16</v>
      </c>
      <c r="H183" t="s">
        <v>10</v>
      </c>
      <c r="I183" s="5">
        <v>4200</v>
      </c>
      <c r="J183" t="s">
        <v>20</v>
      </c>
      <c r="K183" t="s">
        <v>939</v>
      </c>
      <c r="L183" t="s">
        <v>957</v>
      </c>
      <c r="M183" t="s">
        <v>958</v>
      </c>
      <c r="T183" s="34"/>
    </row>
    <row r="184" spans="1:20" x14ac:dyDescent="0.25">
      <c r="A184" t="s">
        <v>194</v>
      </c>
      <c r="B184" t="s">
        <v>195</v>
      </c>
      <c r="C184" t="s">
        <v>24</v>
      </c>
      <c r="D184" t="s">
        <v>11</v>
      </c>
      <c r="E184" t="s">
        <v>13</v>
      </c>
      <c r="F184" s="5">
        <v>148899</v>
      </c>
      <c r="G184" t="s">
        <v>6</v>
      </c>
      <c r="H184" t="s">
        <v>10</v>
      </c>
      <c r="I184" s="5">
        <v>2800</v>
      </c>
      <c r="J184" t="s">
        <v>20</v>
      </c>
      <c r="K184" t="s">
        <v>939</v>
      </c>
      <c r="L184" t="s">
        <v>945</v>
      </c>
      <c r="M184" t="s">
        <v>946</v>
      </c>
      <c r="T184" s="34"/>
    </row>
    <row r="185" spans="1:20" x14ac:dyDescent="0.25">
      <c r="A185" t="s">
        <v>238</v>
      </c>
      <c r="B185" t="s">
        <v>239</v>
      </c>
      <c r="C185" t="s">
        <v>24</v>
      </c>
      <c r="D185" t="s">
        <v>8</v>
      </c>
      <c r="E185" t="s">
        <v>7</v>
      </c>
      <c r="F185" s="5">
        <v>148264</v>
      </c>
      <c r="G185" t="s">
        <v>6</v>
      </c>
      <c r="H185" t="s">
        <v>10</v>
      </c>
      <c r="I185" s="5">
        <v>2800</v>
      </c>
      <c r="J185" t="s">
        <v>20</v>
      </c>
      <c r="K185" t="s">
        <v>939</v>
      </c>
      <c r="L185" t="s">
        <v>948</v>
      </c>
      <c r="M185" t="s">
        <v>949</v>
      </c>
      <c r="T185" s="34"/>
    </row>
    <row r="186" spans="1:20" x14ac:dyDescent="0.25">
      <c r="A186" t="s">
        <v>457</v>
      </c>
      <c r="B186" t="s">
        <v>458</v>
      </c>
      <c r="C186" t="s">
        <v>24</v>
      </c>
      <c r="D186" t="s">
        <v>11</v>
      </c>
      <c r="E186" t="s">
        <v>7</v>
      </c>
      <c r="F186" s="5">
        <v>99475</v>
      </c>
      <c r="G186" t="s">
        <v>6</v>
      </c>
      <c r="H186" t="s">
        <v>5</v>
      </c>
      <c r="I186" s="5">
        <v>1500</v>
      </c>
      <c r="J186" t="s">
        <v>20</v>
      </c>
      <c r="K186" t="s">
        <v>937</v>
      </c>
      <c r="L186" t="s">
        <v>945</v>
      </c>
      <c r="M186" t="s">
        <v>946</v>
      </c>
      <c r="T186" s="34"/>
    </row>
    <row r="187" spans="1:20" x14ac:dyDescent="0.25">
      <c r="A187" t="s">
        <v>449</v>
      </c>
      <c r="B187" t="s">
        <v>450</v>
      </c>
      <c r="C187" t="s">
        <v>24</v>
      </c>
      <c r="D187" t="s">
        <v>14</v>
      </c>
      <c r="E187" t="s">
        <v>4</v>
      </c>
      <c r="F187" s="5">
        <v>99504</v>
      </c>
      <c r="G187" t="s">
        <v>6</v>
      </c>
      <c r="H187" t="s">
        <v>5</v>
      </c>
      <c r="I187" s="5">
        <v>1500</v>
      </c>
      <c r="J187" t="s">
        <v>20</v>
      </c>
      <c r="K187" t="s">
        <v>937</v>
      </c>
      <c r="L187" t="s">
        <v>951</v>
      </c>
      <c r="M187" t="s">
        <v>952</v>
      </c>
      <c r="T187" s="34"/>
    </row>
    <row r="188" spans="1:20" x14ac:dyDescent="0.25">
      <c r="A188" t="s">
        <v>924</v>
      </c>
      <c r="B188" t="s">
        <v>925</v>
      </c>
      <c r="C188" t="s">
        <v>24</v>
      </c>
      <c r="D188" t="s">
        <v>8</v>
      </c>
      <c r="E188" t="s">
        <v>13</v>
      </c>
      <c r="F188" s="5">
        <v>105089</v>
      </c>
      <c r="G188" t="s">
        <v>6</v>
      </c>
      <c r="H188" t="s">
        <v>5</v>
      </c>
      <c r="I188" s="5">
        <v>1500</v>
      </c>
      <c r="J188" t="s">
        <v>20</v>
      </c>
      <c r="K188" t="s">
        <v>937</v>
      </c>
      <c r="L188" t="s">
        <v>948</v>
      </c>
      <c r="M188" t="s">
        <v>949</v>
      </c>
      <c r="T188" s="34"/>
    </row>
    <row r="189" spans="1:20" x14ac:dyDescent="0.25">
      <c r="A189" t="s">
        <v>480</v>
      </c>
      <c r="B189" t="s">
        <v>481</v>
      </c>
      <c r="C189" t="s">
        <v>24</v>
      </c>
      <c r="D189" t="s">
        <v>11</v>
      </c>
      <c r="E189" t="s">
        <v>13</v>
      </c>
      <c r="F189" s="5">
        <v>110252</v>
      </c>
      <c r="G189" t="s">
        <v>6</v>
      </c>
      <c r="H189" t="s">
        <v>5</v>
      </c>
      <c r="I189" s="5">
        <v>1500</v>
      </c>
      <c r="J189" t="s">
        <v>20</v>
      </c>
      <c r="K189" t="s">
        <v>937</v>
      </c>
      <c r="L189" t="s">
        <v>945</v>
      </c>
      <c r="M189" t="s">
        <v>946</v>
      </c>
      <c r="T189" s="34"/>
    </row>
    <row r="190" spans="1:20" x14ac:dyDescent="0.25">
      <c r="A190" t="s">
        <v>477</v>
      </c>
      <c r="B190" t="s">
        <v>262</v>
      </c>
      <c r="C190" t="s">
        <v>24</v>
      </c>
      <c r="D190" t="s">
        <v>11</v>
      </c>
      <c r="E190" t="s">
        <v>13</v>
      </c>
      <c r="F190" s="5">
        <v>106620</v>
      </c>
      <c r="G190" t="s">
        <v>6</v>
      </c>
      <c r="H190" t="s">
        <v>5</v>
      </c>
      <c r="I190" s="5">
        <v>1500</v>
      </c>
      <c r="J190" t="s">
        <v>20</v>
      </c>
      <c r="K190" t="s">
        <v>937</v>
      </c>
      <c r="L190" t="s">
        <v>945</v>
      </c>
      <c r="M190" t="s">
        <v>946</v>
      </c>
      <c r="T190" s="34"/>
    </row>
    <row r="191" spans="1:20" x14ac:dyDescent="0.25">
      <c r="A191" t="s">
        <v>473</v>
      </c>
      <c r="B191" t="s">
        <v>474</v>
      </c>
      <c r="C191" t="s">
        <v>24</v>
      </c>
      <c r="D191" t="s">
        <v>11</v>
      </c>
      <c r="E191" t="s">
        <v>4</v>
      </c>
      <c r="F191" s="5">
        <v>53201</v>
      </c>
      <c r="G191" t="s">
        <v>6</v>
      </c>
      <c r="H191" t="s">
        <v>5</v>
      </c>
      <c r="I191" s="5">
        <v>1500</v>
      </c>
      <c r="J191" t="s">
        <v>20</v>
      </c>
      <c r="K191" t="s">
        <v>938</v>
      </c>
      <c r="L191" t="s">
        <v>945</v>
      </c>
      <c r="M191" t="s">
        <v>946</v>
      </c>
      <c r="T191" s="34"/>
    </row>
    <row r="192" spans="1:20" x14ac:dyDescent="0.25">
      <c r="A192" t="s">
        <v>459</v>
      </c>
      <c r="B192" t="s">
        <v>460</v>
      </c>
      <c r="C192" t="s">
        <v>24</v>
      </c>
      <c r="D192" t="s">
        <v>14</v>
      </c>
      <c r="E192" t="s">
        <v>7</v>
      </c>
      <c r="F192" s="5">
        <v>55432</v>
      </c>
      <c r="G192" t="s">
        <v>6</v>
      </c>
      <c r="H192" t="s">
        <v>5</v>
      </c>
      <c r="I192" s="5">
        <v>1500</v>
      </c>
      <c r="J192" t="s">
        <v>20</v>
      </c>
      <c r="K192" t="s">
        <v>938</v>
      </c>
      <c r="L192" t="s">
        <v>951</v>
      </c>
      <c r="M192" t="s">
        <v>952</v>
      </c>
      <c r="T192" s="34"/>
    </row>
    <row r="193" spans="1:20" x14ac:dyDescent="0.25">
      <c r="A193" t="s">
        <v>901</v>
      </c>
      <c r="B193" t="s">
        <v>902</v>
      </c>
      <c r="C193" t="s">
        <v>24</v>
      </c>
      <c r="D193" t="s">
        <v>14</v>
      </c>
      <c r="E193" t="s">
        <v>9</v>
      </c>
      <c r="F193" s="5">
        <v>88479</v>
      </c>
      <c r="G193" t="s">
        <v>6</v>
      </c>
      <c r="H193" t="s">
        <v>5</v>
      </c>
      <c r="I193" s="5">
        <v>1500</v>
      </c>
      <c r="J193" t="s">
        <v>20</v>
      </c>
      <c r="K193" t="s">
        <v>937</v>
      </c>
      <c r="L193" t="s">
        <v>951</v>
      </c>
      <c r="M193" t="s">
        <v>952</v>
      </c>
      <c r="T193" s="34"/>
    </row>
    <row r="194" spans="1:20" x14ac:dyDescent="0.25">
      <c r="A194" t="s">
        <v>928</v>
      </c>
      <c r="B194" t="s">
        <v>929</v>
      </c>
      <c r="C194" t="s">
        <v>24</v>
      </c>
      <c r="D194" t="s">
        <v>14</v>
      </c>
      <c r="E194" t="s">
        <v>7</v>
      </c>
      <c r="F194" s="5">
        <v>82315</v>
      </c>
      <c r="G194" t="s">
        <v>6</v>
      </c>
      <c r="H194" t="s">
        <v>5</v>
      </c>
      <c r="I194" s="5">
        <v>1500</v>
      </c>
      <c r="J194" t="s">
        <v>20</v>
      </c>
      <c r="K194" t="s">
        <v>938</v>
      </c>
      <c r="L194" t="s">
        <v>951</v>
      </c>
      <c r="M194" t="s">
        <v>952</v>
      </c>
      <c r="T194" s="34"/>
    </row>
    <row r="195" spans="1:20" x14ac:dyDescent="0.25">
      <c r="A195" t="s">
        <v>453</v>
      </c>
      <c r="B195" t="s">
        <v>454</v>
      </c>
      <c r="C195" t="s">
        <v>24</v>
      </c>
      <c r="D195" t="s">
        <v>12</v>
      </c>
      <c r="E195" t="s">
        <v>13</v>
      </c>
      <c r="F195" s="5">
        <v>75474</v>
      </c>
      <c r="G195" t="s">
        <v>6</v>
      </c>
      <c r="H195" t="s">
        <v>5</v>
      </c>
      <c r="I195" s="5">
        <v>1500</v>
      </c>
      <c r="J195" t="s">
        <v>20</v>
      </c>
      <c r="K195" t="s">
        <v>938</v>
      </c>
      <c r="L195" t="s">
        <v>957</v>
      </c>
      <c r="M195" t="s">
        <v>958</v>
      </c>
      <c r="T195" s="34"/>
    </row>
    <row r="196" spans="1:20" x14ac:dyDescent="0.25">
      <c r="A196" t="s">
        <v>482</v>
      </c>
      <c r="B196" t="s">
        <v>483</v>
      </c>
      <c r="C196" t="s">
        <v>24</v>
      </c>
      <c r="D196" t="s">
        <v>14</v>
      </c>
      <c r="E196" t="s">
        <v>7</v>
      </c>
      <c r="F196" s="5">
        <v>77643</v>
      </c>
      <c r="G196" t="s">
        <v>19</v>
      </c>
      <c r="H196" t="s">
        <v>5</v>
      </c>
      <c r="I196" s="5">
        <v>9500</v>
      </c>
      <c r="J196" t="s">
        <v>20</v>
      </c>
      <c r="K196" t="s">
        <v>938</v>
      </c>
      <c r="L196" t="s">
        <v>951</v>
      </c>
      <c r="M196" t="s">
        <v>952</v>
      </c>
      <c r="T196" s="34"/>
    </row>
    <row r="197" spans="1:20" x14ac:dyDescent="0.25">
      <c r="A197" t="s">
        <v>455</v>
      </c>
      <c r="B197" t="s">
        <v>456</v>
      </c>
      <c r="C197" t="s">
        <v>24</v>
      </c>
      <c r="D197" t="s">
        <v>8</v>
      </c>
      <c r="E197" t="s">
        <v>13</v>
      </c>
      <c r="F197" s="5">
        <v>174724</v>
      </c>
      <c r="G197" t="s">
        <v>6</v>
      </c>
      <c r="H197" t="s">
        <v>5</v>
      </c>
      <c r="I197" s="5">
        <v>1500</v>
      </c>
      <c r="J197" t="s">
        <v>20</v>
      </c>
      <c r="K197" t="s">
        <v>939</v>
      </c>
      <c r="L197" t="s">
        <v>948</v>
      </c>
      <c r="M197" t="s">
        <v>949</v>
      </c>
      <c r="T197" s="34"/>
    </row>
    <row r="198" spans="1:20" x14ac:dyDescent="0.25">
      <c r="A198" t="s">
        <v>478</v>
      </c>
      <c r="B198" t="s">
        <v>479</v>
      </c>
      <c r="C198" t="s">
        <v>24</v>
      </c>
      <c r="D198" t="s">
        <v>12</v>
      </c>
      <c r="E198" t="s">
        <v>4</v>
      </c>
      <c r="F198" s="5">
        <v>180363</v>
      </c>
      <c r="G198" t="s">
        <v>6</v>
      </c>
      <c r="H198" t="s">
        <v>5</v>
      </c>
      <c r="I198" s="5">
        <v>1500</v>
      </c>
      <c r="J198" t="s">
        <v>20</v>
      </c>
      <c r="K198" t="s">
        <v>940</v>
      </c>
      <c r="L198" t="s">
        <v>957</v>
      </c>
      <c r="M198" t="s">
        <v>958</v>
      </c>
      <c r="T198" s="34"/>
    </row>
    <row r="199" spans="1:20" x14ac:dyDescent="0.25">
      <c r="A199" t="s">
        <v>895</v>
      </c>
      <c r="B199" t="s">
        <v>896</v>
      </c>
      <c r="C199" t="s">
        <v>24</v>
      </c>
      <c r="D199" t="s">
        <v>3</v>
      </c>
      <c r="E199" t="s">
        <v>7</v>
      </c>
      <c r="F199" s="5">
        <v>164229</v>
      </c>
      <c r="G199" t="s">
        <v>6</v>
      </c>
      <c r="H199" t="s">
        <v>5</v>
      </c>
      <c r="I199" s="5">
        <v>1500</v>
      </c>
      <c r="J199" t="s">
        <v>20</v>
      </c>
      <c r="K199" t="s">
        <v>939</v>
      </c>
      <c r="L199" t="s">
        <v>954</v>
      </c>
      <c r="M199" t="s">
        <v>955</v>
      </c>
      <c r="T199" s="34"/>
    </row>
    <row r="200" spans="1:20" x14ac:dyDescent="0.25">
      <c r="A200" t="s">
        <v>442</v>
      </c>
      <c r="B200" t="s">
        <v>353</v>
      </c>
      <c r="C200" t="s">
        <v>24</v>
      </c>
      <c r="D200" t="s">
        <v>12</v>
      </c>
      <c r="E200" t="s">
        <v>4</v>
      </c>
      <c r="F200" s="5">
        <v>172100</v>
      </c>
      <c r="G200" t="s">
        <v>19</v>
      </c>
      <c r="H200" t="s">
        <v>5</v>
      </c>
      <c r="I200" s="5">
        <v>9500</v>
      </c>
      <c r="J200" t="s">
        <v>20</v>
      </c>
      <c r="K200" t="s">
        <v>939</v>
      </c>
      <c r="L200" t="s">
        <v>957</v>
      </c>
      <c r="M200" t="s">
        <v>958</v>
      </c>
      <c r="T200" s="34"/>
    </row>
    <row r="201" spans="1:20" x14ac:dyDescent="0.25">
      <c r="A201" t="s">
        <v>910</v>
      </c>
      <c r="B201" t="s">
        <v>911</v>
      </c>
      <c r="C201" t="s">
        <v>24</v>
      </c>
      <c r="D201" t="s">
        <v>11</v>
      </c>
      <c r="E201" t="s">
        <v>7</v>
      </c>
      <c r="F201" s="5">
        <v>194465</v>
      </c>
      <c r="G201" t="s">
        <v>6</v>
      </c>
      <c r="H201" t="s">
        <v>5</v>
      </c>
      <c r="I201" s="5">
        <v>1500</v>
      </c>
      <c r="J201" t="s">
        <v>20</v>
      </c>
      <c r="K201" t="s">
        <v>940</v>
      </c>
      <c r="L201" t="s">
        <v>945</v>
      </c>
      <c r="M201" t="s">
        <v>946</v>
      </c>
      <c r="T201" s="34"/>
    </row>
    <row r="202" spans="1:20" x14ac:dyDescent="0.25">
      <c r="A202" t="s">
        <v>451</v>
      </c>
      <c r="B202" t="s">
        <v>452</v>
      </c>
      <c r="C202" t="s">
        <v>24</v>
      </c>
      <c r="D202" t="s">
        <v>11</v>
      </c>
      <c r="E202" t="s">
        <v>9</v>
      </c>
      <c r="F202" s="5">
        <v>197756</v>
      </c>
      <c r="G202" t="s">
        <v>6</v>
      </c>
      <c r="H202" t="s">
        <v>5</v>
      </c>
      <c r="I202" s="5">
        <v>1500</v>
      </c>
      <c r="J202" t="s">
        <v>20</v>
      </c>
      <c r="K202" t="s">
        <v>940</v>
      </c>
      <c r="L202" t="s">
        <v>945</v>
      </c>
      <c r="M202" t="s">
        <v>946</v>
      </c>
      <c r="T202" s="34"/>
    </row>
    <row r="203" spans="1:20" x14ac:dyDescent="0.25">
      <c r="A203" t="s">
        <v>475</v>
      </c>
      <c r="B203" t="s">
        <v>476</v>
      </c>
      <c r="C203" t="s">
        <v>24</v>
      </c>
      <c r="D203" t="s">
        <v>8</v>
      </c>
      <c r="E203" t="s">
        <v>4</v>
      </c>
      <c r="F203" s="5">
        <v>189605</v>
      </c>
      <c r="G203" t="s">
        <v>6</v>
      </c>
      <c r="H203" t="s">
        <v>5</v>
      </c>
      <c r="I203" s="5">
        <v>1500</v>
      </c>
      <c r="J203" t="s">
        <v>20</v>
      </c>
      <c r="K203" t="s">
        <v>940</v>
      </c>
      <c r="L203" t="s">
        <v>948</v>
      </c>
      <c r="M203" t="s">
        <v>949</v>
      </c>
      <c r="T203" s="34"/>
    </row>
    <row r="204" spans="1:20" x14ac:dyDescent="0.25">
      <c r="A204" t="s">
        <v>464</v>
      </c>
      <c r="B204" t="s">
        <v>465</v>
      </c>
      <c r="C204" t="s">
        <v>24</v>
      </c>
      <c r="D204" t="s">
        <v>11</v>
      </c>
      <c r="E204" t="s">
        <v>7</v>
      </c>
      <c r="F204" s="5">
        <v>162697</v>
      </c>
      <c r="G204" t="s">
        <v>6</v>
      </c>
      <c r="H204" t="s">
        <v>5</v>
      </c>
      <c r="I204" s="5">
        <v>1500</v>
      </c>
      <c r="J204" t="s">
        <v>20</v>
      </c>
      <c r="K204" t="s">
        <v>939</v>
      </c>
      <c r="L204" t="s">
        <v>945</v>
      </c>
      <c r="M204" t="s">
        <v>946</v>
      </c>
      <c r="T204" s="34"/>
    </row>
    <row r="205" spans="1:20" x14ac:dyDescent="0.25">
      <c r="A205" t="s">
        <v>898</v>
      </c>
      <c r="B205" t="s">
        <v>899</v>
      </c>
      <c r="C205" t="s">
        <v>24</v>
      </c>
      <c r="D205" t="s">
        <v>3</v>
      </c>
      <c r="E205" t="s">
        <v>4</v>
      </c>
      <c r="F205" s="5">
        <v>134629</v>
      </c>
      <c r="G205" t="s">
        <v>6</v>
      </c>
      <c r="H205" t="s">
        <v>5</v>
      </c>
      <c r="I205" s="5">
        <v>1500</v>
      </c>
      <c r="J205" t="s">
        <v>20</v>
      </c>
      <c r="K205" t="s">
        <v>939</v>
      </c>
      <c r="L205" t="s">
        <v>954</v>
      </c>
      <c r="M205" t="s">
        <v>955</v>
      </c>
      <c r="T205" s="34"/>
    </row>
    <row r="206" spans="1:20" x14ac:dyDescent="0.25">
      <c r="A206" t="s">
        <v>447</v>
      </c>
      <c r="B206" t="s">
        <v>448</v>
      </c>
      <c r="C206" t="s">
        <v>24</v>
      </c>
      <c r="D206" t="s">
        <v>3</v>
      </c>
      <c r="E206" t="s">
        <v>4</v>
      </c>
      <c r="F206" s="5">
        <v>135303</v>
      </c>
      <c r="G206" t="s">
        <v>6</v>
      </c>
      <c r="H206" t="s">
        <v>5</v>
      </c>
      <c r="I206" s="5">
        <v>1500</v>
      </c>
      <c r="J206" t="s">
        <v>20</v>
      </c>
      <c r="K206" t="s">
        <v>939</v>
      </c>
      <c r="L206" t="s">
        <v>954</v>
      </c>
      <c r="M206" t="s">
        <v>955</v>
      </c>
      <c r="T206" s="34"/>
    </row>
    <row r="207" spans="1:20" x14ac:dyDescent="0.25">
      <c r="A207" t="s">
        <v>470</v>
      </c>
      <c r="B207" t="s">
        <v>471</v>
      </c>
      <c r="C207" t="s">
        <v>24</v>
      </c>
      <c r="D207" t="s">
        <v>3</v>
      </c>
      <c r="E207" t="s">
        <v>4</v>
      </c>
      <c r="F207" s="5">
        <v>132522</v>
      </c>
      <c r="G207" t="s">
        <v>6</v>
      </c>
      <c r="H207" t="s">
        <v>5</v>
      </c>
      <c r="I207" s="5">
        <v>1500</v>
      </c>
      <c r="J207" t="s">
        <v>20</v>
      </c>
      <c r="K207" t="s">
        <v>939</v>
      </c>
      <c r="L207" t="s">
        <v>954</v>
      </c>
      <c r="M207" t="s">
        <v>955</v>
      </c>
      <c r="T207" s="34"/>
    </row>
    <row r="208" spans="1:20" x14ac:dyDescent="0.25">
      <c r="A208" t="s">
        <v>445</v>
      </c>
      <c r="B208" t="s">
        <v>446</v>
      </c>
      <c r="C208" t="s">
        <v>24</v>
      </c>
      <c r="D208" t="s">
        <v>12</v>
      </c>
      <c r="E208" t="s">
        <v>9</v>
      </c>
      <c r="F208" s="5">
        <v>125231</v>
      </c>
      <c r="G208" t="s">
        <v>6</v>
      </c>
      <c r="H208" t="s">
        <v>5</v>
      </c>
      <c r="I208" s="5">
        <v>1500</v>
      </c>
      <c r="J208" t="s">
        <v>20</v>
      </c>
      <c r="K208" t="s">
        <v>937</v>
      </c>
      <c r="L208" t="s">
        <v>957</v>
      </c>
      <c r="M208" t="s">
        <v>958</v>
      </c>
      <c r="T208" s="34"/>
    </row>
    <row r="209" spans="1:20" x14ac:dyDescent="0.25">
      <c r="A209" t="s">
        <v>912</v>
      </c>
      <c r="B209" t="s">
        <v>902</v>
      </c>
      <c r="C209" t="s">
        <v>24</v>
      </c>
      <c r="D209" t="s">
        <v>11</v>
      </c>
      <c r="E209" t="s">
        <v>9</v>
      </c>
      <c r="F209" s="5">
        <v>153580</v>
      </c>
      <c r="G209" t="s">
        <v>6</v>
      </c>
      <c r="H209" t="s">
        <v>5</v>
      </c>
      <c r="I209" s="5">
        <v>1500</v>
      </c>
      <c r="J209" t="s">
        <v>20</v>
      </c>
      <c r="K209" t="s">
        <v>939</v>
      </c>
      <c r="L209" t="s">
        <v>945</v>
      </c>
      <c r="M209" t="s">
        <v>946</v>
      </c>
      <c r="T209" s="34"/>
    </row>
    <row r="210" spans="1:20" x14ac:dyDescent="0.25">
      <c r="A210" t="s">
        <v>466</v>
      </c>
      <c r="B210" t="s">
        <v>467</v>
      </c>
      <c r="C210" t="s">
        <v>24</v>
      </c>
      <c r="D210" t="s">
        <v>14</v>
      </c>
      <c r="E210" t="s">
        <v>7</v>
      </c>
      <c r="F210" s="5">
        <v>149583</v>
      </c>
      <c r="G210" t="s">
        <v>6</v>
      </c>
      <c r="H210" t="s">
        <v>5</v>
      </c>
      <c r="I210" s="5">
        <v>1500</v>
      </c>
      <c r="J210" t="s">
        <v>20</v>
      </c>
      <c r="K210" t="s">
        <v>939</v>
      </c>
      <c r="L210" t="s">
        <v>951</v>
      </c>
      <c r="M210" t="s">
        <v>952</v>
      </c>
      <c r="T210" s="34"/>
    </row>
    <row r="211" spans="1:20" x14ac:dyDescent="0.25">
      <c r="A211" t="s">
        <v>920</v>
      </c>
      <c r="B211" t="s">
        <v>498</v>
      </c>
      <c r="C211" t="s">
        <v>23</v>
      </c>
      <c r="D211" t="s">
        <v>8</v>
      </c>
      <c r="E211" t="s">
        <v>9</v>
      </c>
      <c r="F211" s="5">
        <v>117725</v>
      </c>
      <c r="G211" t="s">
        <v>6</v>
      </c>
      <c r="H211" t="s">
        <v>5</v>
      </c>
      <c r="I211" s="5">
        <v>1500</v>
      </c>
      <c r="J211" t="s">
        <v>20</v>
      </c>
      <c r="K211" t="s">
        <v>937</v>
      </c>
      <c r="L211" t="s">
        <v>948</v>
      </c>
      <c r="M211" t="s">
        <v>949</v>
      </c>
      <c r="T211" s="34"/>
    </row>
    <row r="212" spans="1:20" x14ac:dyDescent="0.25">
      <c r="A212" t="s">
        <v>919</v>
      </c>
      <c r="B212" t="s">
        <v>371</v>
      </c>
      <c r="C212" t="s">
        <v>23</v>
      </c>
      <c r="D212" t="s">
        <v>3</v>
      </c>
      <c r="E212" t="s">
        <v>13</v>
      </c>
      <c r="F212" s="5">
        <v>112366</v>
      </c>
      <c r="G212" t="s">
        <v>6</v>
      </c>
      <c r="H212" t="s">
        <v>5</v>
      </c>
      <c r="I212" s="5">
        <v>1500</v>
      </c>
      <c r="J212" t="s">
        <v>20</v>
      </c>
      <c r="K212" t="s">
        <v>937</v>
      </c>
      <c r="L212" t="s">
        <v>954</v>
      </c>
      <c r="M212" t="s">
        <v>955</v>
      </c>
      <c r="T212" s="34"/>
    </row>
    <row r="213" spans="1:20" x14ac:dyDescent="0.25">
      <c r="A213" t="s">
        <v>913</v>
      </c>
      <c r="B213" t="s">
        <v>914</v>
      </c>
      <c r="C213" t="s">
        <v>23</v>
      </c>
      <c r="D213" t="s">
        <v>14</v>
      </c>
      <c r="E213" t="s">
        <v>13</v>
      </c>
      <c r="F213" s="5">
        <v>65323</v>
      </c>
      <c r="G213" t="s">
        <v>6</v>
      </c>
      <c r="H213" t="s">
        <v>5</v>
      </c>
      <c r="I213" s="5">
        <v>1500</v>
      </c>
      <c r="J213" t="s">
        <v>20</v>
      </c>
      <c r="K213" t="s">
        <v>938</v>
      </c>
      <c r="L213" t="s">
        <v>951</v>
      </c>
      <c r="M213" t="s">
        <v>952</v>
      </c>
      <c r="T213" s="34"/>
    </row>
    <row r="214" spans="1:20" x14ac:dyDescent="0.25">
      <c r="A214" t="s">
        <v>506</v>
      </c>
      <c r="B214" t="s">
        <v>241</v>
      </c>
      <c r="C214" t="s">
        <v>23</v>
      </c>
      <c r="D214" t="s">
        <v>3</v>
      </c>
      <c r="E214" t="s">
        <v>13</v>
      </c>
      <c r="F214" s="5">
        <v>54124</v>
      </c>
      <c r="G214" t="s">
        <v>19</v>
      </c>
      <c r="H214" t="s">
        <v>5</v>
      </c>
      <c r="I214" s="5">
        <v>9500</v>
      </c>
      <c r="J214" t="s">
        <v>20</v>
      </c>
      <c r="K214" t="s">
        <v>938</v>
      </c>
      <c r="L214" t="s">
        <v>954</v>
      </c>
      <c r="M214" t="s">
        <v>955</v>
      </c>
      <c r="T214" s="34"/>
    </row>
    <row r="215" spans="1:20" x14ac:dyDescent="0.25">
      <c r="A215" t="s">
        <v>488</v>
      </c>
      <c r="B215" t="s">
        <v>489</v>
      </c>
      <c r="C215" t="s">
        <v>23</v>
      </c>
      <c r="D215" t="s">
        <v>14</v>
      </c>
      <c r="E215" t="s">
        <v>7</v>
      </c>
      <c r="F215" s="5">
        <v>55237</v>
      </c>
      <c r="G215" t="s">
        <v>6</v>
      </c>
      <c r="H215" t="s">
        <v>5</v>
      </c>
      <c r="I215" s="5">
        <v>1500</v>
      </c>
      <c r="J215" t="s">
        <v>20</v>
      </c>
      <c r="K215" t="s">
        <v>938</v>
      </c>
      <c r="L215" t="s">
        <v>951</v>
      </c>
      <c r="M215" t="s">
        <v>952</v>
      </c>
      <c r="T215" s="34"/>
    </row>
    <row r="216" spans="1:20" x14ac:dyDescent="0.25">
      <c r="A216" t="s">
        <v>497</v>
      </c>
      <c r="B216" t="s">
        <v>498</v>
      </c>
      <c r="C216" t="s">
        <v>23</v>
      </c>
      <c r="D216" t="s">
        <v>8</v>
      </c>
      <c r="E216" t="s">
        <v>7</v>
      </c>
      <c r="F216" s="5">
        <v>78885</v>
      </c>
      <c r="G216" t="s">
        <v>6</v>
      </c>
      <c r="H216" t="s">
        <v>5</v>
      </c>
      <c r="I216" s="5">
        <v>1500</v>
      </c>
      <c r="J216" t="s">
        <v>20</v>
      </c>
      <c r="K216" t="s">
        <v>938</v>
      </c>
      <c r="L216" t="s">
        <v>948</v>
      </c>
      <c r="M216" t="s">
        <v>949</v>
      </c>
      <c r="T216" s="34"/>
    </row>
    <row r="217" spans="1:20" x14ac:dyDescent="0.25">
      <c r="A217" t="s">
        <v>499</v>
      </c>
      <c r="B217" t="s">
        <v>500</v>
      </c>
      <c r="C217" t="s">
        <v>23</v>
      </c>
      <c r="D217" t="s">
        <v>11</v>
      </c>
      <c r="E217" t="s">
        <v>7</v>
      </c>
      <c r="F217" s="5">
        <v>71134</v>
      </c>
      <c r="G217" t="s">
        <v>6</v>
      </c>
      <c r="H217" t="s">
        <v>5</v>
      </c>
      <c r="I217" s="5">
        <v>1500</v>
      </c>
      <c r="J217" t="s">
        <v>20</v>
      </c>
      <c r="K217" t="s">
        <v>938</v>
      </c>
      <c r="L217" t="s">
        <v>945</v>
      </c>
      <c r="M217" t="s">
        <v>946</v>
      </c>
      <c r="T217" s="34"/>
    </row>
    <row r="218" spans="1:20" x14ac:dyDescent="0.25">
      <c r="A218" t="s">
        <v>923</v>
      </c>
      <c r="B218" t="s">
        <v>862</v>
      </c>
      <c r="C218" t="s">
        <v>23</v>
      </c>
      <c r="D218" t="s">
        <v>11</v>
      </c>
      <c r="E218" t="s">
        <v>7</v>
      </c>
      <c r="F218" s="5">
        <v>174531</v>
      </c>
      <c r="G218" t="s">
        <v>6</v>
      </c>
      <c r="H218" t="s">
        <v>5</v>
      </c>
      <c r="I218" s="5">
        <v>1500</v>
      </c>
      <c r="J218" t="s">
        <v>20</v>
      </c>
      <c r="K218" t="s">
        <v>939</v>
      </c>
      <c r="L218" t="s">
        <v>945</v>
      </c>
      <c r="M218" t="s">
        <v>946</v>
      </c>
      <c r="T218" s="34"/>
    </row>
    <row r="219" spans="1:20" x14ac:dyDescent="0.25">
      <c r="A219" t="s">
        <v>897</v>
      </c>
      <c r="B219" t="s">
        <v>217</v>
      </c>
      <c r="C219" t="s">
        <v>23</v>
      </c>
      <c r="D219" t="s">
        <v>8</v>
      </c>
      <c r="E219" t="s">
        <v>7</v>
      </c>
      <c r="F219" s="5">
        <v>173836</v>
      </c>
      <c r="G219" t="s">
        <v>6</v>
      </c>
      <c r="H219" t="s">
        <v>5</v>
      </c>
      <c r="I219" s="5">
        <v>1500</v>
      </c>
      <c r="J219" t="s">
        <v>20</v>
      </c>
      <c r="K219" t="s">
        <v>939</v>
      </c>
      <c r="L219" t="s">
        <v>948</v>
      </c>
      <c r="M219" t="s">
        <v>949</v>
      </c>
      <c r="T219" s="34"/>
    </row>
    <row r="220" spans="1:20" x14ac:dyDescent="0.25">
      <c r="A220" t="s">
        <v>909</v>
      </c>
      <c r="B220" t="s">
        <v>270</v>
      </c>
      <c r="C220" t="s">
        <v>23</v>
      </c>
      <c r="D220" t="s">
        <v>3</v>
      </c>
      <c r="E220" t="s">
        <v>7</v>
      </c>
      <c r="F220" s="5">
        <v>164576</v>
      </c>
      <c r="G220" t="s">
        <v>6</v>
      </c>
      <c r="H220" t="s">
        <v>5</v>
      </c>
      <c r="I220" s="5">
        <v>1500</v>
      </c>
      <c r="J220" t="s">
        <v>20</v>
      </c>
      <c r="K220" t="s">
        <v>939</v>
      </c>
      <c r="L220" t="s">
        <v>954</v>
      </c>
      <c r="M220" t="s">
        <v>955</v>
      </c>
      <c r="T220" s="34"/>
    </row>
    <row r="221" spans="1:20" x14ac:dyDescent="0.25">
      <c r="A221" t="s">
        <v>493</v>
      </c>
      <c r="B221" t="s">
        <v>494</v>
      </c>
      <c r="C221" t="s">
        <v>23</v>
      </c>
      <c r="D221" t="s">
        <v>12</v>
      </c>
      <c r="E221" t="s">
        <v>4</v>
      </c>
      <c r="F221" s="5">
        <v>168016</v>
      </c>
      <c r="G221" t="s">
        <v>6</v>
      </c>
      <c r="H221" t="s">
        <v>5</v>
      </c>
      <c r="I221" s="5">
        <v>1500</v>
      </c>
      <c r="J221" t="s">
        <v>20</v>
      </c>
      <c r="K221" t="s">
        <v>939</v>
      </c>
      <c r="L221" t="s">
        <v>957</v>
      </c>
      <c r="M221" t="s">
        <v>958</v>
      </c>
      <c r="T221" s="34"/>
    </row>
    <row r="222" spans="1:20" x14ac:dyDescent="0.25">
      <c r="A222" t="s">
        <v>486</v>
      </c>
      <c r="B222" t="s">
        <v>312</v>
      </c>
      <c r="C222" t="s">
        <v>23</v>
      </c>
      <c r="D222" t="s">
        <v>8</v>
      </c>
      <c r="E222" t="s">
        <v>13</v>
      </c>
      <c r="F222" s="5">
        <v>170656</v>
      </c>
      <c r="G222" t="s">
        <v>6</v>
      </c>
      <c r="H222" t="s">
        <v>5</v>
      </c>
      <c r="I222" s="5">
        <v>1500</v>
      </c>
      <c r="J222" t="s">
        <v>20</v>
      </c>
      <c r="K222" t="s">
        <v>939</v>
      </c>
      <c r="L222" t="s">
        <v>948</v>
      </c>
      <c r="M222" t="s">
        <v>949</v>
      </c>
      <c r="T222" s="34"/>
    </row>
    <row r="223" spans="1:20" x14ac:dyDescent="0.25">
      <c r="A223" t="s">
        <v>502</v>
      </c>
      <c r="B223" t="s">
        <v>503</v>
      </c>
      <c r="C223" t="s">
        <v>23</v>
      </c>
      <c r="D223" t="s">
        <v>8</v>
      </c>
      <c r="E223" t="s">
        <v>9</v>
      </c>
      <c r="F223" s="5">
        <v>171074</v>
      </c>
      <c r="G223" t="s">
        <v>19</v>
      </c>
      <c r="H223" t="s">
        <v>5</v>
      </c>
      <c r="I223" s="5">
        <v>9500</v>
      </c>
      <c r="J223" t="s">
        <v>20</v>
      </c>
      <c r="K223" t="s">
        <v>939</v>
      </c>
      <c r="L223" t="s">
        <v>948</v>
      </c>
      <c r="M223" t="s">
        <v>949</v>
      </c>
      <c r="T223" s="34"/>
    </row>
    <row r="224" spans="1:20" x14ac:dyDescent="0.25">
      <c r="A224" t="s">
        <v>900</v>
      </c>
      <c r="B224" t="s">
        <v>278</v>
      </c>
      <c r="C224" t="s">
        <v>23</v>
      </c>
      <c r="D224" t="s">
        <v>14</v>
      </c>
      <c r="E224" t="s">
        <v>4</v>
      </c>
      <c r="F224" s="5">
        <v>192416</v>
      </c>
      <c r="G224" t="s">
        <v>6</v>
      </c>
      <c r="H224" t="s">
        <v>5</v>
      </c>
      <c r="I224" s="5">
        <v>1500</v>
      </c>
      <c r="J224" t="s">
        <v>20</v>
      </c>
      <c r="K224" t="s">
        <v>940</v>
      </c>
      <c r="L224" t="s">
        <v>951</v>
      </c>
      <c r="M224" t="s">
        <v>952</v>
      </c>
      <c r="T224" s="34"/>
    </row>
    <row r="225" spans="1:20" x14ac:dyDescent="0.25">
      <c r="A225" t="s">
        <v>484</v>
      </c>
      <c r="B225" t="s">
        <v>485</v>
      </c>
      <c r="C225" t="s">
        <v>23</v>
      </c>
      <c r="D225" t="s">
        <v>3</v>
      </c>
      <c r="E225" t="s">
        <v>7</v>
      </c>
      <c r="F225" s="5">
        <v>127240</v>
      </c>
      <c r="G225" t="s">
        <v>6</v>
      </c>
      <c r="H225" t="s">
        <v>5</v>
      </c>
      <c r="I225" s="5">
        <v>1500</v>
      </c>
      <c r="J225" t="s">
        <v>20</v>
      </c>
      <c r="K225" t="s">
        <v>937</v>
      </c>
      <c r="L225" t="s">
        <v>954</v>
      </c>
      <c r="M225" t="s">
        <v>955</v>
      </c>
      <c r="T225" s="34"/>
    </row>
    <row r="226" spans="1:20" x14ac:dyDescent="0.25">
      <c r="A226" t="s">
        <v>487</v>
      </c>
      <c r="B226" t="s">
        <v>209</v>
      </c>
      <c r="C226" t="s">
        <v>23</v>
      </c>
      <c r="D226" t="s">
        <v>3</v>
      </c>
      <c r="E226" t="s">
        <v>9</v>
      </c>
      <c r="F226" s="5">
        <v>129557</v>
      </c>
      <c r="G226" t="s">
        <v>6</v>
      </c>
      <c r="H226" t="s">
        <v>5</v>
      </c>
      <c r="I226" s="5">
        <v>1500</v>
      </c>
      <c r="J226" t="s">
        <v>20</v>
      </c>
      <c r="K226" t="s">
        <v>939</v>
      </c>
      <c r="L226" t="s">
        <v>954</v>
      </c>
      <c r="M226" t="s">
        <v>955</v>
      </c>
      <c r="T226" s="34"/>
    </row>
    <row r="227" spans="1:20" x14ac:dyDescent="0.25">
      <c r="A227" t="s">
        <v>501</v>
      </c>
      <c r="B227" t="s">
        <v>133</v>
      </c>
      <c r="C227" t="s">
        <v>23</v>
      </c>
      <c r="D227" t="s">
        <v>8</v>
      </c>
      <c r="E227" t="s">
        <v>13</v>
      </c>
      <c r="F227" s="5">
        <v>134453</v>
      </c>
      <c r="G227" t="s">
        <v>6</v>
      </c>
      <c r="H227" t="s">
        <v>5</v>
      </c>
      <c r="I227" s="5">
        <v>1500</v>
      </c>
      <c r="J227" t="s">
        <v>20</v>
      </c>
      <c r="K227" t="s">
        <v>939</v>
      </c>
      <c r="L227" t="s">
        <v>948</v>
      </c>
      <c r="M227" t="s">
        <v>949</v>
      </c>
      <c r="T227" s="34"/>
    </row>
    <row r="228" spans="1:20" x14ac:dyDescent="0.25">
      <c r="A228" t="s">
        <v>921</v>
      </c>
      <c r="B228" t="s">
        <v>922</v>
      </c>
      <c r="C228" t="s">
        <v>23</v>
      </c>
      <c r="D228" t="s">
        <v>8</v>
      </c>
      <c r="E228" t="s">
        <v>13</v>
      </c>
      <c r="F228" s="5">
        <v>143619</v>
      </c>
      <c r="G228" t="s">
        <v>6</v>
      </c>
      <c r="H228" t="s">
        <v>5</v>
      </c>
      <c r="I228" s="5">
        <v>1500</v>
      </c>
      <c r="J228" t="s">
        <v>20</v>
      </c>
      <c r="K228" t="s">
        <v>939</v>
      </c>
      <c r="L228" t="s">
        <v>948</v>
      </c>
      <c r="M228" t="s">
        <v>949</v>
      </c>
      <c r="T228" s="34"/>
    </row>
    <row r="229" spans="1:20" x14ac:dyDescent="0.25">
      <c r="A229" t="s">
        <v>504</v>
      </c>
      <c r="B229" t="s">
        <v>505</v>
      </c>
      <c r="C229" t="s">
        <v>23</v>
      </c>
      <c r="D229" t="s">
        <v>8</v>
      </c>
      <c r="E229" t="s">
        <v>9</v>
      </c>
      <c r="F229" s="5">
        <v>149443</v>
      </c>
      <c r="G229" t="s">
        <v>19</v>
      </c>
      <c r="H229" t="s">
        <v>5</v>
      </c>
      <c r="I229" s="5">
        <v>9500</v>
      </c>
      <c r="J229" t="s">
        <v>20</v>
      </c>
      <c r="K229" t="s">
        <v>939</v>
      </c>
      <c r="L229" t="s">
        <v>948</v>
      </c>
      <c r="M229" t="s">
        <v>949</v>
      </c>
      <c r="T229" s="34"/>
    </row>
    <row r="230" spans="1:20" x14ac:dyDescent="0.25">
      <c r="A230" t="s">
        <v>816</v>
      </c>
      <c r="B230" t="s">
        <v>817</v>
      </c>
      <c r="C230" t="s">
        <v>23</v>
      </c>
      <c r="D230" t="s">
        <v>8</v>
      </c>
      <c r="E230" t="s">
        <v>4</v>
      </c>
      <c r="F230" s="5">
        <v>100069</v>
      </c>
      <c r="G230" t="s">
        <v>16</v>
      </c>
      <c r="H230" t="s">
        <v>10</v>
      </c>
      <c r="I230" s="5">
        <v>4200</v>
      </c>
      <c r="J230" t="s">
        <v>20</v>
      </c>
      <c r="K230" t="s">
        <v>937</v>
      </c>
      <c r="L230" t="s">
        <v>948</v>
      </c>
      <c r="M230" t="s">
        <v>949</v>
      </c>
      <c r="T230" s="34"/>
    </row>
    <row r="231" spans="1:20" x14ac:dyDescent="0.25">
      <c r="A231" t="s">
        <v>773</v>
      </c>
      <c r="B231" t="s">
        <v>774</v>
      </c>
      <c r="C231" t="s">
        <v>23</v>
      </c>
      <c r="D231" t="s">
        <v>14</v>
      </c>
      <c r="E231" t="s">
        <v>4</v>
      </c>
      <c r="F231" s="5">
        <v>99636</v>
      </c>
      <c r="G231" t="s">
        <v>16</v>
      </c>
      <c r="H231" t="s">
        <v>10</v>
      </c>
      <c r="I231" s="5">
        <v>4200</v>
      </c>
      <c r="J231" t="s">
        <v>20</v>
      </c>
      <c r="K231" t="s">
        <v>937</v>
      </c>
      <c r="L231" t="s">
        <v>951</v>
      </c>
      <c r="M231" t="s">
        <v>952</v>
      </c>
      <c r="T231" s="34"/>
    </row>
    <row r="232" spans="1:20" x14ac:dyDescent="0.25">
      <c r="A232" t="s">
        <v>780</v>
      </c>
      <c r="B232" t="s">
        <v>781</v>
      </c>
      <c r="C232" t="s">
        <v>23</v>
      </c>
      <c r="D232" t="s">
        <v>11</v>
      </c>
      <c r="E232" t="s">
        <v>9</v>
      </c>
      <c r="F232" s="5">
        <v>100452</v>
      </c>
      <c r="G232" t="s">
        <v>16</v>
      </c>
      <c r="H232" t="s">
        <v>10</v>
      </c>
      <c r="I232" s="5">
        <v>4200</v>
      </c>
      <c r="J232" t="s">
        <v>20</v>
      </c>
      <c r="K232" t="s">
        <v>937</v>
      </c>
      <c r="L232" t="s">
        <v>945</v>
      </c>
      <c r="M232" t="s">
        <v>946</v>
      </c>
      <c r="T232" s="34"/>
    </row>
    <row r="233" spans="1:20" x14ac:dyDescent="0.25">
      <c r="A233" t="s">
        <v>820</v>
      </c>
      <c r="B233" t="s">
        <v>821</v>
      </c>
      <c r="C233" t="s">
        <v>23</v>
      </c>
      <c r="D233" t="s">
        <v>11</v>
      </c>
      <c r="E233" t="s">
        <v>13</v>
      </c>
      <c r="F233" s="5">
        <v>96359</v>
      </c>
      <c r="G233" t="s">
        <v>6</v>
      </c>
      <c r="H233" t="s">
        <v>10</v>
      </c>
      <c r="I233" s="5">
        <v>2800</v>
      </c>
      <c r="J233" t="s">
        <v>20</v>
      </c>
      <c r="K233" t="s">
        <v>937</v>
      </c>
      <c r="L233" t="s">
        <v>945</v>
      </c>
      <c r="M233" t="s">
        <v>946</v>
      </c>
      <c r="T233" s="34"/>
    </row>
    <row r="234" spans="1:20" x14ac:dyDescent="0.25">
      <c r="A234" t="s">
        <v>668</v>
      </c>
      <c r="B234" t="s">
        <v>45</v>
      </c>
      <c r="C234" t="s">
        <v>23</v>
      </c>
      <c r="D234" t="s">
        <v>3</v>
      </c>
      <c r="E234" t="s">
        <v>9</v>
      </c>
      <c r="F234" s="5">
        <v>91002</v>
      </c>
      <c r="G234" t="s">
        <v>16</v>
      </c>
      <c r="H234" t="s">
        <v>10</v>
      </c>
      <c r="I234" s="5">
        <v>4200</v>
      </c>
      <c r="J234" t="s">
        <v>20</v>
      </c>
      <c r="K234" t="s">
        <v>937</v>
      </c>
      <c r="L234" t="s">
        <v>954</v>
      </c>
      <c r="M234" t="s">
        <v>955</v>
      </c>
      <c r="T234" s="34"/>
    </row>
    <row r="235" spans="1:20" x14ac:dyDescent="0.25">
      <c r="A235" t="s">
        <v>779</v>
      </c>
      <c r="B235" t="s">
        <v>528</v>
      </c>
      <c r="C235" t="s">
        <v>23</v>
      </c>
      <c r="D235" t="s">
        <v>14</v>
      </c>
      <c r="E235" t="s">
        <v>7</v>
      </c>
      <c r="F235" s="5">
        <v>91060</v>
      </c>
      <c r="G235" t="s">
        <v>16</v>
      </c>
      <c r="H235" t="s">
        <v>10</v>
      </c>
      <c r="I235" s="5">
        <v>4200</v>
      </c>
      <c r="J235" t="s">
        <v>20</v>
      </c>
      <c r="K235" t="s">
        <v>937</v>
      </c>
      <c r="L235" t="s">
        <v>951</v>
      </c>
      <c r="M235" t="s">
        <v>952</v>
      </c>
      <c r="T235" s="34"/>
    </row>
    <row r="236" spans="1:20" x14ac:dyDescent="0.25">
      <c r="A236" t="s">
        <v>738</v>
      </c>
      <c r="B236" t="s">
        <v>739</v>
      </c>
      <c r="C236" t="s">
        <v>23</v>
      </c>
      <c r="D236" t="s">
        <v>8</v>
      </c>
      <c r="E236" t="s">
        <v>4</v>
      </c>
      <c r="F236" s="5">
        <v>94293</v>
      </c>
      <c r="G236" t="s">
        <v>6</v>
      </c>
      <c r="H236" t="s">
        <v>10</v>
      </c>
      <c r="I236" s="5">
        <v>2800</v>
      </c>
      <c r="J236" t="s">
        <v>20</v>
      </c>
      <c r="K236" t="s">
        <v>937</v>
      </c>
      <c r="L236" t="s">
        <v>948</v>
      </c>
      <c r="M236" t="s">
        <v>949</v>
      </c>
      <c r="T236" s="34"/>
    </row>
    <row r="237" spans="1:20" x14ac:dyDescent="0.25">
      <c r="A237" t="s">
        <v>664</v>
      </c>
      <c r="B237" t="s">
        <v>665</v>
      </c>
      <c r="C237" t="s">
        <v>23</v>
      </c>
      <c r="D237" t="s">
        <v>8</v>
      </c>
      <c r="E237" t="s">
        <v>4</v>
      </c>
      <c r="F237" s="5">
        <v>94298</v>
      </c>
      <c r="G237" t="s">
        <v>6</v>
      </c>
      <c r="H237" t="s">
        <v>10</v>
      </c>
      <c r="I237" s="5">
        <v>2800</v>
      </c>
      <c r="J237" t="s">
        <v>20</v>
      </c>
      <c r="K237" t="s">
        <v>937</v>
      </c>
      <c r="L237" t="s">
        <v>948</v>
      </c>
      <c r="M237" t="s">
        <v>949</v>
      </c>
      <c r="T237" s="34"/>
    </row>
    <row r="238" spans="1:20" x14ac:dyDescent="0.25">
      <c r="A238" t="s">
        <v>777</v>
      </c>
      <c r="B238" t="s">
        <v>778</v>
      </c>
      <c r="C238" t="s">
        <v>23</v>
      </c>
      <c r="D238" t="s">
        <v>12</v>
      </c>
      <c r="E238" t="s">
        <v>13</v>
      </c>
      <c r="F238" s="5">
        <v>95009</v>
      </c>
      <c r="G238" t="s">
        <v>6</v>
      </c>
      <c r="H238" t="s">
        <v>10</v>
      </c>
      <c r="I238" s="5">
        <v>2800</v>
      </c>
      <c r="J238" t="s">
        <v>20</v>
      </c>
      <c r="K238" t="s">
        <v>937</v>
      </c>
      <c r="L238" t="s">
        <v>957</v>
      </c>
      <c r="M238" t="s">
        <v>958</v>
      </c>
      <c r="T238" s="34"/>
    </row>
    <row r="239" spans="1:20" x14ac:dyDescent="0.25">
      <c r="A239" t="s">
        <v>784</v>
      </c>
      <c r="B239" t="s">
        <v>620</v>
      </c>
      <c r="C239" t="s">
        <v>23</v>
      </c>
      <c r="D239" t="s">
        <v>3</v>
      </c>
      <c r="E239" t="s">
        <v>7</v>
      </c>
      <c r="F239" s="5">
        <v>92013</v>
      </c>
      <c r="G239" t="s">
        <v>6</v>
      </c>
      <c r="H239" t="s">
        <v>10</v>
      </c>
      <c r="I239" s="5">
        <v>2800</v>
      </c>
      <c r="J239" t="s">
        <v>20</v>
      </c>
      <c r="K239" t="s">
        <v>937</v>
      </c>
      <c r="L239" t="s">
        <v>954</v>
      </c>
      <c r="M239" t="s">
        <v>955</v>
      </c>
      <c r="T239" s="34"/>
    </row>
    <row r="240" spans="1:20" x14ac:dyDescent="0.25">
      <c r="A240" t="s">
        <v>681</v>
      </c>
      <c r="B240" t="s">
        <v>682</v>
      </c>
      <c r="C240" t="s">
        <v>23</v>
      </c>
      <c r="D240" t="s">
        <v>8</v>
      </c>
      <c r="E240" t="s">
        <v>7</v>
      </c>
      <c r="F240" s="5">
        <v>106687</v>
      </c>
      <c r="G240" t="s">
        <v>6</v>
      </c>
      <c r="H240" t="s">
        <v>10</v>
      </c>
      <c r="I240" s="5">
        <v>2800</v>
      </c>
      <c r="J240" t="s">
        <v>20</v>
      </c>
      <c r="K240" t="s">
        <v>937</v>
      </c>
      <c r="L240" t="s">
        <v>948</v>
      </c>
      <c r="M240" t="s">
        <v>949</v>
      </c>
      <c r="T240" s="34"/>
    </row>
    <row r="241" spans="1:20" x14ac:dyDescent="0.25">
      <c r="A241" t="s">
        <v>807</v>
      </c>
      <c r="B241" t="s">
        <v>741</v>
      </c>
      <c r="C241" t="s">
        <v>23</v>
      </c>
      <c r="D241" t="s">
        <v>11</v>
      </c>
      <c r="E241" t="s">
        <v>9</v>
      </c>
      <c r="F241" s="5">
        <v>119532</v>
      </c>
      <c r="G241" t="s">
        <v>6</v>
      </c>
      <c r="H241" t="s">
        <v>10</v>
      </c>
      <c r="I241" s="5">
        <v>2800</v>
      </c>
      <c r="J241" t="s">
        <v>20</v>
      </c>
      <c r="K241" t="s">
        <v>937</v>
      </c>
      <c r="L241" t="s">
        <v>945</v>
      </c>
      <c r="M241" t="s">
        <v>946</v>
      </c>
      <c r="T241" s="34"/>
    </row>
    <row r="242" spans="1:20" x14ac:dyDescent="0.25">
      <c r="A242" t="s">
        <v>762</v>
      </c>
      <c r="B242" t="s">
        <v>119</v>
      </c>
      <c r="C242" t="s">
        <v>23</v>
      </c>
      <c r="D242" t="s">
        <v>14</v>
      </c>
      <c r="E242" t="s">
        <v>9</v>
      </c>
      <c r="F242" s="5">
        <v>121562</v>
      </c>
      <c r="G242" t="s">
        <v>6</v>
      </c>
      <c r="H242" t="s">
        <v>10</v>
      </c>
      <c r="I242" s="5">
        <v>2800</v>
      </c>
      <c r="J242" t="s">
        <v>20</v>
      </c>
      <c r="K242" t="s">
        <v>937</v>
      </c>
      <c r="L242" t="s">
        <v>951</v>
      </c>
      <c r="M242" t="s">
        <v>952</v>
      </c>
      <c r="T242" s="34"/>
    </row>
    <row r="243" spans="1:20" x14ac:dyDescent="0.25">
      <c r="A243" t="s">
        <v>683</v>
      </c>
      <c r="B243" t="s">
        <v>684</v>
      </c>
      <c r="C243" t="s">
        <v>23</v>
      </c>
      <c r="D243" t="s">
        <v>3</v>
      </c>
      <c r="E243" t="s">
        <v>7</v>
      </c>
      <c r="F243" s="5">
        <v>114527</v>
      </c>
      <c r="G243" t="s">
        <v>6</v>
      </c>
      <c r="H243" t="s">
        <v>10</v>
      </c>
      <c r="I243" s="5">
        <v>2800</v>
      </c>
      <c r="J243" t="s">
        <v>20</v>
      </c>
      <c r="K243" t="s">
        <v>937</v>
      </c>
      <c r="L243" t="s">
        <v>954</v>
      </c>
      <c r="M243" t="s">
        <v>955</v>
      </c>
      <c r="T243" s="34"/>
    </row>
    <row r="244" spans="1:20" x14ac:dyDescent="0.25">
      <c r="A244" t="s">
        <v>786</v>
      </c>
      <c r="B244" t="s">
        <v>787</v>
      </c>
      <c r="C244" t="s">
        <v>23</v>
      </c>
      <c r="D244" t="s">
        <v>12</v>
      </c>
      <c r="E244" t="s">
        <v>4</v>
      </c>
      <c r="F244" s="5">
        <v>107237</v>
      </c>
      <c r="G244" t="s">
        <v>16</v>
      </c>
      <c r="H244" t="s">
        <v>10</v>
      </c>
      <c r="I244" s="5">
        <v>4200</v>
      </c>
      <c r="J244" t="s">
        <v>20</v>
      </c>
      <c r="K244" t="s">
        <v>937</v>
      </c>
      <c r="L244" t="s">
        <v>957</v>
      </c>
      <c r="M244" t="s">
        <v>958</v>
      </c>
      <c r="T244" s="34"/>
    </row>
    <row r="245" spans="1:20" x14ac:dyDescent="0.25">
      <c r="A245" t="s">
        <v>730</v>
      </c>
      <c r="B245" t="s">
        <v>731</v>
      </c>
      <c r="C245" t="s">
        <v>23</v>
      </c>
      <c r="D245" t="s">
        <v>11</v>
      </c>
      <c r="E245" t="s">
        <v>13</v>
      </c>
      <c r="F245" s="5">
        <v>107456</v>
      </c>
      <c r="G245" t="s">
        <v>16</v>
      </c>
      <c r="H245" t="s">
        <v>10</v>
      </c>
      <c r="I245" s="5">
        <v>4200</v>
      </c>
      <c r="J245" t="s">
        <v>20</v>
      </c>
      <c r="K245" t="s">
        <v>937</v>
      </c>
      <c r="L245" t="s">
        <v>945</v>
      </c>
      <c r="M245" t="s">
        <v>946</v>
      </c>
      <c r="T245" s="34"/>
    </row>
    <row r="246" spans="1:20" x14ac:dyDescent="0.25">
      <c r="A246" t="s">
        <v>728</v>
      </c>
      <c r="B246" t="s">
        <v>729</v>
      </c>
      <c r="C246" t="s">
        <v>23</v>
      </c>
      <c r="D246" t="s">
        <v>14</v>
      </c>
      <c r="E246" t="s">
        <v>4</v>
      </c>
      <c r="F246" s="5">
        <v>108531</v>
      </c>
      <c r="G246" t="s">
        <v>16</v>
      </c>
      <c r="H246" t="s">
        <v>10</v>
      </c>
      <c r="I246" s="5">
        <v>4200</v>
      </c>
      <c r="J246" t="s">
        <v>20</v>
      </c>
      <c r="K246" t="s">
        <v>937</v>
      </c>
      <c r="L246" t="s">
        <v>951</v>
      </c>
      <c r="M246" t="s">
        <v>952</v>
      </c>
      <c r="T246" s="34"/>
    </row>
    <row r="247" spans="1:20" x14ac:dyDescent="0.25">
      <c r="A247" t="s">
        <v>753</v>
      </c>
      <c r="B247" t="s">
        <v>107</v>
      </c>
      <c r="C247" t="s">
        <v>23</v>
      </c>
      <c r="D247" t="s">
        <v>8</v>
      </c>
      <c r="E247" t="s">
        <v>13</v>
      </c>
      <c r="F247" s="5">
        <v>113346</v>
      </c>
      <c r="G247" t="s">
        <v>16</v>
      </c>
      <c r="H247" t="s">
        <v>10</v>
      </c>
      <c r="I247" s="5">
        <v>4200</v>
      </c>
      <c r="J247" t="s">
        <v>20</v>
      </c>
      <c r="K247" t="s">
        <v>937</v>
      </c>
      <c r="L247" t="s">
        <v>948</v>
      </c>
      <c r="M247" t="s">
        <v>949</v>
      </c>
      <c r="T247" s="34"/>
    </row>
    <row r="248" spans="1:20" x14ac:dyDescent="0.25">
      <c r="A248" t="s">
        <v>711</v>
      </c>
      <c r="B248" t="s">
        <v>608</v>
      </c>
      <c r="C248" t="s">
        <v>23</v>
      </c>
      <c r="D248" t="s">
        <v>14</v>
      </c>
      <c r="E248" t="s">
        <v>13</v>
      </c>
      <c r="F248" s="5">
        <v>113852</v>
      </c>
      <c r="G248" t="s">
        <v>16</v>
      </c>
      <c r="H248" t="s">
        <v>10</v>
      </c>
      <c r="I248" s="5">
        <v>4200</v>
      </c>
      <c r="J248" t="s">
        <v>20</v>
      </c>
      <c r="K248" t="s">
        <v>937</v>
      </c>
      <c r="L248" t="s">
        <v>951</v>
      </c>
      <c r="M248" t="s">
        <v>952</v>
      </c>
      <c r="T248" s="34"/>
    </row>
    <row r="249" spans="1:20" x14ac:dyDescent="0.25">
      <c r="A249" t="s">
        <v>677</v>
      </c>
      <c r="B249" t="s">
        <v>678</v>
      </c>
      <c r="C249" t="s">
        <v>23</v>
      </c>
      <c r="D249" t="s">
        <v>3</v>
      </c>
      <c r="E249" t="s">
        <v>9</v>
      </c>
      <c r="F249" s="5">
        <v>73862</v>
      </c>
      <c r="G249" t="s">
        <v>16</v>
      </c>
      <c r="H249" t="s">
        <v>10</v>
      </c>
      <c r="I249" s="5">
        <v>4200</v>
      </c>
      <c r="J249" t="s">
        <v>20</v>
      </c>
      <c r="K249" t="s">
        <v>938</v>
      </c>
      <c r="L249" t="s">
        <v>954</v>
      </c>
      <c r="M249" t="s">
        <v>955</v>
      </c>
      <c r="T249" s="34"/>
    </row>
    <row r="250" spans="1:20" x14ac:dyDescent="0.25">
      <c r="A250" t="s">
        <v>695</v>
      </c>
      <c r="B250" t="s">
        <v>696</v>
      </c>
      <c r="C250" t="s">
        <v>23</v>
      </c>
      <c r="D250" t="s">
        <v>12</v>
      </c>
      <c r="E250" t="s">
        <v>7</v>
      </c>
      <c r="F250" s="5">
        <v>88297</v>
      </c>
      <c r="G250" t="s">
        <v>6</v>
      </c>
      <c r="H250" t="s">
        <v>10</v>
      </c>
      <c r="I250" s="5">
        <v>2800</v>
      </c>
      <c r="J250" t="s">
        <v>20</v>
      </c>
      <c r="K250" t="s">
        <v>937</v>
      </c>
      <c r="L250" t="s">
        <v>957</v>
      </c>
      <c r="M250" t="s">
        <v>958</v>
      </c>
      <c r="T250" s="34"/>
    </row>
    <row r="251" spans="1:20" x14ac:dyDescent="0.25">
      <c r="A251" t="s">
        <v>767</v>
      </c>
      <c r="B251" t="s">
        <v>768</v>
      </c>
      <c r="C251" t="s">
        <v>23</v>
      </c>
      <c r="D251" t="s">
        <v>14</v>
      </c>
      <c r="E251" t="s">
        <v>13</v>
      </c>
      <c r="F251" s="5">
        <v>64371</v>
      </c>
      <c r="G251" t="s">
        <v>16</v>
      </c>
      <c r="H251" t="s">
        <v>10</v>
      </c>
      <c r="I251" s="5">
        <v>4200</v>
      </c>
      <c r="J251" t="s">
        <v>20</v>
      </c>
      <c r="K251" t="s">
        <v>938</v>
      </c>
      <c r="L251" t="s">
        <v>951</v>
      </c>
      <c r="M251" t="s">
        <v>952</v>
      </c>
      <c r="T251" s="34"/>
    </row>
    <row r="252" spans="1:20" x14ac:dyDescent="0.25">
      <c r="A252" t="s">
        <v>662</v>
      </c>
      <c r="B252" t="s">
        <v>663</v>
      </c>
      <c r="C252" t="s">
        <v>23</v>
      </c>
      <c r="D252" t="s">
        <v>14</v>
      </c>
      <c r="E252" t="s">
        <v>13</v>
      </c>
      <c r="F252" s="5">
        <v>64444</v>
      </c>
      <c r="G252" t="s">
        <v>16</v>
      </c>
      <c r="H252" t="s">
        <v>10</v>
      </c>
      <c r="I252" s="5">
        <v>4200</v>
      </c>
      <c r="J252" t="s">
        <v>20</v>
      </c>
      <c r="K252" t="s">
        <v>938</v>
      </c>
      <c r="L252" t="s">
        <v>951</v>
      </c>
      <c r="M252" t="s">
        <v>952</v>
      </c>
      <c r="T252" s="34"/>
    </row>
    <row r="253" spans="1:20" x14ac:dyDescent="0.25">
      <c r="A253" t="s">
        <v>736</v>
      </c>
      <c r="B253" t="s">
        <v>737</v>
      </c>
      <c r="C253" t="s">
        <v>23</v>
      </c>
      <c r="D253" t="s">
        <v>3</v>
      </c>
      <c r="E253" t="s">
        <v>7</v>
      </c>
      <c r="F253" s="5">
        <v>65002</v>
      </c>
      <c r="G253" t="s">
        <v>6</v>
      </c>
      <c r="H253" t="s">
        <v>10</v>
      </c>
      <c r="I253" s="5">
        <v>2800</v>
      </c>
      <c r="J253" t="s">
        <v>20</v>
      </c>
      <c r="K253" t="s">
        <v>938</v>
      </c>
      <c r="L253" t="s">
        <v>954</v>
      </c>
      <c r="M253" t="s">
        <v>955</v>
      </c>
      <c r="T253" s="34"/>
    </row>
    <row r="254" spans="1:20" x14ac:dyDescent="0.25">
      <c r="A254" t="s">
        <v>650</v>
      </c>
      <c r="B254" t="s">
        <v>651</v>
      </c>
      <c r="C254" t="s">
        <v>23</v>
      </c>
      <c r="D254" t="s">
        <v>11</v>
      </c>
      <c r="E254" t="s">
        <v>4</v>
      </c>
      <c r="F254" s="5">
        <v>65040</v>
      </c>
      <c r="G254" t="s">
        <v>16</v>
      </c>
      <c r="H254" t="s">
        <v>10</v>
      </c>
      <c r="I254" s="5">
        <v>4200</v>
      </c>
      <c r="J254" t="s">
        <v>20</v>
      </c>
      <c r="K254" t="s">
        <v>938</v>
      </c>
      <c r="L254" t="s">
        <v>945</v>
      </c>
      <c r="M254" t="s">
        <v>946</v>
      </c>
      <c r="T254" s="34"/>
    </row>
    <row r="255" spans="1:20" x14ac:dyDescent="0.25">
      <c r="A255" t="s">
        <v>792</v>
      </c>
      <c r="B255" t="s">
        <v>793</v>
      </c>
      <c r="C255" t="s">
        <v>23</v>
      </c>
      <c r="D255" t="s">
        <v>12</v>
      </c>
      <c r="E255" t="s">
        <v>9</v>
      </c>
      <c r="F255" s="5">
        <v>65556</v>
      </c>
      <c r="G255" t="s">
        <v>16</v>
      </c>
      <c r="H255" t="s">
        <v>10</v>
      </c>
      <c r="I255" s="5">
        <v>4200</v>
      </c>
      <c r="J255" t="s">
        <v>20</v>
      </c>
      <c r="K255" t="s">
        <v>938</v>
      </c>
      <c r="L255" t="s">
        <v>957</v>
      </c>
      <c r="M255" t="s">
        <v>958</v>
      </c>
      <c r="T255" s="34"/>
    </row>
    <row r="256" spans="1:20" x14ac:dyDescent="0.25">
      <c r="A256" t="s">
        <v>656</v>
      </c>
      <c r="B256" t="s">
        <v>657</v>
      </c>
      <c r="C256" t="s">
        <v>23</v>
      </c>
      <c r="D256" t="s">
        <v>14</v>
      </c>
      <c r="E256" t="s">
        <v>9</v>
      </c>
      <c r="F256" s="5">
        <v>64779</v>
      </c>
      <c r="G256" t="s">
        <v>6</v>
      </c>
      <c r="H256" t="s">
        <v>10</v>
      </c>
      <c r="I256" s="5">
        <v>2800</v>
      </c>
      <c r="J256" t="s">
        <v>20</v>
      </c>
      <c r="K256" t="s">
        <v>938</v>
      </c>
      <c r="L256" t="s">
        <v>951</v>
      </c>
      <c r="M256" t="s">
        <v>952</v>
      </c>
      <c r="T256" s="34"/>
    </row>
    <row r="257" spans="1:20" x14ac:dyDescent="0.25">
      <c r="A257" t="s">
        <v>690</v>
      </c>
      <c r="B257" t="s">
        <v>691</v>
      </c>
      <c r="C257" t="s">
        <v>23</v>
      </c>
      <c r="D257" t="s">
        <v>8</v>
      </c>
      <c r="E257" t="s">
        <v>4</v>
      </c>
      <c r="F257" s="5">
        <v>58910</v>
      </c>
      <c r="G257" t="s">
        <v>16</v>
      </c>
      <c r="H257" t="s">
        <v>10</v>
      </c>
      <c r="I257" s="5">
        <v>4200</v>
      </c>
      <c r="J257" t="s">
        <v>20</v>
      </c>
      <c r="K257" t="s">
        <v>938</v>
      </c>
      <c r="L257" t="s">
        <v>948</v>
      </c>
      <c r="M257" t="s">
        <v>949</v>
      </c>
      <c r="T257" s="34"/>
    </row>
    <row r="258" spans="1:20" x14ac:dyDescent="0.25">
      <c r="A258" t="s">
        <v>673</v>
      </c>
      <c r="B258" t="s">
        <v>674</v>
      </c>
      <c r="C258" t="s">
        <v>23</v>
      </c>
      <c r="D258" t="s">
        <v>11</v>
      </c>
      <c r="E258" t="s">
        <v>7</v>
      </c>
      <c r="F258" s="5">
        <v>53413</v>
      </c>
      <c r="G258" t="s">
        <v>6</v>
      </c>
      <c r="H258" t="s">
        <v>10</v>
      </c>
      <c r="I258" s="5">
        <v>2800</v>
      </c>
      <c r="J258" t="s">
        <v>20</v>
      </c>
      <c r="K258" t="s">
        <v>938</v>
      </c>
      <c r="L258" t="s">
        <v>945</v>
      </c>
      <c r="M258" t="s">
        <v>946</v>
      </c>
      <c r="T258" s="34"/>
    </row>
    <row r="259" spans="1:20" x14ac:dyDescent="0.25">
      <c r="A259" t="s">
        <v>686</v>
      </c>
      <c r="B259" t="s">
        <v>687</v>
      </c>
      <c r="C259" t="s">
        <v>23</v>
      </c>
      <c r="D259" t="s">
        <v>14</v>
      </c>
      <c r="E259" t="s">
        <v>7</v>
      </c>
      <c r="F259" s="5">
        <v>53652</v>
      </c>
      <c r="G259" t="s">
        <v>6</v>
      </c>
      <c r="H259" t="s">
        <v>10</v>
      </c>
      <c r="I259" s="5">
        <v>2800</v>
      </c>
      <c r="J259" t="s">
        <v>20</v>
      </c>
      <c r="K259" t="s">
        <v>938</v>
      </c>
      <c r="L259" t="s">
        <v>951</v>
      </c>
      <c r="M259" t="s">
        <v>952</v>
      </c>
      <c r="T259" s="34"/>
    </row>
    <row r="260" spans="1:20" x14ac:dyDescent="0.25">
      <c r="A260" t="s">
        <v>658</v>
      </c>
      <c r="B260" t="s">
        <v>163</v>
      </c>
      <c r="C260" t="s">
        <v>23</v>
      </c>
      <c r="D260" t="s">
        <v>12</v>
      </c>
      <c r="E260" t="s">
        <v>7</v>
      </c>
      <c r="F260" s="5">
        <v>53783</v>
      </c>
      <c r="G260" t="s">
        <v>16</v>
      </c>
      <c r="H260" t="s">
        <v>10</v>
      </c>
      <c r="I260" s="5">
        <v>4200</v>
      </c>
      <c r="J260" t="s">
        <v>20</v>
      </c>
      <c r="K260" t="s">
        <v>938</v>
      </c>
      <c r="L260" t="s">
        <v>957</v>
      </c>
      <c r="M260" t="s">
        <v>958</v>
      </c>
      <c r="T260" s="34"/>
    </row>
    <row r="261" spans="1:20" x14ac:dyDescent="0.25">
      <c r="A261" t="s">
        <v>775</v>
      </c>
      <c r="B261" t="s">
        <v>776</v>
      </c>
      <c r="C261" t="s">
        <v>23</v>
      </c>
      <c r="D261" t="s">
        <v>11</v>
      </c>
      <c r="E261" t="s">
        <v>7</v>
      </c>
      <c r="F261" s="5">
        <v>56705</v>
      </c>
      <c r="G261" t="s">
        <v>16</v>
      </c>
      <c r="H261" t="s">
        <v>10</v>
      </c>
      <c r="I261" s="5">
        <v>4200</v>
      </c>
      <c r="J261" t="s">
        <v>20</v>
      </c>
      <c r="K261" t="s">
        <v>938</v>
      </c>
      <c r="L261" t="s">
        <v>945</v>
      </c>
      <c r="M261" t="s">
        <v>946</v>
      </c>
      <c r="T261" s="34"/>
    </row>
    <row r="262" spans="1:20" x14ac:dyDescent="0.25">
      <c r="A262" t="s">
        <v>652</v>
      </c>
      <c r="B262" t="s">
        <v>653</v>
      </c>
      <c r="C262" t="s">
        <v>23</v>
      </c>
      <c r="D262" t="s">
        <v>12</v>
      </c>
      <c r="E262" t="s">
        <v>9</v>
      </c>
      <c r="F262" s="5">
        <v>79925</v>
      </c>
      <c r="G262" t="s">
        <v>6</v>
      </c>
      <c r="H262" t="s">
        <v>10</v>
      </c>
      <c r="I262" s="5">
        <v>2800</v>
      </c>
      <c r="J262" t="s">
        <v>20</v>
      </c>
      <c r="K262" t="s">
        <v>938</v>
      </c>
      <c r="L262" t="s">
        <v>957</v>
      </c>
      <c r="M262" t="s">
        <v>958</v>
      </c>
      <c r="T262" s="34"/>
    </row>
    <row r="263" spans="1:20" x14ac:dyDescent="0.25">
      <c r="A263" t="s">
        <v>742</v>
      </c>
      <c r="B263" t="s">
        <v>743</v>
      </c>
      <c r="C263" t="s">
        <v>23</v>
      </c>
      <c r="D263" t="s">
        <v>12</v>
      </c>
      <c r="E263" t="s">
        <v>7</v>
      </c>
      <c r="F263" s="5">
        <v>80260</v>
      </c>
      <c r="G263" t="s">
        <v>6</v>
      </c>
      <c r="H263" t="s">
        <v>10</v>
      </c>
      <c r="I263" s="5">
        <v>2800</v>
      </c>
      <c r="J263" t="s">
        <v>20</v>
      </c>
      <c r="K263" t="s">
        <v>938</v>
      </c>
      <c r="L263" t="s">
        <v>957</v>
      </c>
      <c r="M263" t="s">
        <v>958</v>
      </c>
      <c r="T263" s="34"/>
    </row>
    <row r="264" spans="1:20" x14ac:dyDescent="0.25">
      <c r="A264" t="s">
        <v>732</v>
      </c>
      <c r="B264" t="s">
        <v>381</v>
      </c>
      <c r="C264" t="s">
        <v>23</v>
      </c>
      <c r="D264" t="s">
        <v>14</v>
      </c>
      <c r="E264" t="s">
        <v>4</v>
      </c>
      <c r="F264" s="5">
        <v>82240</v>
      </c>
      <c r="G264" t="s">
        <v>6</v>
      </c>
      <c r="H264" t="s">
        <v>10</v>
      </c>
      <c r="I264" s="5">
        <v>2800</v>
      </c>
      <c r="J264" t="s">
        <v>20</v>
      </c>
      <c r="K264" t="s">
        <v>938</v>
      </c>
      <c r="L264" t="s">
        <v>951</v>
      </c>
      <c r="M264" t="s">
        <v>952</v>
      </c>
      <c r="T264" s="34"/>
    </row>
    <row r="265" spans="1:20" x14ac:dyDescent="0.25">
      <c r="A265" t="s">
        <v>723</v>
      </c>
      <c r="B265" t="s">
        <v>724</v>
      </c>
      <c r="C265" t="s">
        <v>23</v>
      </c>
      <c r="D265" t="s">
        <v>12</v>
      </c>
      <c r="E265" t="s">
        <v>4</v>
      </c>
      <c r="F265" s="5">
        <v>83783</v>
      </c>
      <c r="G265" t="s">
        <v>6</v>
      </c>
      <c r="H265" t="s">
        <v>10</v>
      </c>
      <c r="I265" s="5">
        <v>2800</v>
      </c>
      <c r="J265" t="s">
        <v>20</v>
      </c>
      <c r="K265" t="s">
        <v>937</v>
      </c>
      <c r="L265" t="s">
        <v>957</v>
      </c>
      <c r="M265" t="s">
        <v>958</v>
      </c>
      <c r="T265" s="34"/>
    </row>
    <row r="266" spans="1:20" x14ac:dyDescent="0.25">
      <c r="A266" t="s">
        <v>714</v>
      </c>
      <c r="B266" t="s">
        <v>715</v>
      </c>
      <c r="C266" t="s">
        <v>23</v>
      </c>
      <c r="D266" t="s">
        <v>12</v>
      </c>
      <c r="E266" t="s">
        <v>4</v>
      </c>
      <c r="F266" s="5">
        <v>86751</v>
      </c>
      <c r="G266" t="s">
        <v>6</v>
      </c>
      <c r="H266" t="s">
        <v>10</v>
      </c>
      <c r="I266" s="5">
        <v>2800</v>
      </c>
      <c r="J266" t="s">
        <v>20</v>
      </c>
      <c r="K266" t="s">
        <v>937</v>
      </c>
      <c r="L266" t="s">
        <v>957</v>
      </c>
      <c r="M266" t="s">
        <v>958</v>
      </c>
      <c r="T266" s="34"/>
    </row>
    <row r="267" spans="1:20" x14ac:dyDescent="0.25">
      <c r="A267" t="s">
        <v>747</v>
      </c>
      <c r="B267" t="s">
        <v>748</v>
      </c>
      <c r="C267" t="s">
        <v>23</v>
      </c>
      <c r="D267" t="s">
        <v>11</v>
      </c>
      <c r="E267" t="s">
        <v>13</v>
      </c>
      <c r="F267" s="5">
        <v>70058</v>
      </c>
      <c r="G267" t="s">
        <v>16</v>
      </c>
      <c r="H267" t="s">
        <v>10</v>
      </c>
      <c r="I267" s="5">
        <v>4200</v>
      </c>
      <c r="J267" t="s">
        <v>20</v>
      </c>
      <c r="K267" t="s">
        <v>938</v>
      </c>
      <c r="L267" t="s">
        <v>945</v>
      </c>
      <c r="M267" t="s">
        <v>946</v>
      </c>
      <c r="T267" s="34"/>
    </row>
    <row r="268" spans="1:20" x14ac:dyDescent="0.25">
      <c r="A268" t="s">
        <v>771</v>
      </c>
      <c r="B268" t="s">
        <v>772</v>
      </c>
      <c r="C268" t="s">
        <v>23</v>
      </c>
      <c r="D268" t="s">
        <v>8</v>
      </c>
      <c r="E268" t="s">
        <v>7</v>
      </c>
      <c r="F268" s="5">
        <v>73196</v>
      </c>
      <c r="G268" t="s">
        <v>6</v>
      </c>
      <c r="H268" t="s">
        <v>10</v>
      </c>
      <c r="I268" s="5">
        <v>2800</v>
      </c>
      <c r="J268" t="s">
        <v>20</v>
      </c>
      <c r="K268" t="s">
        <v>938</v>
      </c>
      <c r="L268" t="s">
        <v>948</v>
      </c>
      <c r="M268" t="s">
        <v>949</v>
      </c>
      <c r="T268" s="34"/>
    </row>
    <row r="269" spans="1:20" x14ac:dyDescent="0.25">
      <c r="A269" t="s">
        <v>805</v>
      </c>
      <c r="B269" t="s">
        <v>806</v>
      </c>
      <c r="C269" t="s">
        <v>23</v>
      </c>
      <c r="D269" t="s">
        <v>11</v>
      </c>
      <c r="E269" t="s">
        <v>9</v>
      </c>
      <c r="F269" s="5">
        <v>76298</v>
      </c>
      <c r="G269" t="s">
        <v>16</v>
      </c>
      <c r="H269" t="s">
        <v>10</v>
      </c>
      <c r="I269" s="5">
        <v>4200</v>
      </c>
      <c r="J269" t="s">
        <v>20</v>
      </c>
      <c r="K269" t="s">
        <v>938</v>
      </c>
      <c r="L269" t="s">
        <v>945</v>
      </c>
      <c r="M269" t="s">
        <v>946</v>
      </c>
      <c r="T269" s="34"/>
    </row>
    <row r="270" spans="1:20" x14ac:dyDescent="0.25">
      <c r="A270" t="s">
        <v>688</v>
      </c>
      <c r="B270" t="s">
        <v>689</v>
      </c>
      <c r="C270" t="s">
        <v>23</v>
      </c>
      <c r="D270" t="s">
        <v>8</v>
      </c>
      <c r="E270" t="s">
        <v>4</v>
      </c>
      <c r="F270" s="5">
        <v>66666</v>
      </c>
      <c r="G270" t="s">
        <v>16</v>
      </c>
      <c r="H270" t="s">
        <v>10</v>
      </c>
      <c r="I270" s="5">
        <v>4200</v>
      </c>
      <c r="J270" t="s">
        <v>20</v>
      </c>
      <c r="K270" t="s">
        <v>938</v>
      </c>
      <c r="L270" t="s">
        <v>948</v>
      </c>
      <c r="M270" t="s">
        <v>949</v>
      </c>
      <c r="T270" s="34"/>
    </row>
    <row r="271" spans="1:20" x14ac:dyDescent="0.25">
      <c r="A271" t="s">
        <v>746</v>
      </c>
      <c r="B271" t="s">
        <v>718</v>
      </c>
      <c r="C271" t="s">
        <v>23</v>
      </c>
      <c r="D271" t="s">
        <v>3</v>
      </c>
      <c r="E271" t="s">
        <v>4</v>
      </c>
      <c r="F271" s="5">
        <v>123099</v>
      </c>
      <c r="G271" t="s">
        <v>16</v>
      </c>
      <c r="H271" t="s">
        <v>10</v>
      </c>
      <c r="I271" s="5">
        <v>4200</v>
      </c>
      <c r="J271" t="s">
        <v>20</v>
      </c>
      <c r="K271" t="s">
        <v>937</v>
      </c>
      <c r="L271" t="s">
        <v>954</v>
      </c>
      <c r="M271" t="s">
        <v>955</v>
      </c>
      <c r="T271" s="34"/>
    </row>
    <row r="272" spans="1:20" x14ac:dyDescent="0.25">
      <c r="A272" t="s">
        <v>705</v>
      </c>
      <c r="B272" t="s">
        <v>706</v>
      </c>
      <c r="C272" t="s">
        <v>23</v>
      </c>
      <c r="D272" t="s">
        <v>8</v>
      </c>
      <c r="E272" t="s">
        <v>7</v>
      </c>
      <c r="F272" s="5">
        <v>123583</v>
      </c>
      <c r="G272" t="s">
        <v>6</v>
      </c>
      <c r="H272" t="s">
        <v>10</v>
      </c>
      <c r="I272" s="5">
        <v>2800</v>
      </c>
      <c r="J272" t="s">
        <v>20</v>
      </c>
      <c r="K272" t="s">
        <v>937</v>
      </c>
      <c r="L272" t="s">
        <v>948</v>
      </c>
      <c r="M272" t="s">
        <v>949</v>
      </c>
      <c r="T272" s="34"/>
    </row>
    <row r="273" spans="1:20" x14ac:dyDescent="0.25">
      <c r="A273" t="s">
        <v>796</v>
      </c>
      <c r="B273" t="s">
        <v>61</v>
      </c>
      <c r="C273" t="s">
        <v>23</v>
      </c>
      <c r="D273" t="s">
        <v>12</v>
      </c>
      <c r="E273" t="s">
        <v>13</v>
      </c>
      <c r="F273" s="5">
        <v>174875</v>
      </c>
      <c r="G273" t="s">
        <v>16</v>
      </c>
      <c r="H273" t="s">
        <v>10</v>
      </c>
      <c r="I273" s="5">
        <v>4200</v>
      </c>
      <c r="J273" t="s">
        <v>20</v>
      </c>
      <c r="K273" t="s">
        <v>939</v>
      </c>
      <c r="L273" t="s">
        <v>957</v>
      </c>
      <c r="M273" t="s">
        <v>958</v>
      </c>
      <c r="T273" s="34"/>
    </row>
    <row r="274" spans="1:20" x14ac:dyDescent="0.25">
      <c r="A274" t="s">
        <v>654</v>
      </c>
      <c r="B274" t="s">
        <v>655</v>
      </c>
      <c r="C274" t="s">
        <v>23</v>
      </c>
      <c r="D274" t="s">
        <v>8</v>
      </c>
      <c r="E274" t="s">
        <v>13</v>
      </c>
      <c r="F274" s="5">
        <v>176905</v>
      </c>
      <c r="G274" t="s">
        <v>6</v>
      </c>
      <c r="H274" t="s">
        <v>10</v>
      </c>
      <c r="I274" s="5">
        <v>2800</v>
      </c>
      <c r="J274" t="s">
        <v>20</v>
      </c>
      <c r="K274" t="s">
        <v>939</v>
      </c>
      <c r="L274" t="s">
        <v>948</v>
      </c>
      <c r="M274" t="s">
        <v>949</v>
      </c>
      <c r="T274" s="34"/>
    </row>
    <row r="275" spans="1:20" x14ac:dyDescent="0.25">
      <c r="A275" t="s">
        <v>823</v>
      </c>
      <c r="B275" t="s">
        <v>824</v>
      </c>
      <c r="C275" t="s">
        <v>23</v>
      </c>
      <c r="D275" t="s">
        <v>12</v>
      </c>
      <c r="E275" t="s">
        <v>4</v>
      </c>
      <c r="F275" s="5">
        <v>177136</v>
      </c>
      <c r="G275" t="s">
        <v>6</v>
      </c>
      <c r="H275" t="s">
        <v>10</v>
      </c>
      <c r="I275" s="5">
        <v>2800</v>
      </c>
      <c r="J275" t="s">
        <v>20</v>
      </c>
      <c r="K275" t="s">
        <v>939</v>
      </c>
      <c r="L275" t="s">
        <v>957</v>
      </c>
      <c r="M275" t="s">
        <v>958</v>
      </c>
      <c r="T275" s="34"/>
    </row>
    <row r="276" spans="1:20" x14ac:dyDescent="0.25">
      <c r="A276" t="s">
        <v>825</v>
      </c>
      <c r="B276" t="s">
        <v>826</v>
      </c>
      <c r="C276" t="s">
        <v>23</v>
      </c>
      <c r="D276" t="s">
        <v>12</v>
      </c>
      <c r="E276" t="s">
        <v>7</v>
      </c>
      <c r="F276" s="5">
        <v>182016</v>
      </c>
      <c r="G276" t="s">
        <v>16</v>
      </c>
      <c r="H276" t="s">
        <v>10</v>
      </c>
      <c r="I276" s="5">
        <v>4200</v>
      </c>
      <c r="J276" t="s">
        <v>20</v>
      </c>
      <c r="K276" t="s">
        <v>940</v>
      </c>
      <c r="L276" t="s">
        <v>957</v>
      </c>
      <c r="M276" t="s">
        <v>958</v>
      </c>
      <c r="T276" s="34"/>
    </row>
    <row r="277" spans="1:20" x14ac:dyDescent="0.25">
      <c r="A277" t="s">
        <v>745</v>
      </c>
      <c r="B277" t="s">
        <v>735</v>
      </c>
      <c r="C277" t="s">
        <v>23</v>
      </c>
      <c r="D277" t="s">
        <v>11</v>
      </c>
      <c r="E277" t="s">
        <v>9</v>
      </c>
      <c r="F277" s="5">
        <v>168509</v>
      </c>
      <c r="G277" t="s">
        <v>16</v>
      </c>
      <c r="H277" t="s">
        <v>10</v>
      </c>
      <c r="I277" s="5">
        <v>4200</v>
      </c>
      <c r="J277" t="s">
        <v>20</v>
      </c>
      <c r="K277" t="s">
        <v>939</v>
      </c>
      <c r="L277" t="s">
        <v>945</v>
      </c>
      <c r="M277" t="s">
        <v>946</v>
      </c>
      <c r="T277" s="34"/>
    </row>
    <row r="278" spans="1:20" x14ac:dyDescent="0.25">
      <c r="A278" t="s">
        <v>822</v>
      </c>
      <c r="B278" t="s">
        <v>276</v>
      </c>
      <c r="C278" t="s">
        <v>23</v>
      </c>
      <c r="D278" t="s">
        <v>11</v>
      </c>
      <c r="E278" t="s">
        <v>9</v>
      </c>
      <c r="F278" s="5">
        <v>173162</v>
      </c>
      <c r="G278" t="s">
        <v>6</v>
      </c>
      <c r="H278" t="s">
        <v>10</v>
      </c>
      <c r="I278" s="5">
        <v>2800</v>
      </c>
      <c r="J278" t="s">
        <v>20</v>
      </c>
      <c r="K278" t="s">
        <v>939</v>
      </c>
      <c r="L278" t="s">
        <v>945</v>
      </c>
      <c r="M278" t="s">
        <v>946</v>
      </c>
      <c r="T278" s="34"/>
    </row>
    <row r="279" spans="1:20" x14ac:dyDescent="0.25">
      <c r="A279" t="s">
        <v>808</v>
      </c>
      <c r="B279" t="s">
        <v>809</v>
      </c>
      <c r="C279" t="s">
        <v>23</v>
      </c>
      <c r="D279" t="s">
        <v>11</v>
      </c>
      <c r="E279" t="s">
        <v>9</v>
      </c>
      <c r="F279" s="5">
        <v>169560</v>
      </c>
      <c r="G279" t="s">
        <v>16</v>
      </c>
      <c r="H279" t="s">
        <v>10</v>
      </c>
      <c r="I279" s="5">
        <v>4200</v>
      </c>
      <c r="J279" t="s">
        <v>20</v>
      </c>
      <c r="K279" t="s">
        <v>939</v>
      </c>
      <c r="L279" t="s">
        <v>945</v>
      </c>
      <c r="M279" t="s">
        <v>946</v>
      </c>
      <c r="T279" s="34"/>
    </row>
    <row r="280" spans="1:20" x14ac:dyDescent="0.25">
      <c r="A280" t="s">
        <v>811</v>
      </c>
      <c r="B280" t="s">
        <v>411</v>
      </c>
      <c r="C280" t="s">
        <v>23</v>
      </c>
      <c r="D280" t="s">
        <v>14</v>
      </c>
      <c r="E280" t="s">
        <v>13</v>
      </c>
      <c r="F280" s="5">
        <v>169772</v>
      </c>
      <c r="G280" t="s">
        <v>6</v>
      </c>
      <c r="H280" t="s">
        <v>10</v>
      </c>
      <c r="I280" s="5">
        <v>2800</v>
      </c>
      <c r="J280" t="s">
        <v>20</v>
      </c>
      <c r="K280" t="s">
        <v>939</v>
      </c>
      <c r="L280" t="s">
        <v>951</v>
      </c>
      <c r="M280" t="s">
        <v>952</v>
      </c>
      <c r="T280" s="34"/>
    </row>
    <row r="281" spans="1:20" x14ac:dyDescent="0.25">
      <c r="A281" t="s">
        <v>744</v>
      </c>
      <c r="B281" t="s">
        <v>39</v>
      </c>
      <c r="C281" t="s">
        <v>23</v>
      </c>
      <c r="D281" t="s">
        <v>14</v>
      </c>
      <c r="E281" t="s">
        <v>7</v>
      </c>
      <c r="F281" s="5">
        <v>199282</v>
      </c>
      <c r="G281" t="s">
        <v>16</v>
      </c>
      <c r="H281" t="s">
        <v>10</v>
      </c>
      <c r="I281" s="5">
        <v>4200</v>
      </c>
      <c r="J281" t="s">
        <v>20</v>
      </c>
      <c r="K281" t="s">
        <v>940</v>
      </c>
      <c r="L281" t="s">
        <v>951</v>
      </c>
      <c r="M281" t="s">
        <v>952</v>
      </c>
      <c r="T281" s="34"/>
    </row>
    <row r="282" spans="1:20" x14ac:dyDescent="0.25">
      <c r="A282" t="s">
        <v>765</v>
      </c>
      <c r="B282" t="s">
        <v>766</v>
      </c>
      <c r="C282" t="s">
        <v>23</v>
      </c>
      <c r="D282" t="s">
        <v>14</v>
      </c>
      <c r="E282" t="s">
        <v>13</v>
      </c>
      <c r="F282" s="5">
        <v>199455</v>
      </c>
      <c r="G282" t="s">
        <v>6</v>
      </c>
      <c r="H282" t="s">
        <v>10</v>
      </c>
      <c r="I282" s="5">
        <v>2800</v>
      </c>
      <c r="J282" t="s">
        <v>20</v>
      </c>
      <c r="K282" t="s">
        <v>940</v>
      </c>
      <c r="L282" t="s">
        <v>951</v>
      </c>
      <c r="M282" t="s">
        <v>952</v>
      </c>
      <c r="T282" s="34"/>
    </row>
    <row r="283" spans="1:20" x14ac:dyDescent="0.25">
      <c r="A283" t="s">
        <v>751</v>
      </c>
      <c r="B283" t="s">
        <v>752</v>
      </c>
      <c r="C283" t="s">
        <v>23</v>
      </c>
      <c r="D283" t="s">
        <v>14</v>
      </c>
      <c r="E283" t="s">
        <v>9</v>
      </c>
      <c r="F283" s="5">
        <v>190396</v>
      </c>
      <c r="G283" t="s">
        <v>16</v>
      </c>
      <c r="H283" t="s">
        <v>10</v>
      </c>
      <c r="I283" s="5">
        <v>4200</v>
      </c>
      <c r="J283" t="s">
        <v>20</v>
      </c>
      <c r="K283" t="s">
        <v>940</v>
      </c>
      <c r="L283" t="s">
        <v>951</v>
      </c>
      <c r="M283" t="s">
        <v>952</v>
      </c>
      <c r="T283" s="34"/>
    </row>
    <row r="284" spans="1:20" x14ac:dyDescent="0.25">
      <c r="A284" t="s">
        <v>812</v>
      </c>
      <c r="B284" t="s">
        <v>813</v>
      </c>
      <c r="C284" t="s">
        <v>23</v>
      </c>
      <c r="D284" t="s">
        <v>3</v>
      </c>
      <c r="E284" t="s">
        <v>4</v>
      </c>
      <c r="F284" s="5">
        <v>186997</v>
      </c>
      <c r="G284" t="s">
        <v>6</v>
      </c>
      <c r="H284" t="s">
        <v>10</v>
      </c>
      <c r="I284" s="5">
        <v>2800</v>
      </c>
      <c r="J284" t="s">
        <v>20</v>
      </c>
      <c r="K284" t="s">
        <v>940</v>
      </c>
      <c r="L284" t="s">
        <v>954</v>
      </c>
      <c r="M284" t="s">
        <v>955</v>
      </c>
      <c r="T284" s="34"/>
    </row>
    <row r="285" spans="1:20" x14ac:dyDescent="0.25">
      <c r="A285" t="s">
        <v>719</v>
      </c>
      <c r="B285" t="s">
        <v>720</v>
      </c>
      <c r="C285" t="s">
        <v>23</v>
      </c>
      <c r="D285" t="s">
        <v>11</v>
      </c>
      <c r="E285" t="s">
        <v>4</v>
      </c>
      <c r="F285" s="5">
        <v>188377</v>
      </c>
      <c r="G285" t="s">
        <v>16</v>
      </c>
      <c r="H285" t="s">
        <v>10</v>
      </c>
      <c r="I285" s="5">
        <v>4200</v>
      </c>
      <c r="J285" t="s">
        <v>20</v>
      </c>
      <c r="K285" t="s">
        <v>940</v>
      </c>
      <c r="L285" t="s">
        <v>945</v>
      </c>
      <c r="M285" t="s">
        <v>946</v>
      </c>
      <c r="T285" s="34"/>
    </row>
    <row r="286" spans="1:20" x14ac:dyDescent="0.25">
      <c r="A286" t="s">
        <v>721</v>
      </c>
      <c r="B286" t="s">
        <v>722</v>
      </c>
      <c r="C286" t="s">
        <v>23</v>
      </c>
      <c r="D286" t="s">
        <v>14</v>
      </c>
      <c r="E286" t="s">
        <v>13</v>
      </c>
      <c r="F286" s="5">
        <v>189143</v>
      </c>
      <c r="G286" t="s">
        <v>16</v>
      </c>
      <c r="H286" t="s">
        <v>10</v>
      </c>
      <c r="I286" s="5">
        <v>4200</v>
      </c>
      <c r="J286" t="s">
        <v>20</v>
      </c>
      <c r="K286" t="s">
        <v>940</v>
      </c>
      <c r="L286" t="s">
        <v>951</v>
      </c>
      <c r="M286" t="s">
        <v>952</v>
      </c>
      <c r="T286" s="34"/>
    </row>
    <row r="287" spans="1:20" x14ac:dyDescent="0.25">
      <c r="A287" t="s">
        <v>785</v>
      </c>
      <c r="B287" t="s">
        <v>542</v>
      </c>
      <c r="C287" t="s">
        <v>23</v>
      </c>
      <c r="D287" t="s">
        <v>14</v>
      </c>
      <c r="E287" t="s">
        <v>4</v>
      </c>
      <c r="F287" s="5">
        <v>189877</v>
      </c>
      <c r="G287" t="s">
        <v>16</v>
      </c>
      <c r="H287" t="s">
        <v>10</v>
      </c>
      <c r="I287" s="5">
        <v>4200</v>
      </c>
      <c r="J287" t="s">
        <v>20</v>
      </c>
      <c r="K287" t="s">
        <v>940</v>
      </c>
      <c r="L287" t="s">
        <v>951</v>
      </c>
      <c r="M287" t="s">
        <v>952</v>
      </c>
      <c r="T287" s="34"/>
    </row>
    <row r="288" spans="1:20" x14ac:dyDescent="0.25">
      <c r="A288" t="s">
        <v>754</v>
      </c>
      <c r="B288" t="s">
        <v>755</v>
      </c>
      <c r="C288" t="s">
        <v>23</v>
      </c>
      <c r="D288" t="s">
        <v>8</v>
      </c>
      <c r="E288" t="s">
        <v>7</v>
      </c>
      <c r="F288" s="5">
        <v>133788</v>
      </c>
      <c r="G288" t="s">
        <v>6</v>
      </c>
      <c r="H288" t="s">
        <v>10</v>
      </c>
      <c r="I288" s="5">
        <v>2800</v>
      </c>
      <c r="J288" t="s">
        <v>20</v>
      </c>
      <c r="K288" t="s">
        <v>939</v>
      </c>
      <c r="L288" t="s">
        <v>948</v>
      </c>
      <c r="M288" t="s">
        <v>949</v>
      </c>
      <c r="T288" s="34"/>
    </row>
    <row r="289" spans="1:20" x14ac:dyDescent="0.25">
      <c r="A289" t="s">
        <v>707</v>
      </c>
      <c r="B289" t="s">
        <v>708</v>
      </c>
      <c r="C289" t="s">
        <v>23</v>
      </c>
      <c r="D289" t="s">
        <v>3</v>
      </c>
      <c r="E289" t="s">
        <v>9</v>
      </c>
      <c r="F289" s="5">
        <v>162955</v>
      </c>
      <c r="G289" t="s">
        <v>6</v>
      </c>
      <c r="H289" t="s">
        <v>10</v>
      </c>
      <c r="I289" s="5">
        <v>2800</v>
      </c>
      <c r="J289" t="s">
        <v>20</v>
      </c>
      <c r="K289" t="s">
        <v>939</v>
      </c>
      <c r="L289" t="s">
        <v>954</v>
      </c>
      <c r="M289" t="s">
        <v>955</v>
      </c>
      <c r="T289" s="34"/>
    </row>
    <row r="290" spans="1:20" x14ac:dyDescent="0.25">
      <c r="A290" t="s">
        <v>717</v>
      </c>
      <c r="B290" t="s">
        <v>718</v>
      </c>
      <c r="C290" t="s">
        <v>23</v>
      </c>
      <c r="D290" t="s">
        <v>11</v>
      </c>
      <c r="E290" t="s">
        <v>4</v>
      </c>
      <c r="F290" s="5">
        <v>134456</v>
      </c>
      <c r="G290" t="s">
        <v>6</v>
      </c>
      <c r="H290" t="s">
        <v>10</v>
      </c>
      <c r="I290" s="5">
        <v>2800</v>
      </c>
      <c r="J290" t="s">
        <v>20</v>
      </c>
      <c r="K290" t="s">
        <v>939</v>
      </c>
      <c r="L290" t="s">
        <v>945</v>
      </c>
      <c r="M290" t="s">
        <v>946</v>
      </c>
      <c r="T290" s="34"/>
    </row>
    <row r="291" spans="1:20" x14ac:dyDescent="0.25">
      <c r="A291" t="s">
        <v>669</v>
      </c>
      <c r="B291" t="s">
        <v>670</v>
      </c>
      <c r="C291" t="s">
        <v>23</v>
      </c>
      <c r="D291" t="s">
        <v>3</v>
      </c>
      <c r="E291" t="s">
        <v>13</v>
      </c>
      <c r="F291" s="5">
        <v>140590</v>
      </c>
      <c r="G291" t="s">
        <v>6</v>
      </c>
      <c r="H291" t="s">
        <v>10</v>
      </c>
      <c r="I291" s="5">
        <v>2800</v>
      </c>
      <c r="J291" t="s">
        <v>20</v>
      </c>
      <c r="K291" t="s">
        <v>939</v>
      </c>
      <c r="L291" t="s">
        <v>954</v>
      </c>
      <c r="M291" t="s">
        <v>955</v>
      </c>
      <c r="T291" s="34"/>
    </row>
    <row r="292" spans="1:20" x14ac:dyDescent="0.25">
      <c r="A292" t="s">
        <v>712</v>
      </c>
      <c r="B292" t="s">
        <v>713</v>
      </c>
      <c r="C292" t="s">
        <v>23</v>
      </c>
      <c r="D292" t="s">
        <v>14</v>
      </c>
      <c r="E292" t="s">
        <v>7</v>
      </c>
      <c r="F292" s="5">
        <v>136438</v>
      </c>
      <c r="G292" t="s">
        <v>6</v>
      </c>
      <c r="H292" t="s">
        <v>10</v>
      </c>
      <c r="I292" s="5">
        <v>2800</v>
      </c>
      <c r="J292" t="s">
        <v>20</v>
      </c>
      <c r="K292" t="s">
        <v>939</v>
      </c>
      <c r="L292" t="s">
        <v>951</v>
      </c>
      <c r="M292" t="s">
        <v>952</v>
      </c>
      <c r="T292" s="34"/>
    </row>
    <row r="293" spans="1:20" x14ac:dyDescent="0.25">
      <c r="A293" t="s">
        <v>814</v>
      </c>
      <c r="B293" t="s">
        <v>815</v>
      </c>
      <c r="C293" t="s">
        <v>23</v>
      </c>
      <c r="D293" t="s">
        <v>8</v>
      </c>
      <c r="E293" t="s">
        <v>13</v>
      </c>
      <c r="F293" s="5">
        <v>126047</v>
      </c>
      <c r="G293" t="s">
        <v>6</v>
      </c>
      <c r="H293" t="s">
        <v>10</v>
      </c>
      <c r="I293" s="5">
        <v>2800</v>
      </c>
      <c r="J293" t="s">
        <v>20</v>
      </c>
      <c r="K293" t="s">
        <v>937</v>
      </c>
      <c r="L293" t="s">
        <v>948</v>
      </c>
      <c r="M293" t="s">
        <v>949</v>
      </c>
      <c r="T293" s="34"/>
    </row>
    <row r="294" spans="1:20" x14ac:dyDescent="0.25">
      <c r="A294" t="s">
        <v>661</v>
      </c>
      <c r="B294" t="s">
        <v>83</v>
      </c>
      <c r="C294" t="s">
        <v>23</v>
      </c>
      <c r="D294" t="s">
        <v>3</v>
      </c>
      <c r="E294" t="s">
        <v>7</v>
      </c>
      <c r="F294" s="5">
        <v>126586</v>
      </c>
      <c r="G294" t="s">
        <v>16</v>
      </c>
      <c r="H294" t="s">
        <v>10</v>
      </c>
      <c r="I294" s="5">
        <v>4200</v>
      </c>
      <c r="J294" t="s">
        <v>20</v>
      </c>
      <c r="K294" t="s">
        <v>937</v>
      </c>
      <c r="L294" t="s">
        <v>954</v>
      </c>
      <c r="M294" t="s">
        <v>955</v>
      </c>
      <c r="T294" s="34"/>
    </row>
    <row r="295" spans="1:20" x14ac:dyDescent="0.25">
      <c r="A295" t="s">
        <v>769</v>
      </c>
      <c r="B295" t="s">
        <v>770</v>
      </c>
      <c r="C295" t="s">
        <v>23</v>
      </c>
      <c r="D295" t="s">
        <v>12</v>
      </c>
      <c r="E295" t="s">
        <v>7</v>
      </c>
      <c r="F295" s="5">
        <v>130848</v>
      </c>
      <c r="G295" t="s">
        <v>6</v>
      </c>
      <c r="H295" t="s">
        <v>10</v>
      </c>
      <c r="I295" s="5">
        <v>2800</v>
      </c>
      <c r="J295" t="s">
        <v>20</v>
      </c>
      <c r="K295" t="s">
        <v>939</v>
      </c>
      <c r="L295" t="s">
        <v>957</v>
      </c>
      <c r="M295" t="s">
        <v>958</v>
      </c>
      <c r="T295" s="34"/>
    </row>
    <row r="296" spans="1:20" x14ac:dyDescent="0.25">
      <c r="A296" t="s">
        <v>725</v>
      </c>
      <c r="B296" t="s">
        <v>454</v>
      </c>
      <c r="C296" t="s">
        <v>23</v>
      </c>
      <c r="D296" t="s">
        <v>14</v>
      </c>
      <c r="E296" t="s">
        <v>7</v>
      </c>
      <c r="F296" s="5">
        <v>132030</v>
      </c>
      <c r="G296" t="s">
        <v>16</v>
      </c>
      <c r="H296" t="s">
        <v>10</v>
      </c>
      <c r="I296" s="5">
        <v>4200</v>
      </c>
      <c r="J296" t="s">
        <v>20</v>
      </c>
      <c r="K296" t="s">
        <v>939</v>
      </c>
      <c r="L296" t="s">
        <v>951</v>
      </c>
      <c r="M296" t="s">
        <v>952</v>
      </c>
      <c r="T296" s="34"/>
    </row>
    <row r="297" spans="1:20" x14ac:dyDescent="0.25">
      <c r="A297" t="s">
        <v>701</v>
      </c>
      <c r="B297" t="s">
        <v>702</v>
      </c>
      <c r="C297" t="s">
        <v>23</v>
      </c>
      <c r="D297" t="s">
        <v>14</v>
      </c>
      <c r="E297" t="s">
        <v>4</v>
      </c>
      <c r="F297" s="5">
        <v>127306</v>
      </c>
      <c r="G297" t="s">
        <v>6</v>
      </c>
      <c r="H297" t="s">
        <v>10</v>
      </c>
      <c r="I297" s="5">
        <v>2800</v>
      </c>
      <c r="J297" t="s">
        <v>20</v>
      </c>
      <c r="K297" t="s">
        <v>937</v>
      </c>
      <c r="L297" t="s">
        <v>951</v>
      </c>
      <c r="M297" t="s">
        <v>952</v>
      </c>
      <c r="T297" s="34"/>
    </row>
    <row r="298" spans="1:20" x14ac:dyDescent="0.25">
      <c r="A298" t="s">
        <v>797</v>
      </c>
      <c r="B298" t="s">
        <v>798</v>
      </c>
      <c r="C298" t="s">
        <v>23</v>
      </c>
      <c r="D298" t="s">
        <v>3</v>
      </c>
      <c r="E298" t="s">
        <v>9</v>
      </c>
      <c r="F298" s="5">
        <v>141821</v>
      </c>
      <c r="G298" t="s">
        <v>16</v>
      </c>
      <c r="H298" t="s">
        <v>10</v>
      </c>
      <c r="I298" s="5">
        <v>4200</v>
      </c>
      <c r="J298" t="s">
        <v>20</v>
      </c>
      <c r="K298" t="s">
        <v>939</v>
      </c>
      <c r="L298" t="s">
        <v>954</v>
      </c>
      <c r="M298" t="s">
        <v>955</v>
      </c>
      <c r="T298" s="34"/>
    </row>
    <row r="299" spans="1:20" x14ac:dyDescent="0.25">
      <c r="A299" t="s">
        <v>758</v>
      </c>
      <c r="B299" t="s">
        <v>759</v>
      </c>
      <c r="C299" t="s">
        <v>23</v>
      </c>
      <c r="D299" t="s">
        <v>8</v>
      </c>
      <c r="E299" t="s">
        <v>9</v>
      </c>
      <c r="F299" s="5">
        <v>151196</v>
      </c>
      <c r="G299" t="s">
        <v>6</v>
      </c>
      <c r="H299" t="s">
        <v>10</v>
      </c>
      <c r="I299" s="5">
        <v>2800</v>
      </c>
      <c r="J299" t="s">
        <v>20</v>
      </c>
      <c r="K299" t="s">
        <v>939</v>
      </c>
      <c r="L299" t="s">
        <v>948</v>
      </c>
      <c r="M299" t="s">
        <v>949</v>
      </c>
      <c r="T299" s="34"/>
    </row>
    <row r="300" spans="1:20" x14ac:dyDescent="0.25">
      <c r="A300" t="s">
        <v>694</v>
      </c>
      <c r="B300" t="s">
        <v>175</v>
      </c>
      <c r="C300" t="s">
        <v>23</v>
      </c>
      <c r="D300" t="s">
        <v>8</v>
      </c>
      <c r="E300" t="s">
        <v>9</v>
      </c>
      <c r="F300" s="5">
        <v>155074</v>
      </c>
      <c r="G300" t="s">
        <v>6</v>
      </c>
      <c r="H300" t="s">
        <v>10</v>
      </c>
      <c r="I300" s="5">
        <v>2800</v>
      </c>
      <c r="J300" t="s">
        <v>20</v>
      </c>
      <c r="K300" t="s">
        <v>939</v>
      </c>
      <c r="L300" t="s">
        <v>948</v>
      </c>
      <c r="M300" t="s">
        <v>949</v>
      </c>
      <c r="T300" s="34"/>
    </row>
    <row r="301" spans="1:20" x14ac:dyDescent="0.25">
      <c r="A301" t="s">
        <v>675</v>
      </c>
      <c r="B301" t="s">
        <v>676</v>
      </c>
      <c r="C301" t="s">
        <v>23</v>
      </c>
      <c r="D301" t="s">
        <v>12</v>
      </c>
      <c r="E301" t="s">
        <v>7</v>
      </c>
      <c r="F301" s="5">
        <v>157659</v>
      </c>
      <c r="G301" t="s">
        <v>6</v>
      </c>
      <c r="H301" t="s">
        <v>10</v>
      </c>
      <c r="I301" s="5">
        <v>2800</v>
      </c>
      <c r="J301" t="s">
        <v>20</v>
      </c>
      <c r="K301" t="s">
        <v>939</v>
      </c>
      <c r="L301" t="s">
        <v>957</v>
      </c>
      <c r="M301" t="s">
        <v>958</v>
      </c>
      <c r="T301" s="34"/>
    </row>
    <row r="302" spans="1:20" x14ac:dyDescent="0.25">
      <c r="A302" t="s">
        <v>699</v>
      </c>
      <c r="B302" t="s">
        <v>700</v>
      </c>
      <c r="C302" t="s">
        <v>23</v>
      </c>
      <c r="D302" t="s">
        <v>12</v>
      </c>
      <c r="E302" t="s">
        <v>13</v>
      </c>
      <c r="F302" s="5">
        <v>146861</v>
      </c>
      <c r="G302" t="s">
        <v>6</v>
      </c>
      <c r="H302" t="s">
        <v>10</v>
      </c>
      <c r="I302" s="5">
        <v>2800</v>
      </c>
      <c r="J302" t="s">
        <v>20</v>
      </c>
      <c r="K302" t="s">
        <v>939</v>
      </c>
      <c r="L302" t="s">
        <v>957</v>
      </c>
      <c r="M302" t="s">
        <v>958</v>
      </c>
      <c r="T302" s="34"/>
    </row>
    <row r="303" spans="1:20" x14ac:dyDescent="0.25">
      <c r="A303" t="s">
        <v>733</v>
      </c>
      <c r="B303" t="s">
        <v>582</v>
      </c>
      <c r="C303" t="s">
        <v>23</v>
      </c>
      <c r="D303" t="s">
        <v>14</v>
      </c>
      <c r="E303" t="s">
        <v>4</v>
      </c>
      <c r="F303" s="5">
        <v>142515</v>
      </c>
      <c r="G303" t="s">
        <v>16</v>
      </c>
      <c r="H303" t="s">
        <v>10</v>
      </c>
      <c r="I303" s="5">
        <v>4200</v>
      </c>
      <c r="J303" t="s">
        <v>20</v>
      </c>
      <c r="K303" t="s">
        <v>939</v>
      </c>
      <c r="L303" t="s">
        <v>951</v>
      </c>
      <c r="M303" t="s">
        <v>952</v>
      </c>
      <c r="T303" s="34"/>
    </row>
    <row r="304" spans="1:20" x14ac:dyDescent="0.25">
      <c r="A304" t="s">
        <v>679</v>
      </c>
      <c r="B304" t="s">
        <v>680</v>
      </c>
      <c r="C304" t="s">
        <v>23</v>
      </c>
      <c r="D304" t="s">
        <v>3</v>
      </c>
      <c r="E304" t="s">
        <v>13</v>
      </c>
      <c r="F304" s="5">
        <v>149005</v>
      </c>
      <c r="G304" t="s">
        <v>6</v>
      </c>
      <c r="H304" t="s">
        <v>10</v>
      </c>
      <c r="I304" s="5">
        <v>2800</v>
      </c>
      <c r="J304" t="s">
        <v>20</v>
      </c>
      <c r="K304" t="s">
        <v>939</v>
      </c>
      <c r="L304" t="s">
        <v>954</v>
      </c>
      <c r="M304" t="s">
        <v>955</v>
      </c>
      <c r="T304" s="34"/>
    </row>
    <row r="305" spans="1:20" x14ac:dyDescent="0.25">
      <c r="A305" t="s">
        <v>788</v>
      </c>
      <c r="B305" t="s">
        <v>789</v>
      </c>
      <c r="C305" t="s">
        <v>23</v>
      </c>
      <c r="D305" t="s">
        <v>12</v>
      </c>
      <c r="E305" t="s">
        <v>7</v>
      </c>
      <c r="F305" s="5">
        <v>147359</v>
      </c>
      <c r="G305" t="s">
        <v>6</v>
      </c>
      <c r="H305" t="s">
        <v>10</v>
      </c>
      <c r="I305" s="5">
        <v>2800</v>
      </c>
      <c r="J305" t="s">
        <v>20</v>
      </c>
      <c r="K305" t="s">
        <v>939</v>
      </c>
      <c r="L305" t="s">
        <v>957</v>
      </c>
      <c r="M305" t="s">
        <v>958</v>
      </c>
      <c r="T305" s="34"/>
    </row>
    <row r="306" spans="1:20" x14ac:dyDescent="0.25">
      <c r="A306" t="s">
        <v>803</v>
      </c>
      <c r="B306" t="s">
        <v>804</v>
      </c>
      <c r="C306" t="s">
        <v>23</v>
      </c>
      <c r="D306" t="s">
        <v>8</v>
      </c>
      <c r="E306" t="s">
        <v>4</v>
      </c>
      <c r="F306" s="5">
        <v>148391</v>
      </c>
      <c r="G306" t="s">
        <v>6</v>
      </c>
      <c r="H306" t="s">
        <v>10</v>
      </c>
      <c r="I306" s="5">
        <v>2800</v>
      </c>
      <c r="J306" t="s">
        <v>20</v>
      </c>
      <c r="K306" t="s">
        <v>939</v>
      </c>
      <c r="L306" t="s">
        <v>948</v>
      </c>
      <c r="M306" t="s">
        <v>949</v>
      </c>
      <c r="T306" s="34"/>
    </row>
    <row r="307" spans="1:20" x14ac:dyDescent="0.25">
      <c r="A307" t="s">
        <v>592</v>
      </c>
      <c r="B307" t="s">
        <v>593</v>
      </c>
      <c r="C307" t="s">
        <v>23</v>
      </c>
      <c r="D307" t="s">
        <v>8</v>
      </c>
      <c r="E307" t="s">
        <v>4</v>
      </c>
      <c r="F307" s="5">
        <v>100168</v>
      </c>
      <c r="G307" t="s">
        <v>16</v>
      </c>
      <c r="H307" t="s">
        <v>17</v>
      </c>
      <c r="I307" s="5">
        <v>6750</v>
      </c>
      <c r="J307" t="s">
        <v>20</v>
      </c>
      <c r="K307" t="s">
        <v>937</v>
      </c>
      <c r="L307" t="s">
        <v>948</v>
      </c>
      <c r="M307" t="s">
        <v>949</v>
      </c>
      <c r="T307" s="34"/>
    </row>
    <row r="308" spans="1:20" x14ac:dyDescent="0.25">
      <c r="A308" t="s">
        <v>645</v>
      </c>
      <c r="B308" t="s">
        <v>646</v>
      </c>
      <c r="C308" t="s">
        <v>23</v>
      </c>
      <c r="D308" t="s">
        <v>11</v>
      </c>
      <c r="E308" t="s">
        <v>4</v>
      </c>
      <c r="F308" s="5">
        <v>100563</v>
      </c>
      <c r="G308" t="s">
        <v>19</v>
      </c>
      <c r="H308" t="s">
        <v>17</v>
      </c>
      <c r="I308" s="5">
        <v>9000</v>
      </c>
      <c r="J308" t="s">
        <v>20</v>
      </c>
      <c r="K308" t="s">
        <v>937</v>
      </c>
      <c r="L308" t="s">
        <v>945</v>
      </c>
      <c r="M308" t="s">
        <v>946</v>
      </c>
      <c r="T308" s="34"/>
    </row>
    <row r="309" spans="1:20" x14ac:dyDescent="0.25">
      <c r="A309" t="s">
        <v>538</v>
      </c>
      <c r="B309" t="s">
        <v>539</v>
      </c>
      <c r="C309" t="s">
        <v>23</v>
      </c>
      <c r="D309" t="s">
        <v>3</v>
      </c>
      <c r="E309" t="s">
        <v>4</v>
      </c>
      <c r="F309" s="5">
        <v>103873</v>
      </c>
      <c r="G309" t="s">
        <v>19</v>
      </c>
      <c r="H309" t="s">
        <v>17</v>
      </c>
      <c r="I309" s="5">
        <v>9000</v>
      </c>
      <c r="J309" t="s">
        <v>20</v>
      </c>
      <c r="K309" t="s">
        <v>937</v>
      </c>
      <c r="L309" t="s">
        <v>954</v>
      </c>
      <c r="M309" t="s">
        <v>955</v>
      </c>
      <c r="T309" s="34"/>
    </row>
    <row r="310" spans="1:20" x14ac:dyDescent="0.25">
      <c r="A310" t="s">
        <v>578</v>
      </c>
      <c r="B310" t="s">
        <v>107</v>
      </c>
      <c r="C310" t="s">
        <v>23</v>
      </c>
      <c r="D310" t="s">
        <v>14</v>
      </c>
      <c r="E310" t="s">
        <v>7</v>
      </c>
      <c r="F310" s="5">
        <v>95118</v>
      </c>
      <c r="G310" t="s">
        <v>19</v>
      </c>
      <c r="H310" t="s">
        <v>17</v>
      </c>
      <c r="I310" s="5">
        <v>9000</v>
      </c>
      <c r="J310" t="s">
        <v>20</v>
      </c>
      <c r="K310" t="s">
        <v>937</v>
      </c>
      <c r="L310" t="s">
        <v>951</v>
      </c>
      <c r="M310" t="s">
        <v>952</v>
      </c>
      <c r="T310" s="34"/>
    </row>
    <row r="311" spans="1:20" x14ac:dyDescent="0.25">
      <c r="A311" t="s">
        <v>598</v>
      </c>
      <c r="B311" t="s">
        <v>253</v>
      </c>
      <c r="C311" t="s">
        <v>23</v>
      </c>
      <c r="D311" t="s">
        <v>8</v>
      </c>
      <c r="E311" t="s">
        <v>9</v>
      </c>
      <c r="F311" s="5">
        <v>89352</v>
      </c>
      <c r="G311" t="s">
        <v>16</v>
      </c>
      <c r="H311" t="s">
        <v>17</v>
      </c>
      <c r="I311" s="5">
        <v>6750</v>
      </c>
      <c r="J311" t="s">
        <v>20</v>
      </c>
      <c r="K311" t="s">
        <v>937</v>
      </c>
      <c r="L311" t="s">
        <v>948</v>
      </c>
      <c r="M311" t="s">
        <v>949</v>
      </c>
      <c r="T311" s="34"/>
    </row>
    <row r="312" spans="1:20" x14ac:dyDescent="0.25">
      <c r="A312" t="s">
        <v>576</v>
      </c>
      <c r="B312" t="s">
        <v>577</v>
      </c>
      <c r="C312" t="s">
        <v>23</v>
      </c>
      <c r="D312" t="s">
        <v>11</v>
      </c>
      <c r="E312" t="s">
        <v>7</v>
      </c>
      <c r="F312" s="5">
        <v>89823</v>
      </c>
      <c r="G312" t="s">
        <v>19</v>
      </c>
      <c r="H312" t="s">
        <v>17</v>
      </c>
      <c r="I312" s="5">
        <v>9000</v>
      </c>
      <c r="J312" t="s">
        <v>20</v>
      </c>
      <c r="K312" t="s">
        <v>937</v>
      </c>
      <c r="L312" t="s">
        <v>945</v>
      </c>
      <c r="M312" t="s">
        <v>946</v>
      </c>
      <c r="T312" s="34"/>
    </row>
    <row r="313" spans="1:20" x14ac:dyDescent="0.25">
      <c r="A313" t="s">
        <v>610</v>
      </c>
      <c r="B313" t="s">
        <v>611</v>
      </c>
      <c r="C313" t="s">
        <v>23</v>
      </c>
      <c r="D313" t="s">
        <v>12</v>
      </c>
      <c r="E313" t="s">
        <v>7</v>
      </c>
      <c r="F313" s="5">
        <v>89974</v>
      </c>
      <c r="G313" t="s">
        <v>19</v>
      </c>
      <c r="H313" t="s">
        <v>17</v>
      </c>
      <c r="I313" s="5">
        <v>9000</v>
      </c>
      <c r="J313" t="s">
        <v>20</v>
      </c>
      <c r="K313" t="s">
        <v>937</v>
      </c>
      <c r="L313" t="s">
        <v>957</v>
      </c>
      <c r="M313" t="s">
        <v>958</v>
      </c>
      <c r="T313" s="34"/>
    </row>
    <row r="314" spans="1:20" x14ac:dyDescent="0.25">
      <c r="A314" t="s">
        <v>574</v>
      </c>
      <c r="B314" t="s">
        <v>575</v>
      </c>
      <c r="C314" t="s">
        <v>23</v>
      </c>
      <c r="D314" t="s">
        <v>12</v>
      </c>
      <c r="E314" t="s">
        <v>13</v>
      </c>
      <c r="F314" s="5">
        <v>90099</v>
      </c>
      <c r="G314" t="s">
        <v>19</v>
      </c>
      <c r="H314" t="s">
        <v>17</v>
      </c>
      <c r="I314" s="5">
        <v>9000</v>
      </c>
      <c r="J314" t="s">
        <v>20</v>
      </c>
      <c r="K314" t="s">
        <v>937</v>
      </c>
      <c r="L314" t="s">
        <v>957</v>
      </c>
      <c r="M314" t="s">
        <v>958</v>
      </c>
      <c r="T314" s="34"/>
    </row>
    <row r="315" spans="1:20" x14ac:dyDescent="0.25">
      <c r="A315" t="s">
        <v>585</v>
      </c>
      <c r="B315" t="s">
        <v>586</v>
      </c>
      <c r="C315" t="s">
        <v>23</v>
      </c>
      <c r="D315" t="s">
        <v>3</v>
      </c>
      <c r="E315" t="s">
        <v>13</v>
      </c>
      <c r="F315" s="5">
        <v>92565</v>
      </c>
      <c r="G315" t="s">
        <v>19</v>
      </c>
      <c r="H315" t="s">
        <v>17</v>
      </c>
      <c r="I315" s="5">
        <v>9000</v>
      </c>
      <c r="J315" t="s">
        <v>20</v>
      </c>
      <c r="K315" t="s">
        <v>937</v>
      </c>
      <c r="L315" t="s">
        <v>954</v>
      </c>
      <c r="M315" t="s">
        <v>955</v>
      </c>
      <c r="T315" s="34"/>
    </row>
    <row r="316" spans="1:20" x14ac:dyDescent="0.25">
      <c r="A316" t="s">
        <v>643</v>
      </c>
      <c r="B316" t="s">
        <v>644</v>
      </c>
      <c r="C316" t="s">
        <v>23</v>
      </c>
      <c r="D316" t="s">
        <v>14</v>
      </c>
      <c r="E316" t="s">
        <v>9</v>
      </c>
      <c r="F316" s="5">
        <v>94869</v>
      </c>
      <c r="G316" t="s">
        <v>16</v>
      </c>
      <c r="H316" t="s">
        <v>17</v>
      </c>
      <c r="I316" s="5">
        <v>6750</v>
      </c>
      <c r="J316" t="s">
        <v>20</v>
      </c>
      <c r="K316" t="s">
        <v>937</v>
      </c>
      <c r="L316" t="s">
        <v>951</v>
      </c>
      <c r="M316" t="s">
        <v>952</v>
      </c>
      <c r="T316" s="34"/>
    </row>
    <row r="317" spans="1:20" x14ac:dyDescent="0.25">
      <c r="A317" t="s">
        <v>859</v>
      </c>
      <c r="B317" t="s">
        <v>860</v>
      </c>
      <c r="C317" t="s">
        <v>23</v>
      </c>
      <c r="D317" t="s">
        <v>11</v>
      </c>
      <c r="E317" t="s">
        <v>13</v>
      </c>
      <c r="F317" s="5">
        <v>115427</v>
      </c>
      <c r="G317" t="s">
        <v>19</v>
      </c>
      <c r="H317" t="s">
        <v>17</v>
      </c>
      <c r="I317" s="5">
        <v>9000</v>
      </c>
      <c r="J317" t="s">
        <v>20</v>
      </c>
      <c r="K317" t="s">
        <v>937</v>
      </c>
      <c r="L317" t="s">
        <v>945</v>
      </c>
      <c r="M317" t="s">
        <v>946</v>
      </c>
      <c r="T317" s="34"/>
    </row>
    <row r="318" spans="1:20" x14ac:dyDescent="0.25">
      <c r="A318" t="s">
        <v>510</v>
      </c>
      <c r="B318" t="s">
        <v>211</v>
      </c>
      <c r="C318" t="s">
        <v>23</v>
      </c>
      <c r="D318" t="s">
        <v>14</v>
      </c>
      <c r="E318" t="s">
        <v>9</v>
      </c>
      <c r="F318" s="5">
        <v>119005</v>
      </c>
      <c r="G318" t="s">
        <v>19</v>
      </c>
      <c r="H318" t="s">
        <v>17</v>
      </c>
      <c r="I318" s="5">
        <v>9000</v>
      </c>
      <c r="J318" t="s">
        <v>20</v>
      </c>
      <c r="K318" t="s">
        <v>937</v>
      </c>
      <c r="L318" t="s">
        <v>951</v>
      </c>
      <c r="M318" t="s">
        <v>952</v>
      </c>
      <c r="T318" s="34"/>
    </row>
    <row r="319" spans="1:20" x14ac:dyDescent="0.25">
      <c r="A319" t="s">
        <v>548</v>
      </c>
      <c r="B319" t="s">
        <v>549</v>
      </c>
      <c r="C319" t="s">
        <v>23</v>
      </c>
      <c r="D319" t="s">
        <v>11</v>
      </c>
      <c r="E319" t="s">
        <v>13</v>
      </c>
      <c r="F319" s="5">
        <v>120691</v>
      </c>
      <c r="G319" t="s">
        <v>19</v>
      </c>
      <c r="H319" t="s">
        <v>17</v>
      </c>
      <c r="I319" s="5">
        <v>9000</v>
      </c>
      <c r="J319" t="s">
        <v>20</v>
      </c>
      <c r="K319" t="s">
        <v>937</v>
      </c>
      <c r="L319" t="s">
        <v>945</v>
      </c>
      <c r="M319" t="s">
        <v>946</v>
      </c>
      <c r="T319" s="34"/>
    </row>
    <row r="320" spans="1:20" x14ac:dyDescent="0.25">
      <c r="A320" t="s">
        <v>596</v>
      </c>
      <c r="B320" t="s">
        <v>597</v>
      </c>
      <c r="C320" t="s">
        <v>23</v>
      </c>
      <c r="D320" t="s">
        <v>3</v>
      </c>
      <c r="E320" t="s">
        <v>9</v>
      </c>
      <c r="F320" s="5">
        <v>120700</v>
      </c>
      <c r="G320" t="s">
        <v>19</v>
      </c>
      <c r="H320" t="s">
        <v>17</v>
      </c>
      <c r="I320" s="5">
        <v>9000</v>
      </c>
      <c r="J320" t="s">
        <v>20</v>
      </c>
      <c r="K320" t="s">
        <v>937</v>
      </c>
      <c r="L320" t="s">
        <v>954</v>
      </c>
      <c r="M320" t="s">
        <v>955</v>
      </c>
      <c r="T320" s="34"/>
    </row>
    <row r="321" spans="1:20" x14ac:dyDescent="0.25">
      <c r="A321" t="s">
        <v>612</v>
      </c>
      <c r="B321" t="s">
        <v>613</v>
      </c>
      <c r="C321" t="s">
        <v>23</v>
      </c>
      <c r="D321" t="s">
        <v>3</v>
      </c>
      <c r="E321" t="s">
        <v>4</v>
      </c>
      <c r="F321" s="5">
        <v>120785</v>
      </c>
      <c r="G321" t="s">
        <v>19</v>
      </c>
      <c r="H321" t="s">
        <v>17</v>
      </c>
      <c r="I321" s="5">
        <v>9000</v>
      </c>
      <c r="J321" t="s">
        <v>20</v>
      </c>
      <c r="K321" t="s">
        <v>937</v>
      </c>
      <c r="L321" t="s">
        <v>954</v>
      </c>
      <c r="M321" t="s">
        <v>955</v>
      </c>
      <c r="T321" s="34"/>
    </row>
    <row r="322" spans="1:20" x14ac:dyDescent="0.25">
      <c r="A322" t="s">
        <v>533</v>
      </c>
      <c r="B322" t="s">
        <v>201</v>
      </c>
      <c r="C322" t="s">
        <v>23</v>
      </c>
      <c r="D322" t="s">
        <v>12</v>
      </c>
      <c r="E322" t="s">
        <v>9</v>
      </c>
      <c r="F322" s="5">
        <v>121187</v>
      </c>
      <c r="G322" t="s">
        <v>19</v>
      </c>
      <c r="H322" t="s">
        <v>17</v>
      </c>
      <c r="I322" s="5">
        <v>9000</v>
      </c>
      <c r="J322" t="s">
        <v>20</v>
      </c>
      <c r="K322" t="s">
        <v>937</v>
      </c>
      <c r="L322" t="s">
        <v>957</v>
      </c>
      <c r="M322" t="s">
        <v>958</v>
      </c>
      <c r="T322" s="34"/>
    </row>
    <row r="323" spans="1:20" x14ac:dyDescent="0.25">
      <c r="A323" t="s">
        <v>531</v>
      </c>
      <c r="B323" t="s">
        <v>532</v>
      </c>
      <c r="C323" t="s">
        <v>23</v>
      </c>
      <c r="D323" t="s">
        <v>14</v>
      </c>
      <c r="E323" t="s">
        <v>4</v>
      </c>
      <c r="F323" s="5">
        <v>122457</v>
      </c>
      <c r="G323" t="s">
        <v>19</v>
      </c>
      <c r="H323" t="s">
        <v>17</v>
      </c>
      <c r="I323" s="5">
        <v>9000</v>
      </c>
      <c r="J323" t="s">
        <v>20</v>
      </c>
      <c r="K323" t="s">
        <v>937</v>
      </c>
      <c r="L323" t="s">
        <v>951</v>
      </c>
      <c r="M323" t="s">
        <v>952</v>
      </c>
      <c r="T323" s="34"/>
    </row>
    <row r="324" spans="1:20" x14ac:dyDescent="0.25">
      <c r="A324" t="s">
        <v>853</v>
      </c>
      <c r="B324" t="s">
        <v>571</v>
      </c>
      <c r="C324" t="s">
        <v>23</v>
      </c>
      <c r="D324" t="s">
        <v>3</v>
      </c>
      <c r="E324" t="s">
        <v>4</v>
      </c>
      <c r="F324" s="5">
        <v>114059</v>
      </c>
      <c r="G324" t="s">
        <v>16</v>
      </c>
      <c r="H324" t="s">
        <v>17</v>
      </c>
      <c r="I324" s="5">
        <v>6750</v>
      </c>
      <c r="J324" t="s">
        <v>20</v>
      </c>
      <c r="K324" t="s">
        <v>937</v>
      </c>
      <c r="L324" t="s">
        <v>954</v>
      </c>
      <c r="M324" t="s">
        <v>955</v>
      </c>
      <c r="T324" s="34"/>
    </row>
    <row r="325" spans="1:20" x14ac:dyDescent="0.25">
      <c r="A325" t="s">
        <v>877</v>
      </c>
      <c r="B325" t="s">
        <v>878</v>
      </c>
      <c r="C325" t="s">
        <v>23</v>
      </c>
      <c r="D325" t="s">
        <v>8</v>
      </c>
      <c r="E325" t="s">
        <v>7</v>
      </c>
      <c r="F325" s="5">
        <v>107147</v>
      </c>
      <c r="G325" t="s">
        <v>19</v>
      </c>
      <c r="H325" t="s">
        <v>17</v>
      </c>
      <c r="I325" s="5">
        <v>9000</v>
      </c>
      <c r="J325" t="s">
        <v>20</v>
      </c>
      <c r="K325" t="s">
        <v>937</v>
      </c>
      <c r="L325" t="s">
        <v>948</v>
      </c>
      <c r="M325" t="s">
        <v>949</v>
      </c>
      <c r="T325" s="34"/>
    </row>
    <row r="326" spans="1:20" x14ac:dyDescent="0.25">
      <c r="A326" t="s">
        <v>536</v>
      </c>
      <c r="B326" t="s">
        <v>537</v>
      </c>
      <c r="C326" t="s">
        <v>23</v>
      </c>
      <c r="D326" t="s">
        <v>3</v>
      </c>
      <c r="E326" t="s">
        <v>7</v>
      </c>
      <c r="F326" s="5">
        <v>107580</v>
      </c>
      <c r="G326" t="s">
        <v>19</v>
      </c>
      <c r="H326" t="s">
        <v>17</v>
      </c>
      <c r="I326" s="5">
        <v>9000</v>
      </c>
      <c r="J326" t="s">
        <v>20</v>
      </c>
      <c r="K326" t="s">
        <v>937</v>
      </c>
      <c r="L326" t="s">
        <v>954</v>
      </c>
      <c r="M326" t="s">
        <v>955</v>
      </c>
      <c r="T326" s="34"/>
    </row>
    <row r="327" spans="1:20" x14ac:dyDescent="0.25">
      <c r="A327" t="s">
        <v>525</v>
      </c>
      <c r="B327" t="s">
        <v>526</v>
      </c>
      <c r="C327" t="s">
        <v>23</v>
      </c>
      <c r="D327" t="s">
        <v>8</v>
      </c>
      <c r="E327" t="s">
        <v>7</v>
      </c>
      <c r="F327" s="5">
        <v>109050</v>
      </c>
      <c r="G327" t="s">
        <v>19</v>
      </c>
      <c r="H327" t="s">
        <v>17</v>
      </c>
      <c r="I327" s="5">
        <v>9000</v>
      </c>
      <c r="J327" t="s">
        <v>20</v>
      </c>
      <c r="K327" t="s">
        <v>937</v>
      </c>
      <c r="L327" t="s">
        <v>948</v>
      </c>
      <c r="M327" t="s">
        <v>949</v>
      </c>
      <c r="T327" s="34"/>
    </row>
    <row r="328" spans="1:20" x14ac:dyDescent="0.25">
      <c r="A328" t="s">
        <v>845</v>
      </c>
      <c r="B328" t="s">
        <v>846</v>
      </c>
      <c r="C328" t="s">
        <v>23</v>
      </c>
      <c r="D328" t="s">
        <v>3</v>
      </c>
      <c r="E328" t="s">
        <v>7</v>
      </c>
      <c r="F328" s="5">
        <v>110262</v>
      </c>
      <c r="G328" t="s">
        <v>16</v>
      </c>
      <c r="H328" t="s">
        <v>17</v>
      </c>
      <c r="I328" s="5">
        <v>6750</v>
      </c>
      <c r="J328" t="s">
        <v>20</v>
      </c>
      <c r="K328" t="s">
        <v>937</v>
      </c>
      <c r="L328" t="s">
        <v>954</v>
      </c>
      <c r="M328" t="s">
        <v>955</v>
      </c>
      <c r="T328" s="34"/>
    </row>
    <row r="329" spans="1:20" x14ac:dyDescent="0.25">
      <c r="A329" t="s">
        <v>529</v>
      </c>
      <c r="B329" t="s">
        <v>530</v>
      </c>
      <c r="C329" t="s">
        <v>23</v>
      </c>
      <c r="D329" t="s">
        <v>8</v>
      </c>
      <c r="E329" t="s">
        <v>13</v>
      </c>
      <c r="F329" s="5">
        <v>60451</v>
      </c>
      <c r="G329" t="s">
        <v>19</v>
      </c>
      <c r="H329" t="s">
        <v>17</v>
      </c>
      <c r="I329" s="5">
        <v>9000</v>
      </c>
      <c r="J329" t="s">
        <v>20</v>
      </c>
      <c r="K329" t="s">
        <v>938</v>
      </c>
      <c r="L329" t="s">
        <v>948</v>
      </c>
      <c r="M329" t="s">
        <v>949</v>
      </c>
      <c r="T329" s="34"/>
    </row>
    <row r="330" spans="1:20" x14ac:dyDescent="0.25">
      <c r="A330" t="s">
        <v>879</v>
      </c>
      <c r="B330" t="s">
        <v>880</v>
      </c>
      <c r="C330" t="s">
        <v>23</v>
      </c>
      <c r="D330" t="s">
        <v>3</v>
      </c>
      <c r="E330" t="s">
        <v>7</v>
      </c>
      <c r="F330" s="5">
        <v>60594</v>
      </c>
      <c r="G330" t="s">
        <v>16</v>
      </c>
      <c r="H330" t="s">
        <v>17</v>
      </c>
      <c r="I330" s="5">
        <v>6750</v>
      </c>
      <c r="J330" t="s">
        <v>20</v>
      </c>
      <c r="K330" t="s">
        <v>938</v>
      </c>
      <c r="L330" t="s">
        <v>954</v>
      </c>
      <c r="M330" t="s">
        <v>955</v>
      </c>
      <c r="T330" s="34"/>
    </row>
    <row r="331" spans="1:20" x14ac:dyDescent="0.25">
      <c r="A331" t="s">
        <v>552</v>
      </c>
      <c r="B331" t="s">
        <v>553</v>
      </c>
      <c r="C331" t="s">
        <v>23</v>
      </c>
      <c r="D331" t="s">
        <v>12</v>
      </c>
      <c r="E331" t="s">
        <v>13</v>
      </c>
      <c r="F331" s="5">
        <v>62199</v>
      </c>
      <c r="G331" t="s">
        <v>19</v>
      </c>
      <c r="H331" t="s">
        <v>17</v>
      </c>
      <c r="I331" s="5">
        <v>9000</v>
      </c>
      <c r="J331" t="s">
        <v>20</v>
      </c>
      <c r="K331" t="s">
        <v>938</v>
      </c>
      <c r="L331" t="s">
        <v>957</v>
      </c>
      <c r="M331" t="s">
        <v>958</v>
      </c>
      <c r="T331" s="34"/>
    </row>
    <row r="332" spans="1:20" x14ac:dyDescent="0.25">
      <c r="A332" t="s">
        <v>559</v>
      </c>
      <c r="B332" t="s">
        <v>560</v>
      </c>
      <c r="C332" t="s">
        <v>23</v>
      </c>
      <c r="D332" t="s">
        <v>14</v>
      </c>
      <c r="E332" t="s">
        <v>9</v>
      </c>
      <c r="F332" s="5">
        <v>62405</v>
      </c>
      <c r="G332" t="s">
        <v>16</v>
      </c>
      <c r="H332" t="s">
        <v>17</v>
      </c>
      <c r="I332" s="5">
        <v>6750</v>
      </c>
      <c r="J332" t="s">
        <v>20</v>
      </c>
      <c r="K332" t="s">
        <v>938</v>
      </c>
      <c r="L332" t="s">
        <v>951</v>
      </c>
      <c r="M332" t="s">
        <v>952</v>
      </c>
      <c r="T332" s="34"/>
    </row>
    <row r="333" spans="1:20" x14ac:dyDescent="0.25">
      <c r="A333" t="s">
        <v>562</v>
      </c>
      <c r="B333" t="s">
        <v>563</v>
      </c>
      <c r="C333" t="s">
        <v>23</v>
      </c>
      <c r="D333" t="s">
        <v>8</v>
      </c>
      <c r="E333" t="s">
        <v>9</v>
      </c>
      <c r="F333" s="5">
        <v>64003</v>
      </c>
      <c r="G333" t="s">
        <v>19</v>
      </c>
      <c r="H333" t="s">
        <v>17</v>
      </c>
      <c r="I333" s="5">
        <v>9000</v>
      </c>
      <c r="J333" t="s">
        <v>20</v>
      </c>
      <c r="K333" t="s">
        <v>938</v>
      </c>
      <c r="L333" t="s">
        <v>948</v>
      </c>
      <c r="M333" t="s">
        <v>949</v>
      </c>
      <c r="T333" s="34"/>
    </row>
    <row r="334" spans="1:20" x14ac:dyDescent="0.25">
      <c r="A334" t="s">
        <v>557</v>
      </c>
      <c r="B334" t="s">
        <v>558</v>
      </c>
      <c r="C334" t="s">
        <v>23</v>
      </c>
      <c r="D334" t="s">
        <v>14</v>
      </c>
      <c r="E334" t="s">
        <v>4</v>
      </c>
      <c r="F334" s="5">
        <v>65646</v>
      </c>
      <c r="G334" t="s">
        <v>19</v>
      </c>
      <c r="H334" t="s">
        <v>17</v>
      </c>
      <c r="I334" s="5">
        <v>9000</v>
      </c>
      <c r="J334" t="s">
        <v>20</v>
      </c>
      <c r="K334" t="s">
        <v>938</v>
      </c>
      <c r="L334" t="s">
        <v>951</v>
      </c>
      <c r="M334" t="s">
        <v>952</v>
      </c>
      <c r="T334" s="34"/>
    </row>
    <row r="335" spans="1:20" x14ac:dyDescent="0.25">
      <c r="A335" t="s">
        <v>847</v>
      </c>
      <c r="B335" t="s">
        <v>257</v>
      </c>
      <c r="C335" t="s">
        <v>23</v>
      </c>
      <c r="D335" t="s">
        <v>12</v>
      </c>
      <c r="E335" t="s">
        <v>9</v>
      </c>
      <c r="F335" s="5">
        <v>65949</v>
      </c>
      <c r="G335" t="s">
        <v>16</v>
      </c>
      <c r="H335" t="s">
        <v>17</v>
      </c>
      <c r="I335" s="5">
        <v>6750</v>
      </c>
      <c r="J335" t="s">
        <v>20</v>
      </c>
      <c r="K335" t="s">
        <v>938</v>
      </c>
      <c r="L335" t="s">
        <v>957</v>
      </c>
      <c r="M335" t="s">
        <v>958</v>
      </c>
      <c r="T335" s="34"/>
    </row>
    <row r="336" spans="1:20" x14ac:dyDescent="0.25">
      <c r="A336" t="s">
        <v>564</v>
      </c>
      <c r="B336" t="s">
        <v>565</v>
      </c>
      <c r="C336" t="s">
        <v>23</v>
      </c>
      <c r="D336" t="s">
        <v>11</v>
      </c>
      <c r="E336" t="s">
        <v>4</v>
      </c>
      <c r="F336" s="5">
        <v>50006</v>
      </c>
      <c r="G336" t="s">
        <v>16</v>
      </c>
      <c r="H336" t="s">
        <v>17</v>
      </c>
      <c r="I336" s="5">
        <v>6750</v>
      </c>
      <c r="J336" t="s">
        <v>20</v>
      </c>
      <c r="K336" t="s">
        <v>938</v>
      </c>
      <c r="L336" t="s">
        <v>945</v>
      </c>
      <c r="M336" t="s">
        <v>946</v>
      </c>
      <c r="T336" s="34"/>
    </row>
    <row r="337" spans="1:20" x14ac:dyDescent="0.25">
      <c r="A337" t="s">
        <v>570</v>
      </c>
      <c r="B337" t="s">
        <v>571</v>
      </c>
      <c r="C337" t="s">
        <v>23</v>
      </c>
      <c r="D337" t="s">
        <v>3</v>
      </c>
      <c r="E337" t="s">
        <v>13</v>
      </c>
      <c r="F337" s="5">
        <v>53697</v>
      </c>
      <c r="G337" t="s">
        <v>16</v>
      </c>
      <c r="H337" t="s">
        <v>17</v>
      </c>
      <c r="I337" s="5">
        <v>6750</v>
      </c>
      <c r="J337" t="s">
        <v>20</v>
      </c>
      <c r="K337" t="s">
        <v>938</v>
      </c>
      <c r="L337" t="s">
        <v>954</v>
      </c>
      <c r="M337" t="s">
        <v>955</v>
      </c>
      <c r="T337" s="34"/>
    </row>
    <row r="338" spans="1:20" x14ac:dyDescent="0.25">
      <c r="A338" t="s">
        <v>627</v>
      </c>
      <c r="B338" t="s">
        <v>628</v>
      </c>
      <c r="C338" t="s">
        <v>23</v>
      </c>
      <c r="D338" t="s">
        <v>3</v>
      </c>
      <c r="E338" t="s">
        <v>7</v>
      </c>
      <c r="F338" s="5">
        <v>56880</v>
      </c>
      <c r="G338" t="s">
        <v>19</v>
      </c>
      <c r="H338" t="s">
        <v>17</v>
      </c>
      <c r="I338" s="5">
        <v>9000</v>
      </c>
      <c r="J338" t="s">
        <v>20</v>
      </c>
      <c r="K338" t="s">
        <v>938</v>
      </c>
      <c r="L338" t="s">
        <v>954</v>
      </c>
      <c r="M338" t="s">
        <v>955</v>
      </c>
      <c r="T338" s="34"/>
    </row>
    <row r="339" spans="1:20" x14ac:dyDescent="0.25">
      <c r="A339" t="s">
        <v>642</v>
      </c>
      <c r="B339" t="s">
        <v>335</v>
      </c>
      <c r="C339" t="s">
        <v>23</v>
      </c>
      <c r="D339" t="s">
        <v>11</v>
      </c>
      <c r="E339" t="s">
        <v>7</v>
      </c>
      <c r="F339" s="5">
        <v>80155</v>
      </c>
      <c r="G339" t="s">
        <v>16</v>
      </c>
      <c r="H339" t="s">
        <v>17</v>
      </c>
      <c r="I339" s="5">
        <v>6750</v>
      </c>
      <c r="J339" t="s">
        <v>20</v>
      </c>
      <c r="K339" t="s">
        <v>938</v>
      </c>
      <c r="L339" t="s">
        <v>945</v>
      </c>
      <c r="M339" t="s">
        <v>946</v>
      </c>
      <c r="T339" s="34"/>
    </row>
    <row r="340" spans="1:20" x14ac:dyDescent="0.25">
      <c r="A340" t="s">
        <v>566</v>
      </c>
      <c r="B340" t="s">
        <v>567</v>
      </c>
      <c r="C340" t="s">
        <v>23</v>
      </c>
      <c r="D340" t="s">
        <v>8</v>
      </c>
      <c r="E340" t="s">
        <v>4</v>
      </c>
      <c r="F340" s="5">
        <v>81702</v>
      </c>
      <c r="G340" t="s">
        <v>19</v>
      </c>
      <c r="H340" t="s">
        <v>17</v>
      </c>
      <c r="I340" s="5">
        <v>9000</v>
      </c>
      <c r="J340" t="s">
        <v>20</v>
      </c>
      <c r="K340" t="s">
        <v>938</v>
      </c>
      <c r="L340" t="s">
        <v>948</v>
      </c>
      <c r="M340" t="s">
        <v>949</v>
      </c>
      <c r="T340" s="34"/>
    </row>
    <row r="341" spans="1:20" x14ac:dyDescent="0.25">
      <c r="A341" t="s">
        <v>511</v>
      </c>
      <c r="B341" t="s">
        <v>512</v>
      </c>
      <c r="C341" t="s">
        <v>23</v>
      </c>
      <c r="D341" t="s">
        <v>3</v>
      </c>
      <c r="E341" t="s">
        <v>7</v>
      </c>
      <c r="F341" s="5">
        <v>81759</v>
      </c>
      <c r="G341" t="s">
        <v>19</v>
      </c>
      <c r="H341" t="s">
        <v>17</v>
      </c>
      <c r="I341" s="5">
        <v>9000</v>
      </c>
      <c r="J341" t="s">
        <v>20</v>
      </c>
      <c r="K341" t="s">
        <v>938</v>
      </c>
      <c r="L341" t="s">
        <v>954</v>
      </c>
      <c r="M341" t="s">
        <v>955</v>
      </c>
      <c r="T341" s="34"/>
    </row>
    <row r="342" spans="1:20" x14ac:dyDescent="0.25">
      <c r="A342" t="s">
        <v>640</v>
      </c>
      <c r="B342" t="s">
        <v>641</v>
      </c>
      <c r="C342" t="s">
        <v>23</v>
      </c>
      <c r="D342" t="s">
        <v>14</v>
      </c>
      <c r="E342" t="s">
        <v>9</v>
      </c>
      <c r="F342" s="5">
        <v>82301</v>
      </c>
      <c r="G342" t="s">
        <v>16</v>
      </c>
      <c r="H342" t="s">
        <v>17</v>
      </c>
      <c r="I342" s="5">
        <v>6750</v>
      </c>
      <c r="J342" t="s">
        <v>20</v>
      </c>
      <c r="K342" t="s">
        <v>938</v>
      </c>
      <c r="L342" t="s">
        <v>951</v>
      </c>
      <c r="M342" t="s">
        <v>952</v>
      </c>
      <c r="T342" s="34"/>
    </row>
    <row r="343" spans="1:20" x14ac:dyDescent="0.25">
      <c r="A343" t="s">
        <v>875</v>
      </c>
      <c r="B343" t="s">
        <v>151</v>
      </c>
      <c r="C343" t="s">
        <v>23</v>
      </c>
      <c r="D343" t="s">
        <v>12</v>
      </c>
      <c r="E343" t="s">
        <v>7</v>
      </c>
      <c r="F343" s="5">
        <v>85685</v>
      </c>
      <c r="G343" t="s">
        <v>19</v>
      </c>
      <c r="H343" t="s">
        <v>17</v>
      </c>
      <c r="I343" s="5">
        <v>9000</v>
      </c>
      <c r="J343" t="s">
        <v>20</v>
      </c>
      <c r="K343" t="s">
        <v>937</v>
      </c>
      <c r="L343" t="s">
        <v>957</v>
      </c>
      <c r="M343" t="s">
        <v>958</v>
      </c>
      <c r="T343" s="34"/>
    </row>
    <row r="344" spans="1:20" x14ac:dyDescent="0.25">
      <c r="A344" t="s">
        <v>588</v>
      </c>
      <c r="B344" t="s">
        <v>589</v>
      </c>
      <c r="C344" t="s">
        <v>23</v>
      </c>
      <c r="D344" t="s">
        <v>3</v>
      </c>
      <c r="E344" t="s">
        <v>7</v>
      </c>
      <c r="F344" s="5">
        <v>79352</v>
      </c>
      <c r="G344" t="s">
        <v>16</v>
      </c>
      <c r="H344" t="s">
        <v>17</v>
      </c>
      <c r="I344" s="5">
        <v>6750</v>
      </c>
      <c r="J344" t="s">
        <v>20</v>
      </c>
      <c r="K344" t="s">
        <v>938</v>
      </c>
      <c r="L344" t="s">
        <v>954</v>
      </c>
      <c r="M344" t="s">
        <v>955</v>
      </c>
      <c r="T344" s="34"/>
    </row>
    <row r="345" spans="1:20" x14ac:dyDescent="0.25">
      <c r="A345" t="s">
        <v>554</v>
      </c>
      <c r="B345" t="s">
        <v>139</v>
      </c>
      <c r="C345" t="s">
        <v>23</v>
      </c>
      <c r="D345" t="s">
        <v>14</v>
      </c>
      <c r="E345" t="s">
        <v>9</v>
      </c>
      <c r="F345" s="5">
        <v>70734</v>
      </c>
      <c r="G345" t="s">
        <v>19</v>
      </c>
      <c r="H345" t="s">
        <v>17</v>
      </c>
      <c r="I345" s="5">
        <v>9000</v>
      </c>
      <c r="J345" t="s">
        <v>20</v>
      </c>
      <c r="K345" t="s">
        <v>938</v>
      </c>
      <c r="L345" t="s">
        <v>951</v>
      </c>
      <c r="M345" t="s">
        <v>952</v>
      </c>
      <c r="T345" s="34"/>
    </row>
    <row r="346" spans="1:20" x14ac:dyDescent="0.25">
      <c r="A346" t="s">
        <v>568</v>
      </c>
      <c r="B346" t="s">
        <v>569</v>
      </c>
      <c r="C346" t="s">
        <v>23</v>
      </c>
      <c r="D346" t="s">
        <v>8</v>
      </c>
      <c r="E346" t="s">
        <v>4</v>
      </c>
      <c r="F346" s="5">
        <v>73728</v>
      </c>
      <c r="G346" t="s">
        <v>19</v>
      </c>
      <c r="H346" t="s">
        <v>17</v>
      </c>
      <c r="I346" s="5">
        <v>9000</v>
      </c>
      <c r="J346" t="s">
        <v>20</v>
      </c>
      <c r="K346" t="s">
        <v>938</v>
      </c>
      <c r="L346" t="s">
        <v>948</v>
      </c>
      <c r="M346" t="s">
        <v>949</v>
      </c>
      <c r="T346" s="34"/>
    </row>
    <row r="347" spans="1:20" x14ac:dyDescent="0.25">
      <c r="A347" t="s">
        <v>604</v>
      </c>
      <c r="B347" t="s">
        <v>333</v>
      </c>
      <c r="C347" t="s">
        <v>23</v>
      </c>
      <c r="D347" t="s">
        <v>14</v>
      </c>
      <c r="E347" t="s">
        <v>9</v>
      </c>
      <c r="F347" s="5">
        <v>76045</v>
      </c>
      <c r="G347" t="s">
        <v>19</v>
      </c>
      <c r="H347" t="s">
        <v>17</v>
      </c>
      <c r="I347" s="5">
        <v>9000</v>
      </c>
      <c r="J347" t="s">
        <v>20</v>
      </c>
      <c r="K347" t="s">
        <v>938</v>
      </c>
      <c r="L347" t="s">
        <v>951</v>
      </c>
      <c r="M347" t="s">
        <v>952</v>
      </c>
      <c r="T347" s="34"/>
    </row>
    <row r="348" spans="1:20" x14ac:dyDescent="0.25">
      <c r="A348" t="s">
        <v>513</v>
      </c>
      <c r="B348" t="s">
        <v>514</v>
      </c>
      <c r="C348" t="s">
        <v>23</v>
      </c>
      <c r="D348" t="s">
        <v>8</v>
      </c>
      <c r="E348" t="s">
        <v>9</v>
      </c>
      <c r="F348" s="5">
        <v>77703</v>
      </c>
      <c r="G348" t="s">
        <v>16</v>
      </c>
      <c r="H348" t="s">
        <v>17</v>
      </c>
      <c r="I348" s="5">
        <v>6750</v>
      </c>
      <c r="J348" t="s">
        <v>20</v>
      </c>
      <c r="K348" t="s">
        <v>938</v>
      </c>
      <c r="L348" t="s">
        <v>948</v>
      </c>
      <c r="M348" t="s">
        <v>949</v>
      </c>
      <c r="T348" s="34"/>
    </row>
    <row r="349" spans="1:20" x14ac:dyDescent="0.25">
      <c r="A349" t="s">
        <v>572</v>
      </c>
      <c r="B349" t="s">
        <v>573</v>
      </c>
      <c r="C349" t="s">
        <v>23</v>
      </c>
      <c r="D349" t="s">
        <v>14</v>
      </c>
      <c r="E349" t="s">
        <v>4</v>
      </c>
      <c r="F349" s="5">
        <v>178690</v>
      </c>
      <c r="G349" t="s">
        <v>19</v>
      </c>
      <c r="H349" t="s">
        <v>17</v>
      </c>
      <c r="I349" s="5">
        <v>9000</v>
      </c>
      <c r="J349" t="s">
        <v>20</v>
      </c>
      <c r="K349" t="s">
        <v>939</v>
      </c>
      <c r="L349" t="s">
        <v>951</v>
      </c>
      <c r="M349" t="s">
        <v>952</v>
      </c>
      <c r="T349" s="34"/>
    </row>
    <row r="350" spans="1:20" x14ac:dyDescent="0.25">
      <c r="A350" t="s">
        <v>543</v>
      </c>
      <c r="B350" t="s">
        <v>544</v>
      </c>
      <c r="C350" t="s">
        <v>23</v>
      </c>
      <c r="D350" t="s">
        <v>12</v>
      </c>
      <c r="E350" t="s">
        <v>13</v>
      </c>
      <c r="F350" s="5">
        <v>178932</v>
      </c>
      <c r="G350" t="s">
        <v>19</v>
      </c>
      <c r="H350" t="s">
        <v>17</v>
      </c>
      <c r="I350" s="5">
        <v>9000</v>
      </c>
      <c r="J350" t="s">
        <v>20</v>
      </c>
      <c r="K350" t="s">
        <v>939</v>
      </c>
      <c r="L350" t="s">
        <v>957</v>
      </c>
      <c r="M350" t="s">
        <v>958</v>
      </c>
      <c r="T350" s="34"/>
    </row>
    <row r="351" spans="1:20" x14ac:dyDescent="0.25">
      <c r="A351" t="s">
        <v>581</v>
      </c>
      <c r="B351" t="s">
        <v>582</v>
      </c>
      <c r="C351" t="s">
        <v>23</v>
      </c>
      <c r="D351" t="s">
        <v>8</v>
      </c>
      <c r="E351" t="s">
        <v>9</v>
      </c>
      <c r="F351" s="5">
        <v>179298</v>
      </c>
      <c r="G351" t="s">
        <v>19</v>
      </c>
      <c r="H351" t="s">
        <v>17</v>
      </c>
      <c r="I351" s="5">
        <v>9000</v>
      </c>
      <c r="J351" t="s">
        <v>20</v>
      </c>
      <c r="K351" t="s">
        <v>940</v>
      </c>
      <c r="L351" t="s">
        <v>948</v>
      </c>
      <c r="M351" t="s">
        <v>949</v>
      </c>
      <c r="T351" s="34"/>
    </row>
    <row r="352" spans="1:20" x14ac:dyDescent="0.25">
      <c r="A352" t="s">
        <v>843</v>
      </c>
      <c r="B352" t="s">
        <v>844</v>
      </c>
      <c r="C352" t="s">
        <v>23</v>
      </c>
      <c r="D352" t="s">
        <v>14</v>
      </c>
      <c r="E352" t="s">
        <v>13</v>
      </c>
      <c r="F352" s="5">
        <v>172830</v>
      </c>
      <c r="G352" t="s">
        <v>16</v>
      </c>
      <c r="H352" t="s">
        <v>17</v>
      </c>
      <c r="I352" s="5">
        <v>6750</v>
      </c>
      <c r="J352" t="s">
        <v>20</v>
      </c>
      <c r="K352" t="s">
        <v>939</v>
      </c>
      <c r="L352" t="s">
        <v>951</v>
      </c>
      <c r="M352" t="s">
        <v>952</v>
      </c>
      <c r="T352" s="34"/>
    </row>
    <row r="353" spans="1:20" x14ac:dyDescent="0.25">
      <c r="A353" t="s">
        <v>842</v>
      </c>
      <c r="B353" t="s">
        <v>819</v>
      </c>
      <c r="C353" t="s">
        <v>23</v>
      </c>
      <c r="D353" t="s">
        <v>3</v>
      </c>
      <c r="E353" t="s">
        <v>9</v>
      </c>
      <c r="F353" s="5">
        <v>165180</v>
      </c>
      <c r="G353" t="s">
        <v>16</v>
      </c>
      <c r="H353" t="s">
        <v>17</v>
      </c>
      <c r="I353" s="5">
        <v>6750</v>
      </c>
      <c r="J353" t="s">
        <v>20</v>
      </c>
      <c r="K353" t="s">
        <v>939</v>
      </c>
      <c r="L353" t="s">
        <v>954</v>
      </c>
      <c r="M353" t="s">
        <v>955</v>
      </c>
      <c r="T353" s="34"/>
    </row>
    <row r="354" spans="1:20" x14ac:dyDescent="0.25">
      <c r="A354" t="s">
        <v>607</v>
      </c>
      <c r="B354" t="s">
        <v>608</v>
      </c>
      <c r="C354" t="s">
        <v>23</v>
      </c>
      <c r="D354" t="s">
        <v>8</v>
      </c>
      <c r="E354" t="s">
        <v>7</v>
      </c>
      <c r="F354" s="5">
        <v>198969</v>
      </c>
      <c r="G354" t="s">
        <v>16</v>
      </c>
      <c r="H354" t="s">
        <v>17</v>
      </c>
      <c r="I354" s="5">
        <v>6750</v>
      </c>
      <c r="J354" t="s">
        <v>20</v>
      </c>
      <c r="K354" t="s">
        <v>940</v>
      </c>
      <c r="L354" t="s">
        <v>948</v>
      </c>
      <c r="M354" t="s">
        <v>949</v>
      </c>
      <c r="T354" s="34"/>
    </row>
    <row r="355" spans="1:20" x14ac:dyDescent="0.25">
      <c r="A355" t="s">
        <v>594</v>
      </c>
      <c r="B355" t="s">
        <v>595</v>
      </c>
      <c r="C355" t="s">
        <v>23</v>
      </c>
      <c r="D355" t="s">
        <v>3</v>
      </c>
      <c r="E355" t="s">
        <v>9</v>
      </c>
      <c r="F355" s="5">
        <v>191837</v>
      </c>
      <c r="G355" t="s">
        <v>19</v>
      </c>
      <c r="H355" t="s">
        <v>17</v>
      </c>
      <c r="I355" s="5">
        <v>9000</v>
      </c>
      <c r="J355" t="s">
        <v>20</v>
      </c>
      <c r="K355" t="s">
        <v>940</v>
      </c>
      <c r="L355" t="s">
        <v>954</v>
      </c>
      <c r="M355" t="s">
        <v>955</v>
      </c>
      <c r="T355" s="34"/>
    </row>
    <row r="356" spans="1:20" x14ac:dyDescent="0.25">
      <c r="A356" t="s">
        <v>638</v>
      </c>
      <c r="B356" t="s">
        <v>639</v>
      </c>
      <c r="C356" t="s">
        <v>23</v>
      </c>
      <c r="D356" t="s">
        <v>3</v>
      </c>
      <c r="E356" t="s">
        <v>7</v>
      </c>
      <c r="F356" s="5">
        <v>186218</v>
      </c>
      <c r="G356" t="s">
        <v>19</v>
      </c>
      <c r="H356" t="s">
        <v>17</v>
      </c>
      <c r="I356" s="5">
        <v>9000</v>
      </c>
      <c r="J356" t="s">
        <v>20</v>
      </c>
      <c r="K356" t="s">
        <v>940</v>
      </c>
      <c r="L356" t="s">
        <v>954</v>
      </c>
      <c r="M356" t="s">
        <v>955</v>
      </c>
      <c r="T356" s="34"/>
    </row>
    <row r="357" spans="1:20" x14ac:dyDescent="0.25">
      <c r="A357" t="s">
        <v>625</v>
      </c>
      <c r="B357" t="s">
        <v>626</v>
      </c>
      <c r="C357" t="s">
        <v>23</v>
      </c>
      <c r="D357" t="s">
        <v>11</v>
      </c>
      <c r="E357" t="s">
        <v>9</v>
      </c>
      <c r="F357" s="5">
        <v>186866</v>
      </c>
      <c r="G357" t="s">
        <v>16</v>
      </c>
      <c r="H357" t="s">
        <v>17</v>
      </c>
      <c r="I357" s="5">
        <v>6750</v>
      </c>
      <c r="J357" t="s">
        <v>20</v>
      </c>
      <c r="K357" t="s">
        <v>940</v>
      </c>
      <c r="L357" t="s">
        <v>945</v>
      </c>
      <c r="M357" t="s">
        <v>946</v>
      </c>
      <c r="T357" s="34"/>
    </row>
    <row r="358" spans="1:20" x14ac:dyDescent="0.25">
      <c r="A358" t="s">
        <v>541</v>
      </c>
      <c r="B358" t="s">
        <v>542</v>
      </c>
      <c r="C358" t="s">
        <v>23</v>
      </c>
      <c r="D358" t="s">
        <v>14</v>
      </c>
      <c r="E358" t="s">
        <v>7</v>
      </c>
      <c r="F358" s="5">
        <v>188667</v>
      </c>
      <c r="G358" t="s">
        <v>16</v>
      </c>
      <c r="H358" t="s">
        <v>17</v>
      </c>
      <c r="I358" s="5">
        <v>6750</v>
      </c>
      <c r="J358" t="s">
        <v>20</v>
      </c>
      <c r="K358" t="s">
        <v>940</v>
      </c>
      <c r="L358" t="s">
        <v>951</v>
      </c>
      <c r="M358" t="s">
        <v>952</v>
      </c>
      <c r="T358" s="34"/>
    </row>
    <row r="359" spans="1:20" x14ac:dyDescent="0.25">
      <c r="A359" t="s">
        <v>618</v>
      </c>
      <c r="B359" t="s">
        <v>616</v>
      </c>
      <c r="C359" t="s">
        <v>23</v>
      </c>
      <c r="D359" t="s">
        <v>14</v>
      </c>
      <c r="E359" t="s">
        <v>13</v>
      </c>
      <c r="F359" s="5">
        <v>189498</v>
      </c>
      <c r="G359" t="s">
        <v>16</v>
      </c>
      <c r="H359" t="s">
        <v>17</v>
      </c>
      <c r="I359" s="5">
        <v>6750</v>
      </c>
      <c r="J359" t="s">
        <v>20</v>
      </c>
      <c r="K359" t="s">
        <v>940</v>
      </c>
      <c r="L359" t="s">
        <v>951</v>
      </c>
      <c r="M359" t="s">
        <v>952</v>
      </c>
      <c r="T359" s="34"/>
    </row>
    <row r="360" spans="1:20" x14ac:dyDescent="0.25">
      <c r="A360" t="s">
        <v>614</v>
      </c>
      <c r="B360" t="s">
        <v>608</v>
      </c>
      <c r="C360" t="s">
        <v>23</v>
      </c>
      <c r="D360" t="s">
        <v>12</v>
      </c>
      <c r="E360" t="s">
        <v>9</v>
      </c>
      <c r="F360" s="5">
        <v>189595</v>
      </c>
      <c r="G360" t="s">
        <v>16</v>
      </c>
      <c r="H360" t="s">
        <v>17</v>
      </c>
      <c r="I360" s="5">
        <v>6750</v>
      </c>
      <c r="J360" t="s">
        <v>20</v>
      </c>
      <c r="K360" t="s">
        <v>940</v>
      </c>
      <c r="L360" t="s">
        <v>957</v>
      </c>
      <c r="M360" t="s">
        <v>958</v>
      </c>
      <c r="T360" s="34"/>
    </row>
    <row r="361" spans="1:20" x14ac:dyDescent="0.25">
      <c r="A361" t="s">
        <v>615</v>
      </c>
      <c r="B361" t="s">
        <v>616</v>
      </c>
      <c r="C361" t="s">
        <v>23</v>
      </c>
      <c r="D361" t="s">
        <v>14</v>
      </c>
      <c r="E361" t="s">
        <v>13</v>
      </c>
      <c r="F361" s="5">
        <v>133376</v>
      </c>
      <c r="G361" t="s">
        <v>16</v>
      </c>
      <c r="H361" t="s">
        <v>17</v>
      </c>
      <c r="I361" s="5">
        <v>6750</v>
      </c>
      <c r="J361" t="s">
        <v>20</v>
      </c>
      <c r="K361" t="s">
        <v>939</v>
      </c>
      <c r="L361" t="s">
        <v>951</v>
      </c>
      <c r="M361" t="s">
        <v>952</v>
      </c>
      <c r="T361" s="34"/>
    </row>
    <row r="362" spans="1:20" x14ac:dyDescent="0.25">
      <c r="A362" t="s">
        <v>605</v>
      </c>
      <c r="B362" t="s">
        <v>606</v>
      </c>
      <c r="C362" t="s">
        <v>23</v>
      </c>
      <c r="D362" t="s">
        <v>8</v>
      </c>
      <c r="E362" t="s">
        <v>9</v>
      </c>
      <c r="F362" s="5">
        <v>134685</v>
      </c>
      <c r="G362" t="s">
        <v>19</v>
      </c>
      <c r="H362" t="s">
        <v>17</v>
      </c>
      <c r="I362" s="5">
        <v>9000</v>
      </c>
      <c r="J362" t="s">
        <v>20</v>
      </c>
      <c r="K362" t="s">
        <v>939</v>
      </c>
      <c r="L362" t="s">
        <v>948</v>
      </c>
      <c r="M362" t="s">
        <v>949</v>
      </c>
      <c r="T362" s="34"/>
    </row>
    <row r="363" spans="1:20" x14ac:dyDescent="0.25">
      <c r="A363" t="s">
        <v>619</v>
      </c>
      <c r="B363" t="s">
        <v>620</v>
      </c>
      <c r="C363" t="s">
        <v>23</v>
      </c>
      <c r="D363" t="s">
        <v>14</v>
      </c>
      <c r="E363" t="s">
        <v>7</v>
      </c>
      <c r="F363" s="5">
        <v>134992</v>
      </c>
      <c r="G363" t="s">
        <v>16</v>
      </c>
      <c r="H363" t="s">
        <v>17</v>
      </c>
      <c r="I363" s="5">
        <v>6750</v>
      </c>
      <c r="J363" t="s">
        <v>20</v>
      </c>
      <c r="K363" t="s">
        <v>939</v>
      </c>
      <c r="L363" t="s">
        <v>951</v>
      </c>
      <c r="M363" t="s">
        <v>952</v>
      </c>
      <c r="T363" s="34"/>
    </row>
    <row r="364" spans="1:20" x14ac:dyDescent="0.25">
      <c r="A364" t="s">
        <v>854</v>
      </c>
      <c r="B364" t="s">
        <v>467</v>
      </c>
      <c r="C364" t="s">
        <v>23</v>
      </c>
      <c r="D364" t="s">
        <v>14</v>
      </c>
      <c r="E364" t="s">
        <v>7</v>
      </c>
      <c r="F364" s="5">
        <v>136786</v>
      </c>
      <c r="G364" t="s">
        <v>19</v>
      </c>
      <c r="H364" t="s">
        <v>17</v>
      </c>
      <c r="I364" s="5">
        <v>9000</v>
      </c>
      <c r="J364" t="s">
        <v>20</v>
      </c>
      <c r="K364" t="s">
        <v>939</v>
      </c>
      <c r="L364" t="s">
        <v>951</v>
      </c>
      <c r="M364" t="s">
        <v>952</v>
      </c>
      <c r="T364" s="34"/>
    </row>
    <row r="365" spans="1:20" x14ac:dyDescent="0.25">
      <c r="A365" t="s">
        <v>555</v>
      </c>
      <c r="B365" t="s">
        <v>556</v>
      </c>
      <c r="C365" t="s">
        <v>23</v>
      </c>
      <c r="D365" t="s">
        <v>14</v>
      </c>
      <c r="E365" t="s">
        <v>13</v>
      </c>
      <c r="F365" s="5">
        <v>137159</v>
      </c>
      <c r="G365" t="s">
        <v>19</v>
      </c>
      <c r="H365" t="s">
        <v>17</v>
      </c>
      <c r="I365" s="5">
        <v>9000</v>
      </c>
      <c r="J365" t="s">
        <v>20</v>
      </c>
      <c r="K365" t="s">
        <v>939</v>
      </c>
      <c r="L365" t="s">
        <v>951</v>
      </c>
      <c r="M365" t="s">
        <v>952</v>
      </c>
      <c r="T365" s="34"/>
    </row>
    <row r="366" spans="1:20" x14ac:dyDescent="0.25">
      <c r="A366" t="s">
        <v>631</v>
      </c>
      <c r="B366" t="s">
        <v>632</v>
      </c>
      <c r="C366" t="s">
        <v>23</v>
      </c>
      <c r="D366" t="s">
        <v>14</v>
      </c>
      <c r="E366" t="s">
        <v>13</v>
      </c>
      <c r="F366" s="5">
        <v>139234</v>
      </c>
      <c r="G366" t="s">
        <v>19</v>
      </c>
      <c r="H366" t="s">
        <v>17</v>
      </c>
      <c r="I366" s="5">
        <v>9000</v>
      </c>
      <c r="J366" t="s">
        <v>20</v>
      </c>
      <c r="K366" t="s">
        <v>939</v>
      </c>
      <c r="L366" t="s">
        <v>951</v>
      </c>
      <c r="M366" t="s">
        <v>952</v>
      </c>
      <c r="T366" s="34"/>
    </row>
    <row r="367" spans="1:20" x14ac:dyDescent="0.25">
      <c r="A367" t="s">
        <v>599</v>
      </c>
      <c r="B367" t="s">
        <v>469</v>
      </c>
      <c r="C367" t="s">
        <v>23</v>
      </c>
      <c r="D367" t="s">
        <v>3</v>
      </c>
      <c r="E367" t="s">
        <v>7</v>
      </c>
      <c r="F367" s="5">
        <v>123978</v>
      </c>
      <c r="G367" t="s">
        <v>19</v>
      </c>
      <c r="H367" t="s">
        <v>17</v>
      </c>
      <c r="I367" s="5">
        <v>9000</v>
      </c>
      <c r="J367" t="s">
        <v>20</v>
      </c>
      <c r="K367" t="s">
        <v>937</v>
      </c>
      <c r="L367" t="s">
        <v>954</v>
      </c>
      <c r="M367" t="s">
        <v>955</v>
      </c>
      <c r="T367" s="34"/>
    </row>
    <row r="368" spans="1:20" x14ac:dyDescent="0.25">
      <c r="A368" t="s">
        <v>848</v>
      </c>
      <c r="B368" t="s">
        <v>435</v>
      </c>
      <c r="C368" t="s">
        <v>23</v>
      </c>
      <c r="D368" t="s">
        <v>8</v>
      </c>
      <c r="E368" t="s">
        <v>13</v>
      </c>
      <c r="F368" s="5">
        <v>124544</v>
      </c>
      <c r="G368" t="s">
        <v>16</v>
      </c>
      <c r="H368" t="s">
        <v>17</v>
      </c>
      <c r="I368" s="5">
        <v>6750</v>
      </c>
      <c r="J368" t="s">
        <v>20</v>
      </c>
      <c r="K368" t="s">
        <v>937</v>
      </c>
      <c r="L368" t="s">
        <v>948</v>
      </c>
      <c r="M368" t="s">
        <v>949</v>
      </c>
      <c r="T368" s="34"/>
    </row>
    <row r="369" spans="1:20" x14ac:dyDescent="0.25">
      <c r="A369" t="s">
        <v>634</v>
      </c>
      <c r="B369" t="s">
        <v>635</v>
      </c>
      <c r="C369" t="s">
        <v>23</v>
      </c>
      <c r="D369" t="s">
        <v>3</v>
      </c>
      <c r="E369" t="s">
        <v>13</v>
      </c>
      <c r="F369" s="5">
        <v>130370</v>
      </c>
      <c r="G369" t="s">
        <v>19</v>
      </c>
      <c r="H369" t="s">
        <v>17</v>
      </c>
      <c r="I369" s="5">
        <v>9000</v>
      </c>
      <c r="J369" t="s">
        <v>20</v>
      </c>
      <c r="K369" t="s">
        <v>939</v>
      </c>
      <c r="L369" t="s">
        <v>954</v>
      </c>
      <c r="M369" t="s">
        <v>955</v>
      </c>
      <c r="T369" s="34"/>
    </row>
    <row r="370" spans="1:20" x14ac:dyDescent="0.25">
      <c r="A370" t="s">
        <v>546</v>
      </c>
      <c r="B370" t="s">
        <v>547</v>
      </c>
      <c r="C370" t="s">
        <v>23</v>
      </c>
      <c r="D370" t="s">
        <v>12</v>
      </c>
      <c r="E370" t="s">
        <v>9</v>
      </c>
      <c r="F370" s="5">
        <v>130746</v>
      </c>
      <c r="G370" t="s">
        <v>16</v>
      </c>
      <c r="H370" t="s">
        <v>17</v>
      </c>
      <c r="I370" s="5">
        <v>6750</v>
      </c>
      <c r="J370" t="s">
        <v>20</v>
      </c>
      <c r="K370" t="s">
        <v>939</v>
      </c>
      <c r="L370" t="s">
        <v>957</v>
      </c>
      <c r="M370" t="s">
        <v>958</v>
      </c>
      <c r="T370" s="34"/>
    </row>
    <row r="371" spans="1:20" x14ac:dyDescent="0.25">
      <c r="A371" t="s">
        <v>519</v>
      </c>
      <c r="B371" t="s">
        <v>520</v>
      </c>
      <c r="C371" t="s">
        <v>23</v>
      </c>
      <c r="D371" t="s">
        <v>12</v>
      </c>
      <c r="E371" t="s">
        <v>4</v>
      </c>
      <c r="F371" s="5">
        <v>131506</v>
      </c>
      <c r="G371" t="s">
        <v>19</v>
      </c>
      <c r="H371" t="s">
        <v>17</v>
      </c>
      <c r="I371" s="5">
        <v>9000</v>
      </c>
      <c r="J371" t="s">
        <v>20</v>
      </c>
      <c r="K371" t="s">
        <v>939</v>
      </c>
      <c r="L371" t="s">
        <v>957</v>
      </c>
      <c r="M371" t="s">
        <v>958</v>
      </c>
      <c r="T371" s="34"/>
    </row>
    <row r="372" spans="1:20" x14ac:dyDescent="0.25">
      <c r="A372" t="s">
        <v>633</v>
      </c>
      <c r="B372" t="s">
        <v>61</v>
      </c>
      <c r="C372" t="s">
        <v>23</v>
      </c>
      <c r="D372" t="s">
        <v>14</v>
      </c>
      <c r="E372" t="s">
        <v>7</v>
      </c>
      <c r="F372" s="5">
        <v>132149</v>
      </c>
      <c r="G372" t="s">
        <v>16</v>
      </c>
      <c r="H372" t="s">
        <v>17</v>
      </c>
      <c r="I372" s="5">
        <v>6750</v>
      </c>
      <c r="J372" t="s">
        <v>20</v>
      </c>
      <c r="K372" t="s">
        <v>939</v>
      </c>
      <c r="L372" t="s">
        <v>951</v>
      </c>
      <c r="M372" t="s">
        <v>952</v>
      </c>
      <c r="T372" s="34"/>
    </row>
    <row r="373" spans="1:20" x14ac:dyDescent="0.25">
      <c r="A373" t="s">
        <v>858</v>
      </c>
      <c r="B373" t="s">
        <v>51</v>
      </c>
      <c r="C373" t="s">
        <v>23</v>
      </c>
      <c r="D373" t="s">
        <v>14</v>
      </c>
      <c r="E373" t="s">
        <v>9</v>
      </c>
      <c r="F373" s="5">
        <v>150783</v>
      </c>
      <c r="G373" t="s">
        <v>16</v>
      </c>
      <c r="H373" t="s">
        <v>17</v>
      </c>
      <c r="I373" s="5">
        <v>6750</v>
      </c>
      <c r="J373" t="s">
        <v>20</v>
      </c>
      <c r="K373" t="s">
        <v>939</v>
      </c>
      <c r="L373" t="s">
        <v>951</v>
      </c>
      <c r="M373" t="s">
        <v>952</v>
      </c>
      <c r="T373" s="34"/>
    </row>
    <row r="374" spans="1:20" x14ac:dyDescent="0.25">
      <c r="A374" t="s">
        <v>840</v>
      </c>
      <c r="B374" t="s">
        <v>841</v>
      </c>
      <c r="C374" t="s">
        <v>23</v>
      </c>
      <c r="D374" t="s">
        <v>8</v>
      </c>
      <c r="E374" t="s">
        <v>7</v>
      </c>
      <c r="F374" s="5">
        <v>152915</v>
      </c>
      <c r="G374" t="s">
        <v>19</v>
      </c>
      <c r="H374" t="s">
        <v>17</v>
      </c>
      <c r="I374" s="5">
        <v>9000</v>
      </c>
      <c r="J374" t="s">
        <v>20</v>
      </c>
      <c r="K374" t="s">
        <v>939</v>
      </c>
      <c r="L374" t="s">
        <v>948</v>
      </c>
      <c r="M374" t="s">
        <v>949</v>
      </c>
      <c r="T374" s="34"/>
    </row>
    <row r="375" spans="1:20" x14ac:dyDescent="0.25">
      <c r="A375" t="s">
        <v>587</v>
      </c>
      <c r="B375" t="s">
        <v>417</v>
      </c>
      <c r="C375" t="s">
        <v>23</v>
      </c>
      <c r="D375" t="s">
        <v>12</v>
      </c>
      <c r="E375" t="s">
        <v>13</v>
      </c>
      <c r="F375" s="5">
        <v>155824</v>
      </c>
      <c r="G375" t="s">
        <v>16</v>
      </c>
      <c r="H375" t="s">
        <v>17</v>
      </c>
      <c r="I375" s="5">
        <v>6750</v>
      </c>
      <c r="J375" t="s">
        <v>20</v>
      </c>
      <c r="K375" t="s">
        <v>939</v>
      </c>
      <c r="L375" t="s">
        <v>957</v>
      </c>
      <c r="M375" t="s">
        <v>958</v>
      </c>
      <c r="T375" s="34"/>
    </row>
    <row r="376" spans="1:20" x14ac:dyDescent="0.25">
      <c r="A376" t="s">
        <v>515</v>
      </c>
      <c r="B376" t="s">
        <v>516</v>
      </c>
      <c r="C376" t="s">
        <v>23</v>
      </c>
      <c r="D376" t="s">
        <v>12</v>
      </c>
      <c r="E376" t="s">
        <v>4</v>
      </c>
      <c r="F376" s="5">
        <v>150608</v>
      </c>
      <c r="G376" t="s">
        <v>16</v>
      </c>
      <c r="H376" t="s">
        <v>17</v>
      </c>
      <c r="I376" s="5">
        <v>6750</v>
      </c>
      <c r="J376" t="s">
        <v>20</v>
      </c>
      <c r="K376" t="s">
        <v>939</v>
      </c>
      <c r="L376" t="s">
        <v>957</v>
      </c>
      <c r="M376" t="s">
        <v>958</v>
      </c>
      <c r="T376" s="34"/>
    </row>
    <row r="377" spans="1:20" x14ac:dyDescent="0.25">
      <c r="A377" t="s">
        <v>527</v>
      </c>
      <c r="B377" t="s">
        <v>528</v>
      </c>
      <c r="C377" t="s">
        <v>23</v>
      </c>
      <c r="D377" t="s">
        <v>11</v>
      </c>
      <c r="E377" t="s">
        <v>13</v>
      </c>
      <c r="F377" s="5">
        <v>156383</v>
      </c>
      <c r="G377" t="s">
        <v>16</v>
      </c>
      <c r="H377" t="s">
        <v>17</v>
      </c>
      <c r="I377" s="5">
        <v>6750</v>
      </c>
      <c r="J377" t="s">
        <v>20</v>
      </c>
      <c r="K377" t="s">
        <v>939</v>
      </c>
      <c r="L377" t="s">
        <v>945</v>
      </c>
      <c r="M377" t="s">
        <v>946</v>
      </c>
      <c r="T377" s="34"/>
    </row>
    <row r="378" spans="1:20" x14ac:dyDescent="0.25">
      <c r="A378" t="s">
        <v>621</v>
      </c>
      <c r="B378" t="s">
        <v>312</v>
      </c>
      <c r="C378" t="s">
        <v>23</v>
      </c>
      <c r="D378" t="s">
        <v>11</v>
      </c>
      <c r="E378" t="s">
        <v>9</v>
      </c>
      <c r="F378" s="5">
        <v>159353</v>
      </c>
      <c r="G378" t="s">
        <v>16</v>
      </c>
      <c r="H378" t="s">
        <v>17</v>
      </c>
      <c r="I378" s="5">
        <v>6750</v>
      </c>
      <c r="J378" t="s">
        <v>20</v>
      </c>
      <c r="K378" t="s">
        <v>939</v>
      </c>
      <c r="L378" t="s">
        <v>945</v>
      </c>
      <c r="M378" t="s">
        <v>946</v>
      </c>
      <c r="T378" s="34"/>
    </row>
    <row r="379" spans="1:20" x14ac:dyDescent="0.25">
      <c r="A379" t="s">
        <v>629</v>
      </c>
      <c r="B379" t="s">
        <v>630</v>
      </c>
      <c r="C379" t="s">
        <v>23</v>
      </c>
      <c r="D379" t="s">
        <v>14</v>
      </c>
      <c r="E379" t="s">
        <v>9</v>
      </c>
      <c r="F379" s="5">
        <v>162363</v>
      </c>
      <c r="G379" t="s">
        <v>19</v>
      </c>
      <c r="H379" t="s">
        <v>17</v>
      </c>
      <c r="I379" s="5">
        <v>9000</v>
      </c>
      <c r="J379" t="s">
        <v>20</v>
      </c>
      <c r="K379" t="s">
        <v>939</v>
      </c>
      <c r="L379" t="s">
        <v>951</v>
      </c>
      <c r="M379" t="s">
        <v>952</v>
      </c>
      <c r="T379" s="34"/>
    </row>
    <row r="380" spans="1:20" x14ac:dyDescent="0.25">
      <c r="A380" t="s">
        <v>508</v>
      </c>
      <c r="B380" t="s">
        <v>509</v>
      </c>
      <c r="C380" t="s">
        <v>23</v>
      </c>
      <c r="D380" t="s">
        <v>8</v>
      </c>
      <c r="E380" t="s">
        <v>13</v>
      </c>
      <c r="F380" s="5">
        <v>142468</v>
      </c>
      <c r="G380" t="s">
        <v>19</v>
      </c>
      <c r="H380" t="s">
        <v>17</v>
      </c>
      <c r="I380" s="5">
        <v>9000</v>
      </c>
      <c r="J380" t="s">
        <v>20</v>
      </c>
      <c r="K380" t="s">
        <v>939</v>
      </c>
      <c r="L380" t="s">
        <v>948</v>
      </c>
      <c r="M380" t="s">
        <v>949</v>
      </c>
      <c r="T380" s="34"/>
    </row>
    <row r="381" spans="1:20" x14ac:dyDescent="0.25">
      <c r="A381" t="s">
        <v>617</v>
      </c>
      <c r="B381" t="s">
        <v>125</v>
      </c>
      <c r="C381" t="s">
        <v>23</v>
      </c>
      <c r="D381" t="s">
        <v>3</v>
      </c>
      <c r="E381" t="s">
        <v>7</v>
      </c>
      <c r="F381" s="5">
        <v>142796</v>
      </c>
      <c r="G381" t="s">
        <v>16</v>
      </c>
      <c r="H381" t="s">
        <v>17</v>
      </c>
      <c r="I381" s="5">
        <v>6750</v>
      </c>
      <c r="J381" t="s">
        <v>20</v>
      </c>
      <c r="K381" t="s">
        <v>939</v>
      </c>
      <c r="L381" t="s">
        <v>954</v>
      </c>
      <c r="M381" t="s">
        <v>955</v>
      </c>
      <c r="T381" s="34"/>
    </row>
    <row r="382" spans="1:20" x14ac:dyDescent="0.25">
      <c r="A382" t="s">
        <v>507</v>
      </c>
      <c r="B382" t="s">
        <v>407</v>
      </c>
      <c r="C382" t="s">
        <v>23</v>
      </c>
      <c r="D382" t="s">
        <v>11</v>
      </c>
      <c r="E382" t="s">
        <v>9</v>
      </c>
      <c r="F382" s="5">
        <v>143492</v>
      </c>
      <c r="G382" t="s">
        <v>19</v>
      </c>
      <c r="H382" t="s">
        <v>17</v>
      </c>
      <c r="I382" s="5">
        <v>9000</v>
      </c>
      <c r="J382" t="s">
        <v>20</v>
      </c>
      <c r="K382" t="s">
        <v>939</v>
      </c>
      <c r="L382" t="s">
        <v>945</v>
      </c>
      <c r="M382" t="s">
        <v>946</v>
      </c>
      <c r="T382" s="34"/>
    </row>
    <row r="383" spans="1:20" x14ac:dyDescent="0.25">
      <c r="A383" t="s">
        <v>623</v>
      </c>
      <c r="B383" t="s">
        <v>624</v>
      </c>
      <c r="C383" t="s">
        <v>23</v>
      </c>
      <c r="D383" t="s">
        <v>12</v>
      </c>
      <c r="E383" t="s">
        <v>9</v>
      </c>
      <c r="F383" s="5">
        <v>145090</v>
      </c>
      <c r="G383" t="s">
        <v>19</v>
      </c>
      <c r="H383" t="s">
        <v>17</v>
      </c>
      <c r="I383" s="5">
        <v>9000</v>
      </c>
      <c r="J383" t="s">
        <v>20</v>
      </c>
      <c r="K383" t="s">
        <v>939</v>
      </c>
      <c r="L383" t="s">
        <v>957</v>
      </c>
      <c r="M383" t="s">
        <v>958</v>
      </c>
      <c r="T383" s="34"/>
    </row>
    <row r="384" spans="1:20" x14ac:dyDescent="0.25">
      <c r="A384" t="s">
        <v>579</v>
      </c>
      <c r="B384" t="s">
        <v>580</v>
      </c>
      <c r="C384" t="s">
        <v>23</v>
      </c>
      <c r="D384" t="s">
        <v>12</v>
      </c>
      <c r="E384" t="s">
        <v>13</v>
      </c>
      <c r="F384" s="5">
        <v>148058</v>
      </c>
      <c r="G384" t="s">
        <v>16</v>
      </c>
      <c r="H384" t="s">
        <v>17</v>
      </c>
      <c r="I384" s="5">
        <v>6750</v>
      </c>
      <c r="J384" t="s">
        <v>20</v>
      </c>
      <c r="K384" t="s">
        <v>939</v>
      </c>
      <c r="L384" t="s">
        <v>957</v>
      </c>
      <c r="M384" t="s">
        <v>958</v>
      </c>
      <c r="T384" s="34"/>
    </row>
    <row r="385" spans="1:20" x14ac:dyDescent="0.25">
      <c r="A385" t="s">
        <v>838</v>
      </c>
      <c r="B385" t="s">
        <v>839</v>
      </c>
      <c r="C385" t="s">
        <v>25</v>
      </c>
      <c r="D385" t="s">
        <v>3</v>
      </c>
      <c r="E385" t="s">
        <v>7</v>
      </c>
      <c r="F385" s="5">
        <v>115842</v>
      </c>
      <c r="G385" t="s">
        <v>19</v>
      </c>
      <c r="H385" t="s">
        <v>17</v>
      </c>
      <c r="I385" s="5">
        <v>9000</v>
      </c>
      <c r="J385" t="s">
        <v>20</v>
      </c>
      <c r="K385" t="s">
        <v>937</v>
      </c>
      <c r="L385" t="s">
        <v>954</v>
      </c>
      <c r="M385" t="s">
        <v>955</v>
      </c>
      <c r="T385" s="34"/>
    </row>
    <row r="386" spans="1:20" x14ac:dyDescent="0.25">
      <c r="A386" t="s">
        <v>868</v>
      </c>
      <c r="B386" t="s">
        <v>869</v>
      </c>
      <c r="C386" t="s">
        <v>25</v>
      </c>
      <c r="D386" t="s">
        <v>3</v>
      </c>
      <c r="E386" t="s">
        <v>4</v>
      </c>
      <c r="F386" s="5">
        <v>141191</v>
      </c>
      <c r="G386" t="s">
        <v>16</v>
      </c>
      <c r="H386" t="s">
        <v>17</v>
      </c>
      <c r="I386" s="5">
        <v>6750</v>
      </c>
      <c r="J386" t="s">
        <v>20</v>
      </c>
      <c r="K386" t="s">
        <v>939</v>
      </c>
      <c r="L386" t="s">
        <v>954</v>
      </c>
      <c r="M386" t="s">
        <v>955</v>
      </c>
      <c r="T386" s="34"/>
    </row>
    <row r="387" spans="1:20" x14ac:dyDescent="0.25">
      <c r="A387" t="s">
        <v>827</v>
      </c>
      <c r="B387" t="s">
        <v>828</v>
      </c>
      <c r="C387" t="s">
        <v>25</v>
      </c>
      <c r="D387" t="s">
        <v>11</v>
      </c>
      <c r="E387" t="s">
        <v>13</v>
      </c>
      <c r="F387" s="5">
        <v>147422</v>
      </c>
      <c r="G387" t="s">
        <v>16</v>
      </c>
      <c r="H387" t="s">
        <v>17</v>
      </c>
      <c r="I387" s="5">
        <v>6750</v>
      </c>
      <c r="J387" t="s">
        <v>20</v>
      </c>
      <c r="K387" t="s">
        <v>939</v>
      </c>
      <c r="L387" t="s">
        <v>945</v>
      </c>
      <c r="M387" t="s">
        <v>946</v>
      </c>
      <c r="T387" s="34"/>
    </row>
    <row r="388" spans="1:20" x14ac:dyDescent="0.25">
      <c r="A388" t="s">
        <v>212</v>
      </c>
      <c r="B388" t="s">
        <v>213</v>
      </c>
      <c r="C388" t="s">
        <v>24</v>
      </c>
      <c r="D388" t="s">
        <v>3</v>
      </c>
      <c r="E388" t="s">
        <v>13</v>
      </c>
      <c r="F388" s="5">
        <v>233215</v>
      </c>
      <c r="G388" t="s">
        <v>6</v>
      </c>
      <c r="H388" t="s">
        <v>10</v>
      </c>
      <c r="I388" s="5">
        <v>2800</v>
      </c>
      <c r="J388" t="s">
        <v>18</v>
      </c>
      <c r="K388" t="s">
        <v>940</v>
      </c>
      <c r="L388" t="s">
        <v>954</v>
      </c>
      <c r="M388" t="s">
        <v>955</v>
      </c>
      <c r="T388" s="34"/>
    </row>
    <row r="389" spans="1:20" x14ac:dyDescent="0.25">
      <c r="A389" t="s">
        <v>438</v>
      </c>
      <c r="B389" t="s">
        <v>439</v>
      </c>
      <c r="C389" t="s">
        <v>24</v>
      </c>
      <c r="D389" t="s">
        <v>3</v>
      </c>
      <c r="E389" t="s">
        <v>7</v>
      </c>
      <c r="F389" s="5">
        <v>216020</v>
      </c>
      <c r="G389" t="s">
        <v>16</v>
      </c>
      <c r="H389" t="s">
        <v>17</v>
      </c>
      <c r="I389" s="5">
        <v>6750</v>
      </c>
      <c r="J389" t="s">
        <v>18</v>
      </c>
      <c r="K389" t="s">
        <v>940</v>
      </c>
      <c r="L389" t="s">
        <v>954</v>
      </c>
      <c r="M389" t="s">
        <v>955</v>
      </c>
      <c r="T389" s="34"/>
    </row>
    <row r="390" spans="1:20" x14ac:dyDescent="0.25">
      <c r="A390" t="s">
        <v>284</v>
      </c>
      <c r="B390" t="s">
        <v>285</v>
      </c>
      <c r="C390" t="s">
        <v>24</v>
      </c>
      <c r="D390" t="s">
        <v>3</v>
      </c>
      <c r="E390" t="s">
        <v>4</v>
      </c>
      <c r="F390" s="5">
        <v>215502</v>
      </c>
      <c r="G390" t="s">
        <v>16</v>
      </c>
      <c r="H390" t="s">
        <v>17</v>
      </c>
      <c r="I390" s="5">
        <v>6750</v>
      </c>
      <c r="J390" t="s">
        <v>18</v>
      </c>
      <c r="K390" t="s">
        <v>940</v>
      </c>
      <c r="L390" t="s">
        <v>954</v>
      </c>
      <c r="M390" t="s">
        <v>955</v>
      </c>
      <c r="T390" s="34"/>
    </row>
    <row r="391" spans="1:20" x14ac:dyDescent="0.25">
      <c r="A391" t="s">
        <v>698</v>
      </c>
      <c r="B391" t="s">
        <v>379</v>
      </c>
      <c r="C391" t="s">
        <v>23</v>
      </c>
      <c r="D391" t="s">
        <v>8</v>
      </c>
      <c r="E391" t="s">
        <v>9</v>
      </c>
      <c r="F391" s="5">
        <v>215291</v>
      </c>
      <c r="G391" t="s">
        <v>16</v>
      </c>
      <c r="H391" t="s">
        <v>10</v>
      </c>
      <c r="I391" s="5">
        <v>4200</v>
      </c>
      <c r="J391" t="s">
        <v>18</v>
      </c>
      <c r="K391" t="s">
        <v>940</v>
      </c>
      <c r="L391" t="s">
        <v>948</v>
      </c>
      <c r="M391" t="s">
        <v>949</v>
      </c>
      <c r="T391" s="34"/>
    </row>
    <row r="392" spans="1:20" x14ac:dyDescent="0.25">
      <c r="A392" t="s">
        <v>703</v>
      </c>
      <c r="B392" t="s">
        <v>704</v>
      </c>
      <c r="C392" t="s">
        <v>23</v>
      </c>
      <c r="D392" t="s">
        <v>3</v>
      </c>
      <c r="E392" t="s">
        <v>7</v>
      </c>
      <c r="F392" s="5">
        <v>214113</v>
      </c>
      <c r="G392" t="s">
        <v>16</v>
      </c>
      <c r="H392" t="s">
        <v>10</v>
      </c>
      <c r="I392" s="5">
        <v>4200</v>
      </c>
      <c r="J392" t="s">
        <v>18</v>
      </c>
      <c r="K392" t="s">
        <v>940</v>
      </c>
      <c r="L392" t="s">
        <v>954</v>
      </c>
      <c r="M392" t="s">
        <v>955</v>
      </c>
      <c r="T392" s="34"/>
    </row>
    <row r="393" spans="1:20" x14ac:dyDescent="0.25">
      <c r="A393" t="s">
        <v>204</v>
      </c>
      <c r="B393" t="s">
        <v>205</v>
      </c>
      <c r="C393" t="s">
        <v>24</v>
      </c>
      <c r="D393" t="s">
        <v>3</v>
      </c>
      <c r="E393" t="s">
        <v>9</v>
      </c>
      <c r="F393" s="5">
        <v>213791</v>
      </c>
      <c r="G393" t="s">
        <v>16</v>
      </c>
      <c r="H393" t="s">
        <v>10</v>
      </c>
      <c r="I393" s="5">
        <v>4200</v>
      </c>
      <c r="J393" t="s">
        <v>18</v>
      </c>
      <c r="K393" t="s">
        <v>940</v>
      </c>
      <c r="L393" t="s">
        <v>954</v>
      </c>
      <c r="M393" t="s">
        <v>955</v>
      </c>
      <c r="T393" s="34"/>
    </row>
    <row r="394" spans="1:20" x14ac:dyDescent="0.25">
      <c r="A394" t="s">
        <v>242</v>
      </c>
      <c r="B394" t="s">
        <v>243</v>
      </c>
      <c r="C394" t="s">
        <v>24</v>
      </c>
      <c r="D394" t="s">
        <v>8</v>
      </c>
      <c r="E394" t="s">
        <v>4</v>
      </c>
      <c r="F394" s="5">
        <v>213025</v>
      </c>
      <c r="G394" t="s">
        <v>16</v>
      </c>
      <c r="H394" t="s">
        <v>10</v>
      </c>
      <c r="I394" s="5">
        <v>4200</v>
      </c>
      <c r="J394" t="s">
        <v>18</v>
      </c>
      <c r="K394" t="s">
        <v>940</v>
      </c>
      <c r="L394" t="s">
        <v>948</v>
      </c>
      <c r="M394" t="s">
        <v>949</v>
      </c>
      <c r="T394" s="34"/>
    </row>
    <row r="395" spans="1:20" x14ac:dyDescent="0.25">
      <c r="A395" t="s">
        <v>256</v>
      </c>
      <c r="B395" t="s">
        <v>257</v>
      </c>
      <c r="C395" t="s">
        <v>24</v>
      </c>
      <c r="D395" t="s">
        <v>8</v>
      </c>
      <c r="E395" t="s">
        <v>13</v>
      </c>
      <c r="F395" s="5">
        <v>212702</v>
      </c>
      <c r="G395" t="s">
        <v>6</v>
      </c>
      <c r="H395" t="s">
        <v>10</v>
      </c>
      <c r="I395" s="5">
        <v>2800</v>
      </c>
      <c r="J395" t="s">
        <v>18</v>
      </c>
      <c r="K395" t="s">
        <v>940</v>
      </c>
      <c r="L395" t="s">
        <v>948</v>
      </c>
      <c r="M395" t="s">
        <v>949</v>
      </c>
      <c r="T395" s="34"/>
    </row>
    <row r="396" spans="1:20" x14ac:dyDescent="0.25">
      <c r="A396" t="s">
        <v>760</v>
      </c>
      <c r="B396" t="s">
        <v>173</v>
      </c>
      <c r="C396" t="s">
        <v>23</v>
      </c>
      <c r="D396" t="s">
        <v>8</v>
      </c>
      <c r="E396" t="s">
        <v>9</v>
      </c>
      <c r="F396" s="5">
        <v>212381</v>
      </c>
      <c r="G396" t="s">
        <v>6</v>
      </c>
      <c r="H396" t="s">
        <v>10</v>
      </c>
      <c r="I396" s="5">
        <v>2800</v>
      </c>
      <c r="J396" t="s">
        <v>18</v>
      </c>
      <c r="K396" t="s">
        <v>940</v>
      </c>
      <c r="L396" t="s">
        <v>948</v>
      </c>
      <c r="M396" t="s">
        <v>949</v>
      </c>
      <c r="T396" s="34"/>
    </row>
    <row r="397" spans="1:20" x14ac:dyDescent="0.25">
      <c r="A397" t="s">
        <v>378</v>
      </c>
      <c r="B397" t="s">
        <v>379</v>
      </c>
      <c r="C397" t="s">
        <v>24</v>
      </c>
      <c r="D397" t="s">
        <v>14</v>
      </c>
      <c r="E397" t="s">
        <v>7</v>
      </c>
      <c r="F397" s="5">
        <v>212073</v>
      </c>
      <c r="G397" t="s">
        <v>19</v>
      </c>
      <c r="H397" t="s">
        <v>17</v>
      </c>
      <c r="I397" s="5">
        <v>9000</v>
      </c>
      <c r="J397" t="s">
        <v>18</v>
      </c>
      <c r="K397" t="s">
        <v>940</v>
      </c>
      <c r="L397" t="s">
        <v>951</v>
      </c>
      <c r="M397" t="s">
        <v>952</v>
      </c>
      <c r="T397" s="34"/>
    </row>
    <row r="398" spans="1:20" x14ac:dyDescent="0.25">
      <c r="A398" t="s">
        <v>382</v>
      </c>
      <c r="B398" t="s">
        <v>383</v>
      </c>
      <c r="C398" t="s">
        <v>24</v>
      </c>
      <c r="D398" t="s">
        <v>3</v>
      </c>
      <c r="E398" t="s">
        <v>4</v>
      </c>
      <c r="F398" s="5">
        <v>211763</v>
      </c>
      <c r="G398" t="s">
        <v>16</v>
      </c>
      <c r="H398" t="s">
        <v>17</v>
      </c>
      <c r="I398" s="5">
        <v>6750</v>
      </c>
      <c r="J398" t="s">
        <v>18</v>
      </c>
      <c r="K398" t="s">
        <v>940</v>
      </c>
      <c r="L398" t="s">
        <v>954</v>
      </c>
      <c r="M398" t="s">
        <v>955</v>
      </c>
      <c r="T398" s="34"/>
    </row>
    <row r="399" spans="1:20" x14ac:dyDescent="0.25">
      <c r="A399" t="s">
        <v>685</v>
      </c>
      <c r="B399" t="s">
        <v>295</v>
      </c>
      <c r="C399" t="s">
        <v>23</v>
      </c>
      <c r="D399" t="s">
        <v>3</v>
      </c>
      <c r="E399" t="s">
        <v>4</v>
      </c>
      <c r="F399" s="5">
        <v>211130</v>
      </c>
      <c r="G399" t="s">
        <v>6</v>
      </c>
      <c r="H399" t="s">
        <v>10</v>
      </c>
      <c r="I399" s="5">
        <v>2800</v>
      </c>
      <c r="J399" t="s">
        <v>18</v>
      </c>
      <c r="K399" t="s">
        <v>940</v>
      </c>
      <c r="L399" t="s">
        <v>954</v>
      </c>
      <c r="M399" t="s">
        <v>955</v>
      </c>
      <c r="T399" s="34"/>
    </row>
    <row r="400" spans="1:20" x14ac:dyDescent="0.25">
      <c r="A400" t="s">
        <v>48</v>
      </c>
      <c r="B400" t="s">
        <v>49</v>
      </c>
      <c r="C400" t="s">
        <v>24</v>
      </c>
      <c r="D400" t="s">
        <v>14</v>
      </c>
      <c r="E400" t="s">
        <v>4</v>
      </c>
      <c r="F400" s="5">
        <v>208587</v>
      </c>
      <c r="G400" t="s">
        <v>16</v>
      </c>
      <c r="H400" t="s">
        <v>10</v>
      </c>
      <c r="I400" s="5">
        <v>4200</v>
      </c>
      <c r="J400" t="s">
        <v>18</v>
      </c>
      <c r="K400" t="s">
        <v>940</v>
      </c>
      <c r="L400" t="s">
        <v>951</v>
      </c>
      <c r="M400" t="s">
        <v>952</v>
      </c>
      <c r="T400" s="34"/>
    </row>
    <row r="401" spans="1:20" x14ac:dyDescent="0.25">
      <c r="A401" t="s">
        <v>521</v>
      </c>
      <c r="B401" t="s">
        <v>522</v>
      </c>
      <c r="C401" t="s">
        <v>23</v>
      </c>
      <c r="D401" t="s">
        <v>11</v>
      </c>
      <c r="E401" t="s">
        <v>4</v>
      </c>
      <c r="F401" s="5">
        <v>208491</v>
      </c>
      <c r="G401" t="s">
        <v>19</v>
      </c>
      <c r="H401" t="s">
        <v>17</v>
      </c>
      <c r="I401" s="5">
        <v>9000</v>
      </c>
      <c r="J401" t="s">
        <v>18</v>
      </c>
      <c r="K401" t="s">
        <v>940</v>
      </c>
      <c r="L401" t="s">
        <v>945</v>
      </c>
      <c r="M401" t="s">
        <v>946</v>
      </c>
      <c r="T401" s="34"/>
    </row>
    <row r="402" spans="1:20" x14ac:dyDescent="0.25">
      <c r="A402" t="s">
        <v>118</v>
      </c>
      <c r="B402" t="s">
        <v>119</v>
      </c>
      <c r="C402" t="s">
        <v>24</v>
      </c>
      <c r="D402" t="s">
        <v>11</v>
      </c>
      <c r="E402" t="s">
        <v>7</v>
      </c>
      <c r="F402" s="5">
        <v>208475</v>
      </c>
      <c r="G402" t="s">
        <v>16</v>
      </c>
      <c r="H402" t="s">
        <v>10</v>
      </c>
      <c r="I402" s="5">
        <v>4200</v>
      </c>
      <c r="J402" t="s">
        <v>18</v>
      </c>
      <c r="K402" t="s">
        <v>940</v>
      </c>
      <c r="L402" t="s">
        <v>945</v>
      </c>
      <c r="M402" t="s">
        <v>946</v>
      </c>
      <c r="T402" s="34"/>
    </row>
    <row r="403" spans="1:20" x14ac:dyDescent="0.25">
      <c r="A403" t="s">
        <v>907</v>
      </c>
      <c r="B403" t="s">
        <v>908</v>
      </c>
      <c r="C403" t="s">
        <v>23</v>
      </c>
      <c r="D403" t="s">
        <v>8</v>
      </c>
      <c r="E403" t="s">
        <v>4</v>
      </c>
      <c r="F403" s="5">
        <v>216538</v>
      </c>
      <c r="G403" t="s">
        <v>6</v>
      </c>
      <c r="H403" t="s">
        <v>5</v>
      </c>
      <c r="I403" s="5">
        <v>1500</v>
      </c>
      <c r="J403" t="s">
        <v>18</v>
      </c>
      <c r="K403" t="s">
        <v>940</v>
      </c>
      <c r="L403" t="s">
        <v>948</v>
      </c>
      <c r="M403" t="s">
        <v>949</v>
      </c>
      <c r="T403" s="34"/>
    </row>
    <row r="404" spans="1:20" x14ac:dyDescent="0.25">
      <c r="A404" t="s">
        <v>228</v>
      </c>
      <c r="B404" t="s">
        <v>229</v>
      </c>
      <c r="C404" t="s">
        <v>24</v>
      </c>
      <c r="D404" t="s">
        <v>11</v>
      </c>
      <c r="E404" t="s">
        <v>7</v>
      </c>
      <c r="F404" s="5">
        <v>208433</v>
      </c>
      <c r="G404" t="s">
        <v>16</v>
      </c>
      <c r="H404" t="s">
        <v>10</v>
      </c>
      <c r="I404" s="5">
        <v>4200</v>
      </c>
      <c r="J404" t="s">
        <v>18</v>
      </c>
      <c r="K404" t="s">
        <v>940</v>
      </c>
      <c r="L404" t="s">
        <v>945</v>
      </c>
      <c r="M404" t="s">
        <v>946</v>
      </c>
      <c r="T404" s="34"/>
    </row>
    <row r="405" spans="1:20" x14ac:dyDescent="0.25">
      <c r="A405" t="s">
        <v>490</v>
      </c>
      <c r="B405" t="s">
        <v>183</v>
      </c>
      <c r="C405" t="s">
        <v>23</v>
      </c>
      <c r="D405" t="s">
        <v>11</v>
      </c>
      <c r="E405" t="s">
        <v>13</v>
      </c>
      <c r="F405" s="5">
        <v>207818</v>
      </c>
      <c r="G405" t="s">
        <v>6</v>
      </c>
      <c r="H405" t="s">
        <v>5</v>
      </c>
      <c r="I405" s="5">
        <v>1500</v>
      </c>
      <c r="J405" t="s">
        <v>18</v>
      </c>
      <c r="K405" t="s">
        <v>940</v>
      </c>
      <c r="L405" t="s">
        <v>945</v>
      </c>
      <c r="M405" t="s">
        <v>946</v>
      </c>
      <c r="T405" s="34"/>
    </row>
    <row r="406" spans="1:20" x14ac:dyDescent="0.25">
      <c r="A406" t="s">
        <v>54</v>
      </c>
      <c r="B406" t="s">
        <v>55</v>
      </c>
      <c r="C406" t="s">
        <v>24</v>
      </c>
      <c r="D406" t="s">
        <v>14</v>
      </c>
      <c r="E406" t="s">
        <v>9</v>
      </c>
      <c r="F406" s="5">
        <v>207664</v>
      </c>
      <c r="G406" t="s">
        <v>6</v>
      </c>
      <c r="H406" t="s">
        <v>10</v>
      </c>
      <c r="I406" s="5">
        <v>2800</v>
      </c>
      <c r="J406" t="s">
        <v>18</v>
      </c>
      <c r="K406" t="s">
        <v>940</v>
      </c>
      <c r="L406" t="s">
        <v>951</v>
      </c>
      <c r="M406" t="s">
        <v>952</v>
      </c>
      <c r="T406" s="34"/>
    </row>
    <row r="407" spans="1:20" x14ac:dyDescent="0.25">
      <c r="A407" t="s">
        <v>324</v>
      </c>
      <c r="B407" t="s">
        <v>325</v>
      </c>
      <c r="C407" t="s">
        <v>24</v>
      </c>
      <c r="D407" t="s">
        <v>11</v>
      </c>
      <c r="E407" t="s">
        <v>4</v>
      </c>
      <c r="F407" s="5">
        <v>206290</v>
      </c>
      <c r="G407" t="s">
        <v>16</v>
      </c>
      <c r="H407" t="s">
        <v>17</v>
      </c>
      <c r="I407" s="5">
        <v>6750</v>
      </c>
      <c r="J407" t="s">
        <v>18</v>
      </c>
      <c r="K407" t="s">
        <v>940</v>
      </c>
      <c r="L407" t="s">
        <v>945</v>
      </c>
      <c r="M407" t="s">
        <v>946</v>
      </c>
      <c r="T407" s="34"/>
    </row>
    <row r="408" spans="1:20" x14ac:dyDescent="0.25">
      <c r="A408" t="s">
        <v>903</v>
      </c>
      <c r="B408" t="s">
        <v>904</v>
      </c>
      <c r="C408" t="s">
        <v>24</v>
      </c>
      <c r="D408" t="s">
        <v>11</v>
      </c>
      <c r="E408" t="s">
        <v>4</v>
      </c>
      <c r="F408" s="5">
        <v>205939</v>
      </c>
      <c r="G408" t="s">
        <v>6</v>
      </c>
      <c r="H408" t="s">
        <v>5</v>
      </c>
      <c r="I408" s="5">
        <v>1500</v>
      </c>
      <c r="J408" t="s">
        <v>18</v>
      </c>
      <c r="K408" t="s">
        <v>940</v>
      </c>
      <c r="L408" t="s">
        <v>945</v>
      </c>
      <c r="M408" t="s">
        <v>946</v>
      </c>
      <c r="T408" s="34"/>
    </row>
    <row r="409" spans="1:20" x14ac:dyDescent="0.25">
      <c r="A409" t="s">
        <v>72</v>
      </c>
      <c r="B409" t="s">
        <v>73</v>
      </c>
      <c r="C409" t="s">
        <v>24</v>
      </c>
      <c r="D409" t="s">
        <v>8</v>
      </c>
      <c r="E409" t="s">
        <v>4</v>
      </c>
      <c r="F409" s="5">
        <v>205736</v>
      </c>
      <c r="G409" t="s">
        <v>6</v>
      </c>
      <c r="H409" t="s">
        <v>10</v>
      </c>
      <c r="I409" s="5">
        <v>2800</v>
      </c>
      <c r="J409" t="s">
        <v>18</v>
      </c>
      <c r="K409" t="s">
        <v>940</v>
      </c>
      <c r="L409" t="s">
        <v>948</v>
      </c>
      <c r="M409" t="s">
        <v>949</v>
      </c>
      <c r="T409" s="34"/>
    </row>
    <row r="410" spans="1:20" x14ac:dyDescent="0.25">
      <c r="A410" t="s">
        <v>398</v>
      </c>
      <c r="B410" t="s">
        <v>399</v>
      </c>
      <c r="C410" t="s">
        <v>24</v>
      </c>
      <c r="D410" t="s">
        <v>3</v>
      </c>
      <c r="E410" t="s">
        <v>7</v>
      </c>
      <c r="F410" s="5">
        <v>204677</v>
      </c>
      <c r="G410" t="s">
        <v>19</v>
      </c>
      <c r="H410" t="s">
        <v>17</v>
      </c>
      <c r="I410" s="5">
        <v>9000</v>
      </c>
      <c r="J410" t="s">
        <v>18</v>
      </c>
      <c r="K410" t="s">
        <v>940</v>
      </c>
      <c r="L410" t="s">
        <v>954</v>
      </c>
      <c r="M410" t="s">
        <v>955</v>
      </c>
      <c r="T410" s="34"/>
    </row>
    <row r="411" spans="1:20" x14ac:dyDescent="0.25">
      <c r="A411" t="s">
        <v>62</v>
      </c>
      <c r="B411" t="s">
        <v>63</v>
      </c>
      <c r="C411" t="s">
        <v>24</v>
      </c>
      <c r="D411" t="s">
        <v>3</v>
      </c>
      <c r="E411" t="s">
        <v>7</v>
      </c>
      <c r="F411" s="5">
        <v>204660</v>
      </c>
      <c r="G411" t="s">
        <v>6</v>
      </c>
      <c r="H411" t="s">
        <v>10</v>
      </c>
      <c r="I411" s="5">
        <v>2800</v>
      </c>
      <c r="J411" t="s">
        <v>18</v>
      </c>
      <c r="K411" t="s">
        <v>940</v>
      </c>
      <c r="L411" t="s">
        <v>954</v>
      </c>
      <c r="M411" t="s">
        <v>955</v>
      </c>
      <c r="T411" s="34"/>
    </row>
    <row r="412" spans="1:20" x14ac:dyDescent="0.25">
      <c r="A412" t="s">
        <v>782</v>
      </c>
      <c r="B412" t="s">
        <v>783</v>
      </c>
      <c r="C412" t="s">
        <v>23</v>
      </c>
      <c r="D412" t="s">
        <v>8</v>
      </c>
      <c r="E412" t="s">
        <v>4</v>
      </c>
      <c r="F412" s="5">
        <v>203393</v>
      </c>
      <c r="G412" t="s">
        <v>16</v>
      </c>
      <c r="H412" t="s">
        <v>10</v>
      </c>
      <c r="I412" s="5">
        <v>4200</v>
      </c>
      <c r="J412" t="s">
        <v>18</v>
      </c>
      <c r="K412" t="s">
        <v>940</v>
      </c>
      <c r="L412" t="s">
        <v>948</v>
      </c>
      <c r="M412" t="s">
        <v>949</v>
      </c>
      <c r="T412" s="34"/>
    </row>
    <row r="413" spans="1:20" x14ac:dyDescent="0.25">
      <c r="A413" t="s">
        <v>915</v>
      </c>
      <c r="B413" t="s">
        <v>916</v>
      </c>
      <c r="C413" t="s">
        <v>23</v>
      </c>
      <c r="D413" t="s">
        <v>12</v>
      </c>
      <c r="E413" t="s">
        <v>7</v>
      </c>
      <c r="F413" s="5">
        <v>202859</v>
      </c>
      <c r="G413" t="s">
        <v>6</v>
      </c>
      <c r="H413" t="s">
        <v>5</v>
      </c>
      <c r="I413" s="5">
        <v>1500</v>
      </c>
      <c r="J413" t="s">
        <v>18</v>
      </c>
      <c r="K413" t="s">
        <v>940</v>
      </c>
      <c r="L413" t="s">
        <v>957</v>
      </c>
      <c r="M413" t="s">
        <v>958</v>
      </c>
      <c r="T413" s="34"/>
    </row>
    <row r="414" spans="1:20" x14ac:dyDescent="0.25">
      <c r="A414" t="s">
        <v>545</v>
      </c>
      <c r="B414" t="s">
        <v>59</v>
      </c>
      <c r="C414" t="s">
        <v>23</v>
      </c>
      <c r="D414" t="s">
        <v>3</v>
      </c>
      <c r="E414" t="s">
        <v>7</v>
      </c>
      <c r="F414" s="5">
        <v>201573</v>
      </c>
      <c r="G414" t="s">
        <v>19</v>
      </c>
      <c r="H414" t="s">
        <v>17</v>
      </c>
      <c r="I414" s="5">
        <v>9000</v>
      </c>
      <c r="J414" t="s">
        <v>18</v>
      </c>
      <c r="K414" t="s">
        <v>940</v>
      </c>
      <c r="L414" t="s">
        <v>954</v>
      </c>
      <c r="M414" t="s">
        <v>955</v>
      </c>
      <c r="T414" s="34"/>
    </row>
    <row r="415" spans="1:20" x14ac:dyDescent="0.25">
      <c r="A415" t="s">
        <v>58</v>
      </c>
      <c r="B415" t="s">
        <v>59</v>
      </c>
      <c r="C415" t="s">
        <v>24</v>
      </c>
      <c r="D415" t="s">
        <v>12</v>
      </c>
      <c r="E415" t="s">
        <v>13</v>
      </c>
      <c r="F415" s="5">
        <v>201153</v>
      </c>
      <c r="G415" t="s">
        <v>6</v>
      </c>
      <c r="H415" t="s">
        <v>10</v>
      </c>
      <c r="I415" s="5">
        <v>2800</v>
      </c>
      <c r="J415" t="s">
        <v>18</v>
      </c>
      <c r="K415" t="s">
        <v>940</v>
      </c>
      <c r="L415" t="s">
        <v>957</v>
      </c>
      <c r="M415" t="s">
        <v>958</v>
      </c>
      <c r="T415" s="34"/>
    </row>
    <row r="416" spans="1:20" x14ac:dyDescent="0.25">
      <c r="A416" t="s">
        <v>200</v>
      </c>
      <c r="B416" t="s">
        <v>201</v>
      </c>
      <c r="C416" t="s">
        <v>24</v>
      </c>
      <c r="D416" t="s">
        <v>12</v>
      </c>
      <c r="E416" t="s">
        <v>4</v>
      </c>
      <c r="F416" s="5">
        <v>201137</v>
      </c>
      <c r="G416" t="s">
        <v>16</v>
      </c>
      <c r="H416" t="s">
        <v>10</v>
      </c>
      <c r="I416" s="5">
        <v>4200</v>
      </c>
      <c r="J416" t="s">
        <v>18</v>
      </c>
      <c r="K416" t="s">
        <v>940</v>
      </c>
      <c r="L416" t="s">
        <v>957</v>
      </c>
      <c r="M416" t="s">
        <v>958</v>
      </c>
      <c r="T416" s="34"/>
    </row>
    <row r="417" spans="1:20" x14ac:dyDescent="0.25">
      <c r="A417" t="s">
        <v>692</v>
      </c>
      <c r="B417" t="s">
        <v>693</v>
      </c>
      <c r="C417" t="s">
        <v>23</v>
      </c>
      <c r="D417" t="s">
        <v>12</v>
      </c>
      <c r="E417" t="s">
        <v>4</v>
      </c>
      <c r="F417" s="5">
        <v>200723</v>
      </c>
      <c r="G417" t="s">
        <v>16</v>
      </c>
      <c r="H417" t="s">
        <v>10</v>
      </c>
      <c r="I417" s="5">
        <v>4200</v>
      </c>
      <c r="J417" t="s">
        <v>18</v>
      </c>
      <c r="K417" t="s">
        <v>940</v>
      </c>
      <c r="L417" t="s">
        <v>957</v>
      </c>
      <c r="M417" t="s">
        <v>958</v>
      </c>
      <c r="T417" s="34"/>
    </row>
    <row r="418" spans="1:20" x14ac:dyDescent="0.25">
      <c r="A418" t="s">
        <v>561</v>
      </c>
      <c r="B418" t="s">
        <v>221</v>
      </c>
      <c r="C418" t="s">
        <v>23</v>
      </c>
      <c r="D418" t="s">
        <v>8</v>
      </c>
      <c r="E418" t="s">
        <v>13</v>
      </c>
      <c r="F418" s="5">
        <v>200063</v>
      </c>
      <c r="G418" t="s">
        <v>19</v>
      </c>
      <c r="H418" t="s">
        <v>17</v>
      </c>
      <c r="I418" s="5">
        <v>9000</v>
      </c>
      <c r="J418" t="s">
        <v>18</v>
      </c>
      <c r="K418" t="s">
        <v>940</v>
      </c>
      <c r="L418" t="s">
        <v>948</v>
      </c>
      <c r="M418" t="s">
        <v>949</v>
      </c>
      <c r="T418" s="34"/>
    </row>
    <row r="419" spans="1:20" x14ac:dyDescent="0.25">
      <c r="A419" t="s">
        <v>671</v>
      </c>
      <c r="B419" t="s">
        <v>672</v>
      </c>
      <c r="C419" t="s">
        <v>23</v>
      </c>
      <c r="D419" t="s">
        <v>3</v>
      </c>
      <c r="E419" t="s">
        <v>4</v>
      </c>
      <c r="F419" s="5">
        <v>208256</v>
      </c>
      <c r="G419" t="s">
        <v>6</v>
      </c>
      <c r="H419" t="s">
        <v>10</v>
      </c>
      <c r="I419" s="5">
        <v>2800</v>
      </c>
      <c r="J419" t="s">
        <v>18</v>
      </c>
      <c r="K419" t="s">
        <v>940</v>
      </c>
      <c r="L419" t="s">
        <v>954</v>
      </c>
      <c r="M419" t="s">
        <v>955</v>
      </c>
      <c r="T419" s="34"/>
    </row>
    <row r="420" spans="1:20" x14ac:dyDescent="0.25">
      <c r="A420" t="s">
        <v>794</v>
      </c>
      <c r="B420" t="s">
        <v>795</v>
      </c>
      <c r="C420" t="s">
        <v>23</v>
      </c>
      <c r="D420" t="s">
        <v>8</v>
      </c>
      <c r="E420" t="s">
        <v>13</v>
      </c>
      <c r="F420" s="5">
        <v>216714</v>
      </c>
      <c r="G420" t="s">
        <v>6</v>
      </c>
      <c r="H420" t="s">
        <v>10</v>
      </c>
      <c r="I420" s="5">
        <v>2800</v>
      </c>
      <c r="J420" t="s">
        <v>18</v>
      </c>
      <c r="K420" t="s">
        <v>940</v>
      </c>
      <c r="L420" t="s">
        <v>948</v>
      </c>
      <c r="M420" t="s">
        <v>949</v>
      </c>
      <c r="T420" s="34"/>
    </row>
    <row r="421" spans="1:20" x14ac:dyDescent="0.25">
      <c r="A421" t="s">
        <v>315</v>
      </c>
      <c r="B421" t="s">
        <v>316</v>
      </c>
      <c r="C421" t="s">
        <v>24</v>
      </c>
      <c r="D421" t="s">
        <v>11</v>
      </c>
      <c r="E421" t="s">
        <v>4</v>
      </c>
      <c r="F421" s="5">
        <v>205865</v>
      </c>
      <c r="G421" t="s">
        <v>16</v>
      </c>
      <c r="H421" t="s">
        <v>17</v>
      </c>
      <c r="I421" s="5">
        <v>6750</v>
      </c>
      <c r="J421" t="s">
        <v>18</v>
      </c>
      <c r="K421" t="s">
        <v>940</v>
      </c>
      <c r="L421" t="s">
        <v>945</v>
      </c>
      <c r="M421" t="s">
        <v>946</v>
      </c>
      <c r="T421" s="34"/>
    </row>
    <row r="422" spans="1:20" x14ac:dyDescent="0.25">
      <c r="A422" t="s">
        <v>124</v>
      </c>
      <c r="B422" t="s">
        <v>125</v>
      </c>
      <c r="C422" t="s">
        <v>24</v>
      </c>
      <c r="D422" t="s">
        <v>11</v>
      </c>
      <c r="E422" t="s">
        <v>7</v>
      </c>
      <c r="F422" s="5">
        <v>217944</v>
      </c>
      <c r="G422" t="s">
        <v>16</v>
      </c>
      <c r="H422" t="s">
        <v>10</v>
      </c>
      <c r="I422" s="5">
        <v>4200</v>
      </c>
      <c r="J422" t="s">
        <v>18</v>
      </c>
      <c r="K422" t="s">
        <v>940</v>
      </c>
      <c r="L422" t="s">
        <v>945</v>
      </c>
      <c r="M422" t="s">
        <v>946</v>
      </c>
      <c r="T422" s="34"/>
    </row>
    <row r="423" spans="1:20" x14ac:dyDescent="0.25">
      <c r="A423" t="s">
        <v>120</v>
      </c>
      <c r="B423" t="s">
        <v>121</v>
      </c>
      <c r="C423" t="s">
        <v>24</v>
      </c>
      <c r="D423" t="s">
        <v>8</v>
      </c>
      <c r="E423" t="s">
        <v>9</v>
      </c>
      <c r="F423" s="5">
        <v>217318</v>
      </c>
      <c r="G423" t="s">
        <v>16</v>
      </c>
      <c r="H423" t="s">
        <v>10</v>
      </c>
      <c r="I423" s="5">
        <v>4200</v>
      </c>
      <c r="J423" t="s">
        <v>18</v>
      </c>
      <c r="K423" t="s">
        <v>940</v>
      </c>
      <c r="L423" t="s">
        <v>948</v>
      </c>
      <c r="M423" t="s">
        <v>949</v>
      </c>
      <c r="T423" s="34"/>
    </row>
    <row r="424" spans="1:20" x14ac:dyDescent="0.25">
      <c r="A424" t="s">
        <v>534</v>
      </c>
      <c r="B424" t="s">
        <v>535</v>
      </c>
      <c r="C424" t="s">
        <v>23</v>
      </c>
      <c r="D424" t="s">
        <v>3</v>
      </c>
      <c r="E424" t="s">
        <v>7</v>
      </c>
      <c r="F424" s="5">
        <v>233195</v>
      </c>
      <c r="G424" t="s">
        <v>19</v>
      </c>
      <c r="H424" t="s">
        <v>17</v>
      </c>
      <c r="I424" s="5">
        <v>9000</v>
      </c>
      <c r="J424" t="s">
        <v>18</v>
      </c>
      <c r="K424" t="s">
        <v>940</v>
      </c>
      <c r="L424" t="s">
        <v>954</v>
      </c>
      <c r="M424" t="s">
        <v>955</v>
      </c>
      <c r="T424" s="34"/>
    </row>
    <row r="425" spans="1:20" x14ac:dyDescent="0.25">
      <c r="A425" t="s">
        <v>749</v>
      </c>
      <c r="B425" t="s">
        <v>750</v>
      </c>
      <c r="C425" t="s">
        <v>23</v>
      </c>
      <c r="D425" t="s">
        <v>12</v>
      </c>
      <c r="E425" t="s">
        <v>4</v>
      </c>
      <c r="F425" s="5">
        <v>232995</v>
      </c>
      <c r="G425" t="s">
        <v>6</v>
      </c>
      <c r="H425" t="s">
        <v>10</v>
      </c>
      <c r="I425" s="5">
        <v>2800</v>
      </c>
      <c r="J425" t="s">
        <v>18</v>
      </c>
      <c r="K425" t="s">
        <v>940</v>
      </c>
      <c r="L425" t="s">
        <v>957</v>
      </c>
      <c r="M425" t="s">
        <v>958</v>
      </c>
      <c r="T425" s="34"/>
    </row>
    <row r="426" spans="1:20" x14ac:dyDescent="0.25">
      <c r="A426" t="s">
        <v>887</v>
      </c>
      <c r="B426" t="s">
        <v>888</v>
      </c>
      <c r="C426" t="s">
        <v>24</v>
      </c>
      <c r="D426" t="s">
        <v>12</v>
      </c>
      <c r="E426" t="s">
        <v>7</v>
      </c>
      <c r="F426" s="5">
        <v>231719</v>
      </c>
      <c r="G426" t="s">
        <v>19</v>
      </c>
      <c r="H426" t="s">
        <v>17</v>
      </c>
      <c r="I426" s="5">
        <v>9000</v>
      </c>
      <c r="J426" t="s">
        <v>18</v>
      </c>
      <c r="K426" t="s">
        <v>940</v>
      </c>
      <c r="L426" t="s">
        <v>957</v>
      </c>
      <c r="M426" t="s">
        <v>958</v>
      </c>
      <c r="T426" s="34"/>
    </row>
    <row r="427" spans="1:20" x14ac:dyDescent="0.25">
      <c r="A427" t="s">
        <v>406</v>
      </c>
      <c r="B427" t="s">
        <v>407</v>
      </c>
      <c r="C427" t="s">
        <v>24</v>
      </c>
      <c r="D427" t="s">
        <v>14</v>
      </c>
      <c r="E427" t="s">
        <v>4</v>
      </c>
      <c r="F427" s="5">
        <v>231891</v>
      </c>
      <c r="G427" t="s">
        <v>19</v>
      </c>
      <c r="H427" t="s">
        <v>17</v>
      </c>
      <c r="I427" s="5">
        <v>9000</v>
      </c>
      <c r="J427" t="s">
        <v>18</v>
      </c>
      <c r="K427" t="s">
        <v>940</v>
      </c>
      <c r="L427" t="s">
        <v>951</v>
      </c>
      <c r="M427" t="s">
        <v>952</v>
      </c>
      <c r="T427" s="34"/>
    </row>
    <row r="428" spans="1:20" x14ac:dyDescent="0.25">
      <c r="A428" t="s">
        <v>372</v>
      </c>
      <c r="B428" t="s">
        <v>373</v>
      </c>
      <c r="C428" t="s">
        <v>24</v>
      </c>
      <c r="D428" t="s">
        <v>14</v>
      </c>
      <c r="E428" t="s">
        <v>9</v>
      </c>
      <c r="F428" s="5">
        <v>230356</v>
      </c>
      <c r="G428" t="s">
        <v>19</v>
      </c>
      <c r="H428" t="s">
        <v>17</v>
      </c>
      <c r="I428" s="5">
        <v>9000</v>
      </c>
      <c r="J428" t="s">
        <v>18</v>
      </c>
      <c r="K428" t="s">
        <v>940</v>
      </c>
      <c r="L428" t="s">
        <v>951</v>
      </c>
      <c r="M428" t="s">
        <v>952</v>
      </c>
      <c r="T428" s="34"/>
    </row>
    <row r="429" spans="1:20" x14ac:dyDescent="0.25">
      <c r="A429" t="s">
        <v>523</v>
      </c>
      <c r="B429" t="s">
        <v>524</v>
      </c>
      <c r="C429" t="s">
        <v>23</v>
      </c>
      <c r="D429" t="s">
        <v>12</v>
      </c>
      <c r="E429" t="s">
        <v>13</v>
      </c>
      <c r="F429" s="5">
        <v>230246</v>
      </c>
      <c r="G429" t="s">
        <v>19</v>
      </c>
      <c r="H429" t="s">
        <v>17</v>
      </c>
      <c r="I429" s="5">
        <v>9000</v>
      </c>
      <c r="J429" t="s">
        <v>18</v>
      </c>
      <c r="K429" t="s">
        <v>940</v>
      </c>
      <c r="L429" t="s">
        <v>957</v>
      </c>
      <c r="M429" t="s">
        <v>958</v>
      </c>
      <c r="T429" s="34"/>
    </row>
    <row r="430" spans="1:20" x14ac:dyDescent="0.25">
      <c r="A430" t="s">
        <v>495</v>
      </c>
      <c r="B430" t="s">
        <v>496</v>
      </c>
      <c r="C430" t="s">
        <v>23</v>
      </c>
      <c r="D430" t="s">
        <v>11</v>
      </c>
      <c r="E430" t="s">
        <v>7</v>
      </c>
      <c r="F430" s="5">
        <v>230037</v>
      </c>
      <c r="G430" t="s">
        <v>6</v>
      </c>
      <c r="H430" t="s">
        <v>5</v>
      </c>
      <c r="I430" s="5">
        <v>1500</v>
      </c>
      <c r="J430" t="s">
        <v>18</v>
      </c>
      <c r="K430" t="s">
        <v>940</v>
      </c>
      <c r="L430" t="s">
        <v>945</v>
      </c>
      <c r="M430" t="s">
        <v>946</v>
      </c>
      <c r="T430" s="34"/>
    </row>
    <row r="431" spans="1:20" x14ac:dyDescent="0.25">
      <c r="A431" t="s">
        <v>296</v>
      </c>
      <c r="B431" t="s">
        <v>297</v>
      </c>
      <c r="C431" t="s">
        <v>24</v>
      </c>
      <c r="D431" t="s">
        <v>3</v>
      </c>
      <c r="E431" t="s">
        <v>4</v>
      </c>
      <c r="F431" s="5">
        <v>229658</v>
      </c>
      <c r="G431" t="s">
        <v>16</v>
      </c>
      <c r="H431" t="s">
        <v>17</v>
      </c>
      <c r="I431" s="5">
        <v>6750</v>
      </c>
      <c r="J431" t="s">
        <v>18</v>
      </c>
      <c r="K431" t="s">
        <v>940</v>
      </c>
      <c r="L431" t="s">
        <v>954</v>
      </c>
      <c r="M431" t="s">
        <v>955</v>
      </c>
      <c r="T431" s="34"/>
    </row>
    <row r="432" spans="1:20" x14ac:dyDescent="0.25">
      <c r="A432" t="s">
        <v>116</v>
      </c>
      <c r="B432" t="s">
        <v>117</v>
      </c>
      <c r="C432" t="s">
        <v>24</v>
      </c>
      <c r="D432" t="s">
        <v>3</v>
      </c>
      <c r="E432" t="s">
        <v>9</v>
      </c>
      <c r="F432" s="5">
        <v>229027</v>
      </c>
      <c r="G432" t="s">
        <v>6</v>
      </c>
      <c r="H432" t="s">
        <v>10</v>
      </c>
      <c r="I432" s="5">
        <v>2800</v>
      </c>
      <c r="J432" t="s">
        <v>18</v>
      </c>
      <c r="K432" t="s">
        <v>940</v>
      </c>
      <c r="L432" t="s">
        <v>954</v>
      </c>
      <c r="M432" t="s">
        <v>955</v>
      </c>
      <c r="T432" s="34"/>
    </row>
    <row r="433" spans="1:20" x14ac:dyDescent="0.25">
      <c r="A433" t="s">
        <v>801</v>
      </c>
      <c r="B433" t="s">
        <v>802</v>
      </c>
      <c r="C433" t="s">
        <v>23</v>
      </c>
      <c r="D433" t="s">
        <v>11</v>
      </c>
      <c r="E433" t="s">
        <v>4</v>
      </c>
      <c r="F433" s="5">
        <v>228135</v>
      </c>
      <c r="G433" t="s">
        <v>16</v>
      </c>
      <c r="H433" t="s">
        <v>10</v>
      </c>
      <c r="I433" s="5">
        <v>4200</v>
      </c>
      <c r="J433" t="s">
        <v>18</v>
      </c>
      <c r="K433" t="s">
        <v>940</v>
      </c>
      <c r="L433" t="s">
        <v>945</v>
      </c>
      <c r="M433" t="s">
        <v>946</v>
      </c>
      <c r="T433" s="34"/>
    </row>
    <row r="434" spans="1:20" x14ac:dyDescent="0.25">
      <c r="A434" t="s">
        <v>885</v>
      </c>
      <c r="B434" t="s">
        <v>886</v>
      </c>
      <c r="C434" t="s">
        <v>24</v>
      </c>
      <c r="D434" t="s">
        <v>11</v>
      </c>
      <c r="E434" t="s">
        <v>7</v>
      </c>
      <c r="F434" s="5">
        <v>227991</v>
      </c>
      <c r="G434" t="s">
        <v>16</v>
      </c>
      <c r="H434" t="s">
        <v>17</v>
      </c>
      <c r="I434" s="5">
        <v>6750</v>
      </c>
      <c r="J434" t="s">
        <v>18</v>
      </c>
      <c r="K434" t="s">
        <v>940</v>
      </c>
      <c r="L434" t="s">
        <v>945</v>
      </c>
      <c r="M434" t="s">
        <v>946</v>
      </c>
      <c r="T434" s="34"/>
    </row>
    <row r="435" spans="1:20" x14ac:dyDescent="0.25">
      <c r="A435" t="s">
        <v>110</v>
      </c>
      <c r="B435" t="s">
        <v>111</v>
      </c>
      <c r="C435" t="s">
        <v>24</v>
      </c>
      <c r="D435" t="s">
        <v>8</v>
      </c>
      <c r="E435" t="s">
        <v>13</v>
      </c>
      <c r="F435" s="5">
        <v>227850</v>
      </c>
      <c r="G435" t="s">
        <v>6</v>
      </c>
      <c r="H435" t="s">
        <v>10</v>
      </c>
      <c r="I435" s="5">
        <v>2800</v>
      </c>
      <c r="J435" t="s">
        <v>18</v>
      </c>
      <c r="K435" t="s">
        <v>940</v>
      </c>
      <c r="L435" t="s">
        <v>948</v>
      </c>
      <c r="M435" t="s">
        <v>949</v>
      </c>
      <c r="T435" s="34"/>
    </row>
    <row r="436" spans="1:20" x14ac:dyDescent="0.25">
      <c r="A436" t="s">
        <v>90</v>
      </c>
      <c r="B436" t="s">
        <v>91</v>
      </c>
      <c r="C436" t="s">
        <v>24</v>
      </c>
      <c r="D436" t="s">
        <v>12</v>
      </c>
      <c r="E436" t="s">
        <v>9</v>
      </c>
      <c r="F436" s="5">
        <v>227693</v>
      </c>
      <c r="G436" t="s">
        <v>6</v>
      </c>
      <c r="H436" t="s">
        <v>10</v>
      </c>
      <c r="I436" s="5">
        <v>2800</v>
      </c>
      <c r="J436" t="s">
        <v>18</v>
      </c>
      <c r="K436" t="s">
        <v>940</v>
      </c>
      <c r="L436" t="s">
        <v>957</v>
      </c>
      <c r="M436" t="s">
        <v>958</v>
      </c>
      <c r="T436" s="34"/>
    </row>
    <row r="437" spans="1:20" x14ac:dyDescent="0.25">
      <c r="A437" t="s">
        <v>926</v>
      </c>
      <c r="B437" t="s">
        <v>927</v>
      </c>
      <c r="C437" t="s">
        <v>23</v>
      </c>
      <c r="D437" t="s">
        <v>12</v>
      </c>
      <c r="E437" t="s">
        <v>9</v>
      </c>
      <c r="F437" s="5">
        <v>227525</v>
      </c>
      <c r="G437" t="s">
        <v>6</v>
      </c>
      <c r="H437" t="s">
        <v>5</v>
      </c>
      <c r="I437" s="5">
        <v>1500</v>
      </c>
      <c r="J437" t="s">
        <v>18</v>
      </c>
      <c r="K437" t="s">
        <v>940</v>
      </c>
      <c r="L437" t="s">
        <v>957</v>
      </c>
      <c r="M437" t="s">
        <v>958</v>
      </c>
      <c r="T437" s="34"/>
    </row>
    <row r="438" spans="1:20" x14ac:dyDescent="0.25">
      <c r="A438" t="s">
        <v>288</v>
      </c>
      <c r="B438" t="s">
        <v>289</v>
      </c>
      <c r="C438" t="s">
        <v>24</v>
      </c>
      <c r="D438" t="s">
        <v>11</v>
      </c>
      <c r="E438" t="s">
        <v>9</v>
      </c>
      <c r="F438" s="5">
        <v>230347</v>
      </c>
      <c r="G438" t="s">
        <v>19</v>
      </c>
      <c r="H438" t="s">
        <v>17</v>
      </c>
      <c r="I438" s="5">
        <v>9000</v>
      </c>
      <c r="J438" t="s">
        <v>18</v>
      </c>
      <c r="K438" t="s">
        <v>940</v>
      </c>
      <c r="L438" t="s">
        <v>945</v>
      </c>
      <c r="M438" t="s">
        <v>946</v>
      </c>
      <c r="T438" s="34"/>
    </row>
    <row r="439" spans="1:20" x14ac:dyDescent="0.25">
      <c r="A439" t="s">
        <v>216</v>
      </c>
      <c r="B439" t="s">
        <v>217</v>
      </c>
      <c r="C439" t="s">
        <v>24</v>
      </c>
      <c r="D439" t="s">
        <v>12</v>
      </c>
      <c r="E439" t="s">
        <v>9</v>
      </c>
      <c r="F439" s="5">
        <v>226509</v>
      </c>
      <c r="G439" t="s">
        <v>6</v>
      </c>
      <c r="H439" t="s">
        <v>10</v>
      </c>
      <c r="I439" s="5">
        <v>2800</v>
      </c>
      <c r="J439" t="s">
        <v>18</v>
      </c>
      <c r="K439" t="s">
        <v>940</v>
      </c>
      <c r="L439" t="s">
        <v>957</v>
      </c>
      <c r="M439" t="s">
        <v>958</v>
      </c>
      <c r="T439" s="34"/>
    </row>
    <row r="440" spans="1:20" x14ac:dyDescent="0.25">
      <c r="A440" t="s">
        <v>432</v>
      </c>
      <c r="B440" t="s">
        <v>433</v>
      </c>
      <c r="C440" t="s">
        <v>24</v>
      </c>
      <c r="D440" t="s">
        <v>11</v>
      </c>
      <c r="E440" t="s">
        <v>4</v>
      </c>
      <c r="F440" s="5">
        <v>218888</v>
      </c>
      <c r="G440" t="s">
        <v>16</v>
      </c>
      <c r="H440" t="s">
        <v>17</v>
      </c>
      <c r="I440" s="5">
        <v>6750</v>
      </c>
      <c r="J440" t="s">
        <v>18</v>
      </c>
      <c r="K440" t="s">
        <v>940</v>
      </c>
      <c r="L440" t="s">
        <v>945</v>
      </c>
      <c r="M440" t="s">
        <v>946</v>
      </c>
      <c r="T440" s="34"/>
    </row>
    <row r="441" spans="1:20" x14ac:dyDescent="0.25">
      <c r="A441" t="s">
        <v>342</v>
      </c>
      <c r="B441" t="s">
        <v>343</v>
      </c>
      <c r="C441" t="s">
        <v>24</v>
      </c>
      <c r="D441" t="s">
        <v>14</v>
      </c>
      <c r="E441" t="s">
        <v>4</v>
      </c>
      <c r="F441" s="5">
        <v>226630</v>
      </c>
      <c r="G441" t="s">
        <v>19</v>
      </c>
      <c r="H441" t="s">
        <v>17</v>
      </c>
      <c r="I441" s="5">
        <v>9000</v>
      </c>
      <c r="J441" t="s">
        <v>18</v>
      </c>
      <c r="K441" t="s">
        <v>940</v>
      </c>
      <c r="L441" t="s">
        <v>951</v>
      </c>
      <c r="M441" t="s">
        <v>952</v>
      </c>
      <c r="T441" s="34"/>
    </row>
    <row r="442" spans="1:20" x14ac:dyDescent="0.25">
      <c r="A442" t="s">
        <v>472</v>
      </c>
      <c r="B442" t="s">
        <v>347</v>
      </c>
      <c r="C442" t="s">
        <v>24</v>
      </c>
      <c r="D442" t="s">
        <v>14</v>
      </c>
      <c r="E442" t="s">
        <v>4</v>
      </c>
      <c r="F442" s="5">
        <v>219877</v>
      </c>
      <c r="G442" t="s">
        <v>6</v>
      </c>
      <c r="H442" t="s">
        <v>5</v>
      </c>
      <c r="I442" s="5">
        <v>1500</v>
      </c>
      <c r="J442" t="s">
        <v>18</v>
      </c>
      <c r="K442" t="s">
        <v>940</v>
      </c>
      <c r="L442" t="s">
        <v>951</v>
      </c>
      <c r="M442" t="s">
        <v>952</v>
      </c>
      <c r="T442" s="34"/>
    </row>
    <row r="443" spans="1:20" x14ac:dyDescent="0.25">
      <c r="A443" t="s">
        <v>609</v>
      </c>
      <c r="B443" t="s">
        <v>153</v>
      </c>
      <c r="C443" t="s">
        <v>23</v>
      </c>
      <c r="D443" t="s">
        <v>12</v>
      </c>
      <c r="E443" t="s">
        <v>7</v>
      </c>
      <c r="F443" s="5">
        <v>220034</v>
      </c>
      <c r="G443" t="s">
        <v>16</v>
      </c>
      <c r="H443" t="s">
        <v>17</v>
      </c>
      <c r="I443" s="5">
        <v>6750</v>
      </c>
      <c r="J443" t="s">
        <v>18</v>
      </c>
      <c r="K443" t="s">
        <v>940</v>
      </c>
      <c r="L443" t="s">
        <v>957</v>
      </c>
      <c r="M443" t="s">
        <v>958</v>
      </c>
      <c r="T443" s="34"/>
    </row>
    <row r="444" spans="1:20" x14ac:dyDescent="0.25">
      <c r="A444" t="s">
        <v>468</v>
      </c>
      <c r="B444" t="s">
        <v>469</v>
      </c>
      <c r="C444" t="s">
        <v>24</v>
      </c>
      <c r="D444" t="s">
        <v>12</v>
      </c>
      <c r="E444" t="s">
        <v>4</v>
      </c>
      <c r="F444" s="5">
        <v>220569</v>
      </c>
      <c r="G444" t="s">
        <v>6</v>
      </c>
      <c r="H444" t="s">
        <v>5</v>
      </c>
      <c r="I444" s="5">
        <v>1500</v>
      </c>
      <c r="J444" t="s">
        <v>18</v>
      </c>
      <c r="K444" t="s">
        <v>940</v>
      </c>
      <c r="L444" t="s">
        <v>957</v>
      </c>
      <c r="M444" t="s">
        <v>958</v>
      </c>
      <c r="T444" s="34"/>
    </row>
    <row r="445" spans="1:20" x14ac:dyDescent="0.25">
      <c r="A445" t="s">
        <v>734</v>
      </c>
      <c r="B445" t="s">
        <v>735</v>
      </c>
      <c r="C445" t="s">
        <v>23</v>
      </c>
      <c r="D445" t="s">
        <v>11</v>
      </c>
      <c r="E445" t="s">
        <v>13</v>
      </c>
      <c r="F445" s="5">
        <v>221665</v>
      </c>
      <c r="G445" t="s">
        <v>6</v>
      </c>
      <c r="H445" t="s">
        <v>10</v>
      </c>
      <c r="I445" s="5">
        <v>2800</v>
      </c>
      <c r="J445" t="s">
        <v>18</v>
      </c>
      <c r="K445" t="s">
        <v>940</v>
      </c>
      <c r="L445" t="s">
        <v>945</v>
      </c>
      <c r="M445" t="s">
        <v>946</v>
      </c>
      <c r="T445" s="34"/>
    </row>
    <row r="446" spans="1:20" x14ac:dyDescent="0.25">
      <c r="A446" t="s">
        <v>321</v>
      </c>
      <c r="B446" t="s">
        <v>322</v>
      </c>
      <c r="C446" t="s">
        <v>24</v>
      </c>
      <c r="D446" t="s">
        <v>11</v>
      </c>
      <c r="E446" t="s">
        <v>7</v>
      </c>
      <c r="F446" s="5">
        <v>221962</v>
      </c>
      <c r="G446" t="s">
        <v>19</v>
      </c>
      <c r="H446" t="s">
        <v>17</v>
      </c>
      <c r="I446" s="5">
        <v>9000</v>
      </c>
      <c r="J446" t="s">
        <v>18</v>
      </c>
      <c r="K446" t="s">
        <v>940</v>
      </c>
      <c r="L446" t="s">
        <v>945</v>
      </c>
      <c r="M446" t="s">
        <v>946</v>
      </c>
      <c r="T446" s="34"/>
    </row>
    <row r="447" spans="1:20" x14ac:dyDescent="0.25">
      <c r="A447" t="s">
        <v>649</v>
      </c>
      <c r="B447" t="s">
        <v>514</v>
      </c>
      <c r="C447" t="s">
        <v>23</v>
      </c>
      <c r="D447" t="s">
        <v>14</v>
      </c>
      <c r="E447" t="s">
        <v>7</v>
      </c>
      <c r="F447" s="5">
        <v>221535</v>
      </c>
      <c r="G447" t="s">
        <v>16</v>
      </c>
      <c r="H447" t="s">
        <v>17</v>
      </c>
      <c r="I447" s="5">
        <v>6750</v>
      </c>
      <c r="J447" t="s">
        <v>18</v>
      </c>
      <c r="K447" t="s">
        <v>940</v>
      </c>
      <c r="L447" t="s">
        <v>951</v>
      </c>
      <c r="M447" t="s">
        <v>952</v>
      </c>
      <c r="T447" s="34"/>
    </row>
    <row r="448" spans="1:20" x14ac:dyDescent="0.25">
      <c r="A448" t="s">
        <v>80</v>
      </c>
      <c r="B448" t="s">
        <v>81</v>
      </c>
      <c r="C448" t="s">
        <v>24</v>
      </c>
      <c r="D448" t="s">
        <v>14</v>
      </c>
      <c r="E448" t="s">
        <v>13</v>
      </c>
      <c r="F448" s="5">
        <v>223502</v>
      </c>
      <c r="G448" t="s">
        <v>16</v>
      </c>
      <c r="H448" t="s">
        <v>10</v>
      </c>
      <c r="I448" s="5">
        <v>4200</v>
      </c>
      <c r="J448" t="s">
        <v>18</v>
      </c>
      <c r="K448" t="s">
        <v>940</v>
      </c>
      <c r="L448" t="s">
        <v>951</v>
      </c>
      <c r="M448" t="s">
        <v>952</v>
      </c>
      <c r="T448" s="34"/>
    </row>
    <row r="449" spans="1:20" x14ac:dyDescent="0.25">
      <c r="A449" t="s">
        <v>709</v>
      </c>
      <c r="B449" t="s">
        <v>710</v>
      </c>
      <c r="C449" t="s">
        <v>23</v>
      </c>
      <c r="D449" t="s">
        <v>12</v>
      </c>
      <c r="E449" t="s">
        <v>4</v>
      </c>
      <c r="F449" s="5">
        <v>223993</v>
      </c>
      <c r="G449" t="s">
        <v>6</v>
      </c>
      <c r="H449" t="s">
        <v>10</v>
      </c>
      <c r="I449" s="5">
        <v>2800</v>
      </c>
      <c r="J449" t="s">
        <v>18</v>
      </c>
      <c r="K449" t="s">
        <v>940</v>
      </c>
      <c r="L449" t="s">
        <v>957</v>
      </c>
      <c r="M449" t="s">
        <v>958</v>
      </c>
      <c r="T449" s="34"/>
    </row>
    <row r="450" spans="1:20" x14ac:dyDescent="0.25">
      <c r="A450" t="s">
        <v>174</v>
      </c>
      <c r="B450" t="s">
        <v>175</v>
      </c>
      <c r="C450" t="s">
        <v>24</v>
      </c>
      <c r="D450" t="s">
        <v>12</v>
      </c>
      <c r="E450" t="s">
        <v>13</v>
      </c>
      <c r="F450" s="5">
        <v>225865</v>
      </c>
      <c r="G450" t="s">
        <v>6</v>
      </c>
      <c r="H450" t="s">
        <v>10</v>
      </c>
      <c r="I450" s="5">
        <v>2800</v>
      </c>
      <c r="J450" t="s">
        <v>18</v>
      </c>
      <c r="K450" t="s">
        <v>940</v>
      </c>
      <c r="L450" t="s">
        <v>957</v>
      </c>
      <c r="M450" t="s">
        <v>958</v>
      </c>
      <c r="T450" s="34"/>
    </row>
    <row r="451" spans="1:20" x14ac:dyDescent="0.25">
      <c r="A451" t="s">
        <v>647</v>
      </c>
      <c r="B451" t="s">
        <v>648</v>
      </c>
      <c r="C451" t="s">
        <v>23</v>
      </c>
      <c r="D451" t="s">
        <v>12</v>
      </c>
      <c r="E451" t="s">
        <v>7</v>
      </c>
      <c r="F451" s="5">
        <v>224282</v>
      </c>
      <c r="G451" t="s">
        <v>16</v>
      </c>
      <c r="H451" t="s">
        <v>17</v>
      </c>
      <c r="I451" s="5">
        <v>6750</v>
      </c>
      <c r="J451" t="s">
        <v>18</v>
      </c>
      <c r="K451" t="s">
        <v>940</v>
      </c>
      <c r="L451" t="s">
        <v>957</v>
      </c>
      <c r="M451" t="s">
        <v>958</v>
      </c>
      <c r="T451" s="34"/>
    </row>
    <row r="452" spans="1:20" x14ac:dyDescent="0.25">
      <c r="A452" t="s">
        <v>463</v>
      </c>
      <c r="B452" t="s">
        <v>407</v>
      </c>
      <c r="C452" t="s">
        <v>24</v>
      </c>
      <c r="D452" t="s">
        <v>11</v>
      </c>
      <c r="E452" t="s">
        <v>13</v>
      </c>
      <c r="F452" s="5">
        <v>224907</v>
      </c>
      <c r="G452" t="s">
        <v>6</v>
      </c>
      <c r="H452" t="s">
        <v>5</v>
      </c>
      <c r="I452" s="5">
        <v>1500</v>
      </c>
      <c r="J452" t="s">
        <v>18</v>
      </c>
      <c r="K452" t="s">
        <v>940</v>
      </c>
      <c r="L452" t="s">
        <v>945</v>
      </c>
      <c r="M452" t="s">
        <v>946</v>
      </c>
      <c r="T452" s="34"/>
    </row>
    <row r="453" spans="1:20" x14ac:dyDescent="0.25">
      <c r="A453" t="s">
        <v>761</v>
      </c>
      <c r="B453" t="s">
        <v>308</v>
      </c>
      <c r="C453" t="s">
        <v>23</v>
      </c>
      <c r="D453" t="s">
        <v>12</v>
      </c>
      <c r="E453" t="s">
        <v>9</v>
      </c>
      <c r="F453" s="5">
        <v>222870</v>
      </c>
      <c r="G453" t="s">
        <v>16</v>
      </c>
      <c r="H453" t="s">
        <v>10</v>
      </c>
      <c r="I453" s="5">
        <v>4200</v>
      </c>
      <c r="J453" t="s">
        <v>18</v>
      </c>
      <c r="K453" t="s">
        <v>940</v>
      </c>
      <c r="L453" t="s">
        <v>957</v>
      </c>
      <c r="M453" t="s">
        <v>958</v>
      </c>
      <c r="T453" s="34"/>
    </row>
    <row r="454" spans="1:20" x14ac:dyDescent="0.25">
      <c r="A454" t="s">
        <v>540</v>
      </c>
      <c r="B454" t="s">
        <v>351</v>
      </c>
      <c r="C454" t="s">
        <v>23</v>
      </c>
      <c r="D454" t="s">
        <v>3</v>
      </c>
      <c r="E454" t="s">
        <v>4</v>
      </c>
      <c r="F454" s="5">
        <v>225488</v>
      </c>
      <c r="G454" t="s">
        <v>19</v>
      </c>
      <c r="H454" t="s">
        <v>17</v>
      </c>
      <c r="I454" s="5">
        <v>9000</v>
      </c>
      <c r="J454" t="s">
        <v>18</v>
      </c>
      <c r="K454" t="s">
        <v>940</v>
      </c>
      <c r="L454" t="s">
        <v>954</v>
      </c>
      <c r="M454" t="s">
        <v>955</v>
      </c>
      <c r="T454" s="34"/>
    </row>
    <row r="455" spans="1:20" x14ac:dyDescent="0.25">
      <c r="A455" t="s">
        <v>583</v>
      </c>
      <c r="B455" t="s">
        <v>584</v>
      </c>
      <c r="C455" t="s">
        <v>23</v>
      </c>
      <c r="D455" t="s">
        <v>14</v>
      </c>
      <c r="E455" t="s">
        <v>13</v>
      </c>
      <c r="F455" s="5">
        <v>43125</v>
      </c>
      <c r="G455" t="s">
        <v>19</v>
      </c>
      <c r="H455" t="s">
        <v>17</v>
      </c>
      <c r="I455" s="5">
        <v>9000</v>
      </c>
      <c r="J455" t="s">
        <v>21</v>
      </c>
      <c r="K455" t="s">
        <v>938</v>
      </c>
      <c r="L455" t="s">
        <v>951</v>
      </c>
      <c r="M455" t="s">
        <v>952</v>
      </c>
      <c r="T455" s="34"/>
    </row>
    <row r="456" spans="1:20" x14ac:dyDescent="0.25">
      <c r="A456" t="s">
        <v>374</v>
      </c>
      <c r="B456" t="s">
        <v>375</v>
      </c>
      <c r="C456" t="s">
        <v>24</v>
      </c>
      <c r="D456" t="s">
        <v>11</v>
      </c>
      <c r="E456" t="s">
        <v>4</v>
      </c>
      <c r="F456" s="5">
        <v>40308</v>
      </c>
      <c r="G456" t="s">
        <v>19</v>
      </c>
      <c r="H456" t="s">
        <v>17</v>
      </c>
      <c r="I456" s="5">
        <v>9000</v>
      </c>
      <c r="J456" t="s">
        <v>21</v>
      </c>
      <c r="K456" t="s">
        <v>938</v>
      </c>
      <c r="L456" t="s">
        <v>945</v>
      </c>
      <c r="M456" t="s">
        <v>946</v>
      </c>
      <c r="T456" s="34"/>
    </row>
    <row r="457" spans="1:20" x14ac:dyDescent="0.25">
      <c r="A457" t="s">
        <v>88</v>
      </c>
      <c r="B457" t="s">
        <v>89</v>
      </c>
      <c r="C457" t="s">
        <v>24</v>
      </c>
      <c r="D457" t="s">
        <v>14</v>
      </c>
      <c r="E457" t="s">
        <v>7</v>
      </c>
      <c r="F457" s="5">
        <v>42931</v>
      </c>
      <c r="G457" t="s">
        <v>16</v>
      </c>
      <c r="H457" t="s">
        <v>10</v>
      </c>
      <c r="I457" s="5">
        <v>4200</v>
      </c>
      <c r="J457" t="s">
        <v>21</v>
      </c>
      <c r="K457" t="s">
        <v>938</v>
      </c>
      <c r="L457" t="s">
        <v>951</v>
      </c>
      <c r="M457" t="s">
        <v>952</v>
      </c>
      <c r="T457" s="34"/>
    </row>
    <row r="458" spans="1:20" x14ac:dyDescent="0.25">
      <c r="A458" t="s">
        <v>491</v>
      </c>
      <c r="B458" t="s">
        <v>492</v>
      </c>
      <c r="C458" t="s">
        <v>23</v>
      </c>
      <c r="D458" t="s">
        <v>14</v>
      </c>
      <c r="E458" t="s">
        <v>7</v>
      </c>
      <c r="F458" s="5">
        <v>41582</v>
      </c>
      <c r="G458" t="s">
        <v>6</v>
      </c>
      <c r="H458" t="s">
        <v>5</v>
      </c>
      <c r="I458" s="5">
        <v>1500</v>
      </c>
      <c r="J458" t="s">
        <v>21</v>
      </c>
      <c r="K458" t="s">
        <v>938</v>
      </c>
      <c r="L458" t="s">
        <v>951</v>
      </c>
      <c r="M458" t="s">
        <v>952</v>
      </c>
      <c r="T458" s="34"/>
    </row>
    <row r="459" spans="1:20" x14ac:dyDescent="0.25">
      <c r="A459" t="s">
        <v>763</v>
      </c>
      <c r="B459" t="s">
        <v>764</v>
      </c>
      <c r="C459" t="s">
        <v>23</v>
      </c>
      <c r="D459" t="s">
        <v>14</v>
      </c>
      <c r="E459" t="s">
        <v>13</v>
      </c>
      <c r="F459" s="5">
        <v>41493</v>
      </c>
      <c r="G459" t="s">
        <v>16</v>
      </c>
      <c r="H459" t="s">
        <v>10</v>
      </c>
      <c r="I459" s="5">
        <v>4200</v>
      </c>
      <c r="J459" t="s">
        <v>21</v>
      </c>
      <c r="K459" t="s">
        <v>938</v>
      </c>
      <c r="L459" t="s">
        <v>951</v>
      </c>
      <c r="M459" t="s">
        <v>952</v>
      </c>
      <c r="T459" s="34"/>
    </row>
    <row r="460" spans="1:20" x14ac:dyDescent="0.25">
      <c r="A460" t="s">
        <v>602</v>
      </c>
      <c r="B460" t="s">
        <v>603</v>
      </c>
      <c r="C460" t="s">
        <v>23</v>
      </c>
      <c r="D460" t="s">
        <v>14</v>
      </c>
      <c r="E460" t="s">
        <v>4</v>
      </c>
      <c r="F460" s="5">
        <v>41245</v>
      </c>
      <c r="G460" t="s">
        <v>16</v>
      </c>
      <c r="H460" t="s">
        <v>17</v>
      </c>
      <c r="I460" s="5">
        <v>6750</v>
      </c>
      <c r="J460" t="s">
        <v>21</v>
      </c>
      <c r="K460" t="s">
        <v>938</v>
      </c>
      <c r="L460" t="s">
        <v>951</v>
      </c>
      <c r="M460" t="s">
        <v>952</v>
      </c>
      <c r="T460" s="34"/>
    </row>
    <row r="461" spans="1:20" x14ac:dyDescent="0.25">
      <c r="A461" t="s">
        <v>716</v>
      </c>
      <c r="B461" t="s">
        <v>542</v>
      </c>
      <c r="C461" t="s">
        <v>23</v>
      </c>
      <c r="D461" t="s">
        <v>8</v>
      </c>
      <c r="E461" t="s">
        <v>7</v>
      </c>
      <c r="F461" s="5">
        <v>41056</v>
      </c>
      <c r="G461" t="s">
        <v>6</v>
      </c>
      <c r="H461" t="s">
        <v>10</v>
      </c>
      <c r="I461" s="5">
        <v>2800</v>
      </c>
      <c r="J461" t="s">
        <v>21</v>
      </c>
      <c r="K461" t="s">
        <v>938</v>
      </c>
      <c r="L461" t="s">
        <v>948</v>
      </c>
      <c r="M461" t="s">
        <v>949</v>
      </c>
      <c r="T461" s="34"/>
    </row>
    <row r="462" spans="1:20" x14ac:dyDescent="0.25">
      <c r="A462" t="s">
        <v>443</v>
      </c>
      <c r="B462" t="s">
        <v>444</v>
      </c>
      <c r="C462" t="s">
        <v>24</v>
      </c>
      <c r="D462" t="s">
        <v>3</v>
      </c>
      <c r="E462" t="s">
        <v>7</v>
      </c>
      <c r="F462" s="5">
        <v>37523</v>
      </c>
      <c r="G462" t="s">
        <v>6</v>
      </c>
      <c r="H462" t="s">
        <v>5</v>
      </c>
      <c r="I462" s="5">
        <v>1500</v>
      </c>
      <c r="J462" t="s">
        <v>21</v>
      </c>
      <c r="K462" t="s">
        <v>938</v>
      </c>
      <c r="L462" t="s">
        <v>954</v>
      </c>
      <c r="M462" t="s">
        <v>955</v>
      </c>
      <c r="T462" s="34"/>
    </row>
    <row r="463" spans="1:20" x14ac:dyDescent="0.25">
      <c r="A463" t="s">
        <v>550</v>
      </c>
      <c r="B463" t="s">
        <v>551</v>
      </c>
      <c r="C463" t="s">
        <v>23</v>
      </c>
      <c r="D463" t="s">
        <v>14</v>
      </c>
      <c r="E463" t="s">
        <v>9</v>
      </c>
      <c r="F463" s="5">
        <v>38431</v>
      </c>
      <c r="G463" t="s">
        <v>16</v>
      </c>
      <c r="H463" t="s">
        <v>17</v>
      </c>
      <c r="I463" s="5">
        <v>6750</v>
      </c>
      <c r="J463" t="s">
        <v>21</v>
      </c>
      <c r="K463" t="s">
        <v>938</v>
      </c>
      <c r="L463" t="s">
        <v>951</v>
      </c>
      <c r="M463" t="s">
        <v>952</v>
      </c>
      <c r="T463" s="34"/>
    </row>
    <row r="464" spans="1:20" x14ac:dyDescent="0.25">
      <c r="A464" t="s">
        <v>810</v>
      </c>
      <c r="B464" t="s">
        <v>394</v>
      </c>
      <c r="C464" t="s">
        <v>23</v>
      </c>
      <c r="D464" t="s">
        <v>14</v>
      </c>
      <c r="E464" t="s">
        <v>7</v>
      </c>
      <c r="F464" s="5">
        <v>39433</v>
      </c>
      <c r="G464" t="s">
        <v>6</v>
      </c>
      <c r="H464" t="s">
        <v>10</v>
      </c>
      <c r="I464" s="5">
        <v>2800</v>
      </c>
      <c r="J464" t="s">
        <v>21</v>
      </c>
      <c r="K464" t="s">
        <v>938</v>
      </c>
      <c r="L464" t="s">
        <v>951</v>
      </c>
      <c r="M464" t="s">
        <v>952</v>
      </c>
      <c r="T464" s="34"/>
    </row>
    <row r="465" spans="1:20" x14ac:dyDescent="0.25">
      <c r="A465" t="s">
        <v>659</v>
      </c>
      <c r="B465" t="s">
        <v>660</v>
      </c>
      <c r="C465" t="s">
        <v>23</v>
      </c>
      <c r="D465" t="s">
        <v>11</v>
      </c>
      <c r="E465" t="s">
        <v>7</v>
      </c>
      <c r="F465" s="5">
        <v>39385</v>
      </c>
      <c r="G465" t="s">
        <v>16</v>
      </c>
      <c r="H465" t="s">
        <v>10</v>
      </c>
      <c r="I465" s="5">
        <v>4200</v>
      </c>
      <c r="J465" t="s">
        <v>21</v>
      </c>
      <c r="K465" t="s">
        <v>938</v>
      </c>
      <c r="L465" t="s">
        <v>945</v>
      </c>
      <c r="M465" t="s">
        <v>946</v>
      </c>
      <c r="T465" s="34"/>
    </row>
    <row r="466" spans="1:20" x14ac:dyDescent="0.25">
      <c r="A466" t="s">
        <v>122</v>
      </c>
      <c r="B466" t="s">
        <v>123</v>
      </c>
      <c r="C466" t="s">
        <v>24</v>
      </c>
      <c r="D466" t="s">
        <v>8</v>
      </c>
      <c r="E466" t="s">
        <v>9</v>
      </c>
      <c r="F466" s="5">
        <v>39239</v>
      </c>
      <c r="G466" t="s">
        <v>6</v>
      </c>
      <c r="H466" t="s">
        <v>10</v>
      </c>
      <c r="I466" s="5">
        <v>2800</v>
      </c>
      <c r="J466" t="s">
        <v>21</v>
      </c>
      <c r="K466" t="s">
        <v>938</v>
      </c>
      <c r="L466" t="s">
        <v>948</v>
      </c>
      <c r="M466" t="s">
        <v>949</v>
      </c>
      <c r="T466" s="34"/>
    </row>
    <row r="467" spans="1:20" x14ac:dyDescent="0.25">
      <c r="A467" t="s">
        <v>311</v>
      </c>
      <c r="B467" t="s">
        <v>312</v>
      </c>
      <c r="C467" t="s">
        <v>24</v>
      </c>
      <c r="D467" t="s">
        <v>12</v>
      </c>
      <c r="E467" t="s">
        <v>4</v>
      </c>
      <c r="F467" s="5">
        <v>38263</v>
      </c>
      <c r="G467" t="s">
        <v>16</v>
      </c>
      <c r="H467" t="s">
        <v>17</v>
      </c>
      <c r="I467" s="5">
        <v>9000</v>
      </c>
      <c r="J467" t="s">
        <v>21</v>
      </c>
      <c r="K467" t="s">
        <v>938</v>
      </c>
      <c r="L467" t="s">
        <v>957</v>
      </c>
      <c r="M467" t="s">
        <v>958</v>
      </c>
      <c r="T467" s="34"/>
    </row>
    <row r="468" spans="1:20" x14ac:dyDescent="0.25">
      <c r="A468" t="s">
        <v>600</v>
      </c>
      <c r="B468" t="s">
        <v>601</v>
      </c>
      <c r="C468" t="s">
        <v>23</v>
      </c>
      <c r="D468" t="s">
        <v>3</v>
      </c>
      <c r="E468" t="s">
        <v>9</v>
      </c>
      <c r="F468" s="5">
        <v>38235</v>
      </c>
      <c r="G468" t="s">
        <v>16</v>
      </c>
      <c r="H468" t="s">
        <v>17</v>
      </c>
      <c r="I468" s="5">
        <v>6750</v>
      </c>
      <c r="J468" t="s">
        <v>21</v>
      </c>
      <c r="K468" t="s">
        <v>938</v>
      </c>
      <c r="L468" t="s">
        <v>954</v>
      </c>
      <c r="M468" t="s">
        <v>955</v>
      </c>
      <c r="T468" s="34"/>
    </row>
    <row r="469" spans="1:20" x14ac:dyDescent="0.25">
      <c r="A469" t="s">
        <v>790</v>
      </c>
      <c r="B469" t="s">
        <v>791</v>
      </c>
      <c r="C469" t="s">
        <v>23</v>
      </c>
      <c r="D469" t="s">
        <v>11</v>
      </c>
      <c r="E469" t="s">
        <v>13</v>
      </c>
      <c r="F469" s="5">
        <v>37654</v>
      </c>
      <c r="G469" t="s">
        <v>6</v>
      </c>
      <c r="H469" t="s">
        <v>10</v>
      </c>
      <c r="I469" s="5">
        <v>2800</v>
      </c>
      <c r="J469" t="s">
        <v>21</v>
      </c>
      <c r="K469" t="s">
        <v>938</v>
      </c>
      <c r="L469" t="s">
        <v>945</v>
      </c>
      <c r="M469" t="s">
        <v>946</v>
      </c>
      <c r="T469" s="34"/>
    </row>
    <row r="470" spans="1:20" x14ac:dyDescent="0.25">
      <c r="A470" t="s">
        <v>756</v>
      </c>
      <c r="B470" t="s">
        <v>757</v>
      </c>
      <c r="C470" t="s">
        <v>23</v>
      </c>
      <c r="D470" t="s">
        <v>14</v>
      </c>
      <c r="E470" t="s">
        <v>7</v>
      </c>
      <c r="F470" s="5">
        <v>43201</v>
      </c>
      <c r="G470" t="s">
        <v>16</v>
      </c>
      <c r="H470" t="s">
        <v>10</v>
      </c>
      <c r="I470" s="5">
        <v>4200</v>
      </c>
      <c r="J470" t="s">
        <v>21</v>
      </c>
      <c r="K470" t="s">
        <v>938</v>
      </c>
      <c r="L470" t="s">
        <v>951</v>
      </c>
      <c r="M470" t="s">
        <v>952</v>
      </c>
      <c r="T470" s="34"/>
    </row>
    <row r="471" spans="1:20" x14ac:dyDescent="0.25">
      <c r="A471" t="s">
        <v>740</v>
      </c>
      <c r="B471" t="s">
        <v>741</v>
      </c>
      <c r="C471" t="s">
        <v>23</v>
      </c>
      <c r="D471" t="s">
        <v>11</v>
      </c>
      <c r="E471" t="s">
        <v>7</v>
      </c>
      <c r="F471" s="5">
        <v>39481</v>
      </c>
      <c r="G471" t="s">
        <v>6</v>
      </c>
      <c r="H471" t="s">
        <v>10</v>
      </c>
      <c r="I471" s="5">
        <v>2800</v>
      </c>
      <c r="J471" t="s">
        <v>21</v>
      </c>
      <c r="K471" t="s">
        <v>938</v>
      </c>
      <c r="L471" t="s">
        <v>945</v>
      </c>
      <c r="M471" t="s">
        <v>946</v>
      </c>
      <c r="T471" s="34"/>
    </row>
    <row r="472" spans="1:20" x14ac:dyDescent="0.25">
      <c r="A472" t="s">
        <v>76</v>
      </c>
      <c r="B472" t="s">
        <v>77</v>
      </c>
      <c r="C472" t="s">
        <v>24</v>
      </c>
      <c r="D472" t="s">
        <v>12</v>
      </c>
      <c r="E472" t="s">
        <v>9</v>
      </c>
      <c r="F472" s="5">
        <v>43238</v>
      </c>
      <c r="G472" t="s">
        <v>16</v>
      </c>
      <c r="H472" t="s">
        <v>10</v>
      </c>
      <c r="I472" s="5">
        <v>4200</v>
      </c>
      <c r="J472" t="s">
        <v>21</v>
      </c>
      <c r="K472" t="s">
        <v>938</v>
      </c>
      <c r="L472" t="s">
        <v>957</v>
      </c>
      <c r="M472" t="s">
        <v>958</v>
      </c>
      <c r="T472" s="34"/>
    </row>
    <row r="473" spans="1:20" x14ac:dyDescent="0.25">
      <c r="A473" t="s">
        <v>697</v>
      </c>
      <c r="B473" t="s">
        <v>532</v>
      </c>
      <c r="C473" t="s">
        <v>23</v>
      </c>
      <c r="D473" t="s">
        <v>8</v>
      </c>
      <c r="E473" t="s">
        <v>4</v>
      </c>
      <c r="F473" s="5">
        <v>47960</v>
      </c>
      <c r="G473" t="s">
        <v>16</v>
      </c>
      <c r="H473" t="s">
        <v>10</v>
      </c>
      <c r="I473" s="5">
        <v>4200</v>
      </c>
      <c r="J473" t="s">
        <v>21</v>
      </c>
      <c r="K473" t="s">
        <v>938</v>
      </c>
      <c r="L473" t="s">
        <v>948</v>
      </c>
      <c r="M473" t="s">
        <v>949</v>
      </c>
      <c r="T473" s="34"/>
    </row>
    <row r="474" spans="1:20" x14ac:dyDescent="0.25">
      <c r="A474" t="s">
        <v>590</v>
      </c>
      <c r="B474" t="s">
        <v>591</v>
      </c>
      <c r="C474" t="s">
        <v>23</v>
      </c>
      <c r="D474" t="s">
        <v>14</v>
      </c>
      <c r="E474" t="s">
        <v>7</v>
      </c>
      <c r="F474" s="5">
        <v>44207</v>
      </c>
      <c r="G474" t="s">
        <v>19</v>
      </c>
      <c r="H474" t="s">
        <v>17</v>
      </c>
      <c r="I474" s="5">
        <v>9000</v>
      </c>
      <c r="J474" t="s">
        <v>21</v>
      </c>
      <c r="K474" t="s">
        <v>938</v>
      </c>
      <c r="L474" t="s">
        <v>951</v>
      </c>
      <c r="M474" t="s">
        <v>952</v>
      </c>
      <c r="T474" s="34"/>
    </row>
    <row r="475" spans="1:20" x14ac:dyDescent="0.25">
      <c r="A475" t="s">
        <v>517</v>
      </c>
      <c r="B475" t="s">
        <v>518</v>
      </c>
      <c r="C475" t="s">
        <v>23</v>
      </c>
      <c r="D475" t="s">
        <v>12</v>
      </c>
      <c r="E475" t="s">
        <v>7</v>
      </c>
      <c r="F475" s="5">
        <v>37141</v>
      </c>
      <c r="G475" t="s">
        <v>19</v>
      </c>
      <c r="H475" t="s">
        <v>17</v>
      </c>
      <c r="I475" s="5">
        <v>9000</v>
      </c>
      <c r="J475" t="s">
        <v>21</v>
      </c>
      <c r="K475" t="s">
        <v>938</v>
      </c>
      <c r="L475" t="s">
        <v>957</v>
      </c>
      <c r="M475" t="s">
        <v>958</v>
      </c>
      <c r="T475" s="34"/>
    </row>
    <row r="476" spans="1:20" x14ac:dyDescent="0.25">
      <c r="A476" t="s">
        <v>440</v>
      </c>
      <c r="B476" t="s">
        <v>441</v>
      </c>
      <c r="C476" t="s">
        <v>24</v>
      </c>
      <c r="D476" t="s">
        <v>14</v>
      </c>
      <c r="E476" t="s">
        <v>7</v>
      </c>
      <c r="F476" s="5">
        <v>49858</v>
      </c>
      <c r="G476" t="s">
        <v>19</v>
      </c>
      <c r="H476" t="s">
        <v>17</v>
      </c>
      <c r="I476" s="5">
        <v>9000</v>
      </c>
      <c r="J476" t="s">
        <v>21</v>
      </c>
      <c r="K476" t="s">
        <v>938</v>
      </c>
      <c r="L476" t="s">
        <v>951</v>
      </c>
      <c r="M476" t="s">
        <v>952</v>
      </c>
      <c r="T476" s="34"/>
    </row>
    <row r="477" spans="1:20" x14ac:dyDescent="0.25">
      <c r="A477" t="s">
        <v>244</v>
      </c>
      <c r="B477" t="s">
        <v>245</v>
      </c>
      <c r="C477" t="s">
        <v>24</v>
      </c>
      <c r="D477" t="s">
        <v>12</v>
      </c>
      <c r="E477" t="s">
        <v>13</v>
      </c>
      <c r="F477" s="5">
        <v>49413</v>
      </c>
      <c r="G477" t="s">
        <v>6</v>
      </c>
      <c r="H477" t="s">
        <v>10</v>
      </c>
      <c r="I477" s="5">
        <v>2800</v>
      </c>
      <c r="J477" t="s">
        <v>21</v>
      </c>
      <c r="K477" t="s">
        <v>938</v>
      </c>
      <c r="L477" t="s">
        <v>957</v>
      </c>
      <c r="M477" t="s">
        <v>958</v>
      </c>
      <c r="T477" s="34"/>
    </row>
    <row r="478" spans="1:20" x14ac:dyDescent="0.25">
      <c r="A478" t="s">
        <v>332</v>
      </c>
      <c r="B478" t="s">
        <v>333</v>
      </c>
      <c r="C478" t="s">
        <v>24</v>
      </c>
      <c r="D478" t="s">
        <v>12</v>
      </c>
      <c r="E478" t="s">
        <v>9</v>
      </c>
      <c r="F478" s="5">
        <v>49212</v>
      </c>
      <c r="G478" t="s">
        <v>19</v>
      </c>
      <c r="H478" t="s">
        <v>17</v>
      </c>
      <c r="I478" s="5">
        <v>9000</v>
      </c>
      <c r="J478" t="s">
        <v>21</v>
      </c>
      <c r="K478" t="s">
        <v>938</v>
      </c>
      <c r="L478" t="s">
        <v>957</v>
      </c>
      <c r="M478" t="s">
        <v>958</v>
      </c>
      <c r="T478" s="34"/>
    </row>
    <row r="479" spans="1:20" x14ac:dyDescent="0.25">
      <c r="A479" t="s">
        <v>100</v>
      </c>
      <c r="B479" t="s">
        <v>101</v>
      </c>
      <c r="C479" t="s">
        <v>24</v>
      </c>
      <c r="D479" t="s">
        <v>8</v>
      </c>
      <c r="E479" t="s">
        <v>4</v>
      </c>
      <c r="F479" s="5">
        <v>49003</v>
      </c>
      <c r="G479" t="s">
        <v>16</v>
      </c>
      <c r="H479" t="s">
        <v>10</v>
      </c>
      <c r="I479" s="5">
        <v>4200</v>
      </c>
      <c r="J479" t="s">
        <v>21</v>
      </c>
      <c r="K479" t="s">
        <v>938</v>
      </c>
      <c r="L479" t="s">
        <v>948</v>
      </c>
      <c r="M479" t="s">
        <v>949</v>
      </c>
      <c r="T479" s="34"/>
    </row>
    <row r="480" spans="1:20" x14ac:dyDescent="0.25">
      <c r="A480" t="s">
        <v>905</v>
      </c>
      <c r="B480" t="s">
        <v>906</v>
      </c>
      <c r="C480" t="s">
        <v>24</v>
      </c>
      <c r="D480" t="s">
        <v>11</v>
      </c>
      <c r="E480" t="s">
        <v>7</v>
      </c>
      <c r="F480" s="5">
        <v>48167</v>
      </c>
      <c r="G480" t="s">
        <v>6</v>
      </c>
      <c r="H480" t="s">
        <v>5</v>
      </c>
      <c r="I480" s="5">
        <v>1500</v>
      </c>
      <c r="J480" t="s">
        <v>21</v>
      </c>
      <c r="K480" t="s">
        <v>938</v>
      </c>
      <c r="L480" t="s">
        <v>945</v>
      </c>
      <c r="M480" t="s">
        <v>946</v>
      </c>
      <c r="T480" s="34"/>
    </row>
    <row r="481" spans="1:20" x14ac:dyDescent="0.25">
      <c r="A481" t="s">
        <v>461</v>
      </c>
      <c r="B481" t="s">
        <v>462</v>
      </c>
      <c r="C481" t="s">
        <v>24</v>
      </c>
      <c r="D481" t="s">
        <v>14</v>
      </c>
      <c r="E481" t="s">
        <v>4</v>
      </c>
      <c r="F481" s="5">
        <v>48053</v>
      </c>
      <c r="G481" t="s">
        <v>6</v>
      </c>
      <c r="H481" t="s">
        <v>5</v>
      </c>
      <c r="I481" s="5">
        <v>1500</v>
      </c>
      <c r="J481" t="s">
        <v>21</v>
      </c>
      <c r="K481" t="s">
        <v>938</v>
      </c>
      <c r="L481" t="s">
        <v>951</v>
      </c>
      <c r="M481" t="s">
        <v>952</v>
      </c>
      <c r="T481" s="34"/>
    </row>
    <row r="482" spans="1:20" x14ac:dyDescent="0.25">
      <c r="A482" t="s">
        <v>818</v>
      </c>
      <c r="B482" t="s">
        <v>819</v>
      </c>
      <c r="C482" t="s">
        <v>23</v>
      </c>
      <c r="D482" t="s">
        <v>3</v>
      </c>
      <c r="E482" t="s">
        <v>9</v>
      </c>
      <c r="F482" s="5">
        <v>48037</v>
      </c>
      <c r="G482" t="s">
        <v>16</v>
      </c>
      <c r="H482" t="s">
        <v>10</v>
      </c>
      <c r="I482" s="5">
        <v>4200</v>
      </c>
      <c r="J482" t="s">
        <v>21</v>
      </c>
      <c r="K482" t="s">
        <v>938</v>
      </c>
      <c r="L482" t="s">
        <v>954</v>
      </c>
      <c r="M482" t="s">
        <v>955</v>
      </c>
      <c r="T482" s="34"/>
    </row>
    <row r="483" spans="1:20" x14ac:dyDescent="0.25">
      <c r="A483" t="s">
        <v>188</v>
      </c>
      <c r="B483" t="s">
        <v>189</v>
      </c>
      <c r="C483" t="s">
        <v>24</v>
      </c>
      <c r="D483" t="s">
        <v>8</v>
      </c>
      <c r="E483" t="s">
        <v>7</v>
      </c>
      <c r="F483" s="5">
        <v>47485</v>
      </c>
      <c r="G483" t="s">
        <v>16</v>
      </c>
      <c r="H483" t="s">
        <v>10</v>
      </c>
      <c r="I483" s="5">
        <v>4200</v>
      </c>
      <c r="J483" t="s">
        <v>21</v>
      </c>
      <c r="K483" t="s">
        <v>938</v>
      </c>
      <c r="L483" t="s">
        <v>948</v>
      </c>
      <c r="M483" t="s">
        <v>949</v>
      </c>
      <c r="T483" s="34"/>
    </row>
    <row r="484" spans="1:20" x14ac:dyDescent="0.25">
      <c r="A484" t="s">
        <v>250</v>
      </c>
      <c r="B484" t="s">
        <v>251</v>
      </c>
      <c r="C484" t="s">
        <v>24</v>
      </c>
      <c r="D484" t="s">
        <v>11</v>
      </c>
      <c r="E484" t="s">
        <v>9</v>
      </c>
      <c r="F484" s="5">
        <v>46897</v>
      </c>
      <c r="G484" t="s">
        <v>6</v>
      </c>
      <c r="H484" t="s">
        <v>10</v>
      </c>
      <c r="I484" s="5">
        <v>2800</v>
      </c>
      <c r="J484" t="s">
        <v>21</v>
      </c>
      <c r="K484" t="s">
        <v>938</v>
      </c>
      <c r="L484" t="s">
        <v>945</v>
      </c>
      <c r="M484" t="s">
        <v>946</v>
      </c>
      <c r="T484" s="34"/>
    </row>
    <row r="485" spans="1:20" x14ac:dyDescent="0.25">
      <c r="A485" t="s">
        <v>622</v>
      </c>
      <c r="B485" t="s">
        <v>115</v>
      </c>
      <c r="C485" t="s">
        <v>23</v>
      </c>
      <c r="D485" t="s">
        <v>3</v>
      </c>
      <c r="E485" t="s">
        <v>9</v>
      </c>
      <c r="F485" s="5">
        <v>46228</v>
      </c>
      <c r="G485" t="s">
        <v>19</v>
      </c>
      <c r="H485" t="s">
        <v>17</v>
      </c>
      <c r="I485" s="5">
        <v>9000</v>
      </c>
      <c r="J485" t="s">
        <v>21</v>
      </c>
      <c r="K485" t="s">
        <v>938</v>
      </c>
      <c r="L485" t="s">
        <v>954</v>
      </c>
      <c r="M485" t="s">
        <v>955</v>
      </c>
      <c r="T485" s="34"/>
    </row>
    <row r="486" spans="1:20" x14ac:dyDescent="0.25">
      <c r="A486" t="s">
        <v>666</v>
      </c>
      <c r="B486" t="s">
        <v>667</v>
      </c>
      <c r="C486" t="s">
        <v>23</v>
      </c>
      <c r="D486" t="s">
        <v>8</v>
      </c>
      <c r="E486" t="s">
        <v>9</v>
      </c>
      <c r="F486" s="5">
        <v>46020</v>
      </c>
      <c r="G486" t="s">
        <v>6</v>
      </c>
      <c r="H486" t="s">
        <v>10</v>
      </c>
      <c r="I486" s="5">
        <v>2800</v>
      </c>
      <c r="J486" t="s">
        <v>21</v>
      </c>
      <c r="K486" t="s">
        <v>938</v>
      </c>
      <c r="L486" t="s">
        <v>948</v>
      </c>
      <c r="M486" t="s">
        <v>949</v>
      </c>
      <c r="T486" s="34"/>
    </row>
    <row r="487" spans="1:20" x14ac:dyDescent="0.25">
      <c r="A487" t="s">
        <v>799</v>
      </c>
      <c r="B487" t="s">
        <v>800</v>
      </c>
      <c r="C487" t="s">
        <v>23</v>
      </c>
      <c r="D487" t="s">
        <v>12</v>
      </c>
      <c r="E487" t="s">
        <v>4</v>
      </c>
      <c r="F487" s="5">
        <v>45903</v>
      </c>
      <c r="G487" t="s">
        <v>16</v>
      </c>
      <c r="H487" t="s">
        <v>10</v>
      </c>
      <c r="I487" s="5">
        <v>4200</v>
      </c>
      <c r="J487" t="s">
        <v>21</v>
      </c>
      <c r="K487" t="s">
        <v>938</v>
      </c>
      <c r="L487" t="s">
        <v>957</v>
      </c>
      <c r="M487" t="s">
        <v>958</v>
      </c>
      <c r="T487" s="34"/>
    </row>
    <row r="488" spans="1:20" x14ac:dyDescent="0.25">
      <c r="A488" t="s">
        <v>894</v>
      </c>
      <c r="B488" t="s">
        <v>205</v>
      </c>
      <c r="C488" t="s">
        <v>24</v>
      </c>
      <c r="D488" t="s">
        <v>11</v>
      </c>
      <c r="E488" t="s">
        <v>9</v>
      </c>
      <c r="F488" s="5">
        <v>45781</v>
      </c>
      <c r="G488" t="s">
        <v>6</v>
      </c>
      <c r="H488" t="s">
        <v>5</v>
      </c>
      <c r="I488" s="5">
        <v>1500</v>
      </c>
      <c r="J488" t="s">
        <v>21</v>
      </c>
      <c r="K488" t="s">
        <v>938</v>
      </c>
      <c r="L488" t="s">
        <v>945</v>
      </c>
      <c r="M488" t="s">
        <v>946</v>
      </c>
      <c r="T488" s="34"/>
    </row>
    <row r="489" spans="1:20" x14ac:dyDescent="0.25">
      <c r="A489" t="s">
        <v>917</v>
      </c>
      <c r="B489" t="s">
        <v>918</v>
      </c>
      <c r="C489" t="s">
        <v>24</v>
      </c>
      <c r="D489" t="s">
        <v>3</v>
      </c>
      <c r="E489" t="s">
        <v>9</v>
      </c>
      <c r="F489" s="5">
        <v>45531</v>
      </c>
      <c r="G489" t="s">
        <v>6</v>
      </c>
      <c r="H489" t="s">
        <v>5</v>
      </c>
      <c r="I489" s="5">
        <v>1500</v>
      </c>
      <c r="J489" t="s">
        <v>21</v>
      </c>
      <c r="K489" t="s">
        <v>938</v>
      </c>
      <c r="L489" t="s">
        <v>954</v>
      </c>
      <c r="M489" t="s">
        <v>955</v>
      </c>
      <c r="T489" s="34"/>
    </row>
    <row r="490" spans="1:20" x14ac:dyDescent="0.25">
      <c r="A490" t="s">
        <v>726</v>
      </c>
      <c r="B490" t="s">
        <v>727</v>
      </c>
      <c r="C490" t="s">
        <v>23</v>
      </c>
      <c r="D490" t="s">
        <v>14</v>
      </c>
      <c r="E490" t="s">
        <v>9</v>
      </c>
      <c r="F490" s="5">
        <v>45328</v>
      </c>
      <c r="G490" t="s">
        <v>16</v>
      </c>
      <c r="H490" t="s">
        <v>10</v>
      </c>
      <c r="I490" s="5">
        <v>4200</v>
      </c>
      <c r="J490" t="s">
        <v>21</v>
      </c>
      <c r="K490" t="s">
        <v>938</v>
      </c>
      <c r="L490" t="s">
        <v>951</v>
      </c>
      <c r="M490" t="s">
        <v>952</v>
      </c>
      <c r="T490" s="34"/>
    </row>
    <row r="491" spans="1:20" x14ac:dyDescent="0.25">
      <c r="A491" t="s">
        <v>874</v>
      </c>
      <c r="B491" t="s">
        <v>272</v>
      </c>
      <c r="C491" t="s">
        <v>23</v>
      </c>
      <c r="D491" t="s">
        <v>12</v>
      </c>
      <c r="E491" t="s">
        <v>13</v>
      </c>
      <c r="F491" s="5">
        <v>44256</v>
      </c>
      <c r="G491" t="s">
        <v>19</v>
      </c>
      <c r="H491" t="s">
        <v>17</v>
      </c>
      <c r="I491" s="5">
        <v>9000</v>
      </c>
      <c r="J491" t="s">
        <v>21</v>
      </c>
      <c r="K491" t="s">
        <v>938</v>
      </c>
      <c r="L491" t="s">
        <v>957</v>
      </c>
      <c r="M491" t="s">
        <v>958</v>
      </c>
      <c r="T491" s="34"/>
    </row>
    <row r="492" spans="1:20" x14ac:dyDescent="0.25">
      <c r="A492" t="s">
        <v>636</v>
      </c>
      <c r="B492" t="s">
        <v>637</v>
      </c>
      <c r="C492" t="s">
        <v>23</v>
      </c>
      <c r="D492" t="s">
        <v>11</v>
      </c>
      <c r="E492" t="s">
        <v>9</v>
      </c>
      <c r="F492" s="5">
        <v>43282</v>
      </c>
      <c r="G492" t="s">
        <v>16</v>
      </c>
      <c r="H492" t="s">
        <v>17</v>
      </c>
      <c r="I492" s="5">
        <v>6750</v>
      </c>
      <c r="J492" t="s">
        <v>21</v>
      </c>
      <c r="K492" t="s">
        <v>938</v>
      </c>
      <c r="L492" t="s">
        <v>945</v>
      </c>
      <c r="M492" t="s">
        <v>946</v>
      </c>
      <c r="T492" s="34"/>
    </row>
    <row r="493" spans="1:20" x14ac:dyDescent="0.25">
      <c r="A493" t="s">
        <v>876</v>
      </c>
      <c r="B493" t="s">
        <v>752</v>
      </c>
      <c r="C493" t="s">
        <v>23</v>
      </c>
      <c r="D493" t="s">
        <v>14</v>
      </c>
      <c r="E493" t="s">
        <v>7</v>
      </c>
      <c r="F493" s="5">
        <v>37116</v>
      </c>
      <c r="G493" t="s">
        <v>16</v>
      </c>
      <c r="H493" t="s">
        <v>17</v>
      </c>
      <c r="I493" s="5">
        <v>6750</v>
      </c>
      <c r="J493" t="s">
        <v>21</v>
      </c>
      <c r="K493" t="s">
        <v>938</v>
      </c>
      <c r="L493" t="s">
        <v>951</v>
      </c>
      <c r="M493" t="s">
        <v>952</v>
      </c>
      <c r="T493" s="34"/>
    </row>
    <row r="494" spans="1:20" x14ac:dyDescent="0.25">
      <c r="I494" s="5"/>
      <c r="T494" s="35"/>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errorTitle="Invalid entry" error="Choose a valid Gender from the dropdown list." promptTitle="Gender" prompt="Select a valid Gender." xr:uid="{9CEC55D3-54B3-45CF-A6B3-FAEE53742F34}">
          <x14:formula1>
            <xm:f>Validation!$A$2:$A$4</xm:f>
          </x14:formula1>
          <xm:sqref>C2:C493</xm:sqref>
        </x14:dataValidation>
        <x14:dataValidation type="list" allowBlank="1" showInputMessage="1" showErrorMessage="1" errorTitle="Invalid entry" error="Choose a valid Location from the dropdown list." promptTitle="Location" prompt="Select a valid Location." xr:uid="{85AE93D6-3CE7-44D6-A474-98ECBA61A0C0}">
          <x14:formula1>
            <xm:f>Validation!$B$2:$B$5</xm:f>
          </x14:formula1>
          <xm:sqref>E2:E493</xm:sqref>
        </x14:dataValidation>
        <x14:dataValidation type="list" allowBlank="1" showInputMessage="1" showErrorMessage="1" errorTitle="Invalid entry" error="Choose a valid Insurance tier from the dropdown list." promptTitle="Insurance tier" prompt="Select a valid Insurance tier." xr:uid="{08E3B00A-6CCA-416B-BF50-E0ED67D0E3DB}">
          <x14:formula1>
            <xm:f>Validation!$C$2:$C$4</xm:f>
          </x14:formula1>
          <xm:sqref>H2:H493</xm:sqref>
        </x14:dataValidation>
        <x14:dataValidation type="list" allowBlank="1" showInputMessage="1" showErrorMessage="1" errorTitle="Invalid entry" error="Choose a valid Corporate Benefit Plan from the dropdown list." promptTitle="Corporate Benefit Plan" prompt="Select a valid Corporate Benefit Plan." xr:uid="{FEA35F78-FD8B-43F2-9D5F-485F5437465C}">
          <x14:formula1>
            <xm:f>Validation!$D$2:$D$4</xm:f>
          </x14:formula1>
          <xm:sqref>G2:G493</xm:sqref>
        </x14:dataValidation>
        <x14:dataValidation type="list" allowBlank="1" showInputMessage="1" showErrorMessage="1" errorTitle="Invalid entry" error="Choose a valid Department from the dropdown list." promptTitle="Department" prompt="Select a valid Department." xr:uid="{C8963D75-85AB-417B-BF75-937B43C0768E}">
          <x14:formula1>
            <xm:f>Validation!$E$2:$E$6</xm:f>
          </x14:formula1>
          <xm:sqref>D2:D493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218B-FFDB-4495-A7CD-69BAF7C00D40}">
  <dimension ref="A1:E6"/>
  <sheetViews>
    <sheetView workbookViewId="0">
      <selection activeCell="K1048576" sqref="K1048576"/>
    </sheetView>
  </sheetViews>
  <sheetFormatPr defaultRowHeight="15" x14ac:dyDescent="0.25"/>
  <cols>
    <col min="1" max="4" width="16.85546875" customWidth="1"/>
  </cols>
  <sheetData>
    <row r="1" spans="1:5" s="1" customFormat="1" x14ac:dyDescent="0.25">
      <c r="A1" s="1" t="s">
        <v>22</v>
      </c>
      <c r="B1" s="1" t="s">
        <v>1</v>
      </c>
      <c r="C1" s="1" t="s">
        <v>15</v>
      </c>
      <c r="D1" s="1" t="s">
        <v>2</v>
      </c>
      <c r="E1" s="1" t="s">
        <v>0</v>
      </c>
    </row>
    <row r="2" spans="1:5" x14ac:dyDescent="0.25">
      <c r="A2" t="s">
        <v>23</v>
      </c>
      <c r="B2" t="s">
        <v>7</v>
      </c>
      <c r="C2" t="s">
        <v>17</v>
      </c>
      <c r="D2" t="s">
        <v>16</v>
      </c>
      <c r="E2" t="s">
        <v>14</v>
      </c>
    </row>
    <row r="3" spans="1:5" x14ac:dyDescent="0.25">
      <c r="A3" t="s">
        <v>24</v>
      </c>
      <c r="B3" t="s">
        <v>13</v>
      </c>
      <c r="C3" t="s">
        <v>5</v>
      </c>
      <c r="D3" t="s">
        <v>19</v>
      </c>
      <c r="E3" t="s">
        <v>8</v>
      </c>
    </row>
    <row r="4" spans="1:5" x14ac:dyDescent="0.25">
      <c r="A4" t="s">
        <v>25</v>
      </c>
      <c r="B4" t="s">
        <v>4</v>
      </c>
      <c r="C4" t="s">
        <v>10</v>
      </c>
      <c r="D4" t="s">
        <v>6</v>
      </c>
      <c r="E4" t="s">
        <v>11</v>
      </c>
    </row>
    <row r="5" spans="1:5" x14ac:dyDescent="0.25">
      <c r="B5" t="s">
        <v>9</v>
      </c>
      <c r="E5" t="s">
        <v>3</v>
      </c>
    </row>
    <row r="6" spans="1:5" x14ac:dyDescent="0.25">
      <c r="E6"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5DE24814-5428-475E-9EE2-6195C0FD2D15}">
  <ds:schemaRefs/>
</ds:datastoreItem>
</file>

<file path=customXml/itemProps2.xml><?xml version="1.0" encoding="utf-8"?>
<ds:datastoreItem xmlns:ds="http://schemas.openxmlformats.org/officeDocument/2006/customXml" ds:itemID="{C811C35A-F8C6-4BF1-BE2F-79BA8F6DC696}">
  <ds:schemaRefs/>
</ds:datastoreItem>
</file>

<file path=customXml/itemProps3.xml><?xml version="1.0" encoding="utf-8"?>
<ds:datastoreItem xmlns:ds="http://schemas.openxmlformats.org/officeDocument/2006/customXml" ds:itemID="{E0F5A55F-D178-40BD-B7C9-6092EDFA1D15}">
  <ds:schemaRefs/>
</ds:datastoreItem>
</file>

<file path=customXml/itemProps4.xml><?xml version="1.0" encoding="utf-8"?>
<ds:datastoreItem xmlns:ds="http://schemas.openxmlformats.org/officeDocument/2006/customXml" ds:itemID="{AB84587D-5FE4-45E8-BE71-03E7F50CF498}">
  <ds:schemaRefs/>
</ds:datastoreItem>
</file>

<file path=customXml/itemProps5.xml><?xml version="1.0" encoding="utf-8"?>
<ds:datastoreItem xmlns:ds="http://schemas.openxmlformats.org/officeDocument/2006/customXml" ds:itemID="{AD373D9F-1423-44FA-A33C-70400B98B742}">
  <ds:schemaRefs/>
</ds:datastoreItem>
</file>

<file path=customXml/itemProps6.xml><?xml version="1.0" encoding="utf-8"?>
<ds:datastoreItem xmlns:ds="http://schemas.openxmlformats.org/officeDocument/2006/customXml" ds:itemID="{C217C7B5-1B4E-4924-852C-8EDFAA2AE52F}">
  <ds:schemaRefs/>
</ds:datastoreItem>
</file>

<file path=customXml/itemProps7.xml><?xml version="1.0" encoding="utf-8"?>
<ds:datastoreItem xmlns:ds="http://schemas.openxmlformats.org/officeDocument/2006/customXml" ds:itemID="{56747BE5-C5E8-4B0C-8A94-1C2B829C0E93}">
  <ds:schemaRefs/>
</ds:datastoreItem>
</file>

<file path=customXml/itemProps8.xml><?xml version="1.0" encoding="utf-8"?>
<ds:datastoreItem xmlns:ds="http://schemas.openxmlformats.org/officeDocument/2006/customXml" ds:itemID="{7764790C-4DD4-4C8A-AEBC-09A0E68AE4FF}">
  <ds:schemaRefs/>
</ds:datastoreItem>
</file>

<file path=customXml/itemProps9.xml><?xml version="1.0" encoding="utf-8"?>
<ds:datastoreItem xmlns:ds="http://schemas.openxmlformats.org/officeDocument/2006/customXml" ds:itemID="{B9EDA071-18E8-4CC8-BFBF-B7EDB1862EC2}">
  <ds:schemaRefs/>
</ds:datastoreItem>
</file>

<file path=customXml/itemProps10.xml><?xml version="1.0" encoding="utf-8"?>
<ds:datastoreItem xmlns:ds="http://schemas.openxmlformats.org/officeDocument/2006/customXml" ds:itemID="{53C29A40-D6D4-4E3A-9E2A-871562B5FB16}">
  <ds:schemaRefs/>
</ds:datastoreItem>
</file>

<file path=customXml/itemProps11.xml><?xml version="1.0" encoding="utf-8"?>
<ds:datastoreItem xmlns:ds="http://schemas.openxmlformats.org/officeDocument/2006/customXml" ds:itemID="{1819AD24-258A-4033-B325-BD46BC690425}">
  <ds:schemaRefs/>
</ds:datastoreItem>
</file>

<file path=customXml/itemProps12.xml><?xml version="1.0" encoding="utf-8"?>
<ds:datastoreItem xmlns:ds="http://schemas.openxmlformats.org/officeDocument/2006/customXml" ds:itemID="{9044E3E8-C0B7-4F6A-8989-1FC587904D33}">
  <ds:schemaRefs/>
</ds:datastoreItem>
</file>

<file path=customXml/itemProps13.xml><?xml version="1.0" encoding="utf-8"?>
<ds:datastoreItem xmlns:ds="http://schemas.openxmlformats.org/officeDocument/2006/customXml" ds:itemID="{C2E9E38E-1425-4334-947C-0EE11BD14D22}">
  <ds:schemaRefs/>
</ds:datastoreItem>
</file>

<file path=customXml/itemProps14.xml><?xml version="1.0" encoding="utf-8"?>
<ds:datastoreItem xmlns:ds="http://schemas.openxmlformats.org/officeDocument/2006/customXml" ds:itemID="{CFD98E33-0C93-43D8-AD1B-17EC6ABA4917}">
  <ds:schemaRefs/>
</ds:datastoreItem>
</file>

<file path=customXml/itemProps15.xml><?xml version="1.0" encoding="utf-8"?>
<ds:datastoreItem xmlns:ds="http://schemas.openxmlformats.org/officeDocument/2006/customXml" ds:itemID="{76926D9C-E0E7-4E0D-80CC-01EB13E5063F}">
  <ds:schemaRefs/>
</ds:datastoreItem>
</file>

<file path=customXml/itemProps16.xml><?xml version="1.0" encoding="utf-8"?>
<ds:datastoreItem xmlns:ds="http://schemas.openxmlformats.org/officeDocument/2006/customXml" ds:itemID="{660FE234-F726-433C-AB5C-ACBCB1C622DE}">
  <ds:schemaRefs/>
</ds:datastoreItem>
</file>

<file path=customXml/itemProps17.xml><?xml version="1.0" encoding="utf-8"?>
<ds:datastoreItem xmlns:ds="http://schemas.openxmlformats.org/officeDocument/2006/customXml" ds:itemID="{7C3910BE-B124-416C-9C1D-663DE10464E0}">
  <ds:schemaRefs/>
</ds:datastoreItem>
</file>

<file path=customXml/itemProps18.xml><?xml version="1.0" encoding="utf-8"?>
<ds:datastoreItem xmlns:ds="http://schemas.openxmlformats.org/officeDocument/2006/customXml" ds:itemID="{CC0797B7-D68E-4370-A7CC-126172FE1B51}">
  <ds:schemaRefs/>
</ds:datastoreItem>
</file>

<file path=customXml/itemProps19.xml><?xml version="1.0" encoding="utf-8"?>
<ds:datastoreItem xmlns:ds="http://schemas.openxmlformats.org/officeDocument/2006/customXml" ds:itemID="{4FEF0D45-6EF3-4C86-800C-95BE44A912AA}">
  <ds:schemaRefs/>
</ds:datastoreItem>
</file>

<file path=customXml/itemProps20.xml><?xml version="1.0" encoding="utf-8"?>
<ds:datastoreItem xmlns:ds="http://schemas.openxmlformats.org/officeDocument/2006/customXml" ds:itemID="{2EF5FB7C-B29B-4BA8-8263-0EC5E8A77900}">
  <ds:schemaRefs/>
</ds:datastoreItem>
</file>

<file path=customXml/itemProps21.xml><?xml version="1.0" encoding="utf-8"?>
<ds:datastoreItem xmlns:ds="http://schemas.openxmlformats.org/officeDocument/2006/customXml" ds:itemID="{26479A7D-AB9E-4A8C-ABC1-5E4AEF70FA79}">
  <ds:schemaRefs/>
</ds:datastoreItem>
</file>

<file path=customXml/itemProps22.xml><?xml version="1.0" encoding="utf-8"?>
<ds:datastoreItem xmlns:ds="http://schemas.openxmlformats.org/officeDocument/2006/customXml" ds:itemID="{C96251AE-D5E2-43F2-89D4-947B9F54D5F7}">
  <ds:schemaRefs/>
</ds:datastoreItem>
</file>

<file path=customXml/itemProps23.xml><?xml version="1.0" encoding="utf-8"?>
<ds:datastoreItem xmlns:ds="http://schemas.openxmlformats.org/officeDocument/2006/customXml" ds:itemID="{D04E38DE-D9E4-41EA-A45D-A4A8E69381B2}">
  <ds:schemaRefs/>
</ds:datastoreItem>
</file>

<file path=customXml/itemProps24.xml><?xml version="1.0" encoding="utf-8"?>
<ds:datastoreItem xmlns:ds="http://schemas.openxmlformats.org/officeDocument/2006/customXml" ds:itemID="{5C2CCA25-5BA3-40C0-8136-46B0EF76C12E}">
  <ds:schemaRefs/>
</ds:datastoreItem>
</file>

<file path=customXml/itemProps25.xml><?xml version="1.0" encoding="utf-8"?>
<ds:datastoreItem xmlns:ds="http://schemas.openxmlformats.org/officeDocument/2006/customXml" ds:itemID="{9FEB3357-36DC-46F3-8007-A997D7956948}">
  <ds:schemaRefs/>
</ds:datastoreItem>
</file>

<file path=customXml/itemProps26.xml><?xml version="1.0" encoding="utf-8"?>
<ds:datastoreItem xmlns:ds="http://schemas.openxmlformats.org/officeDocument/2006/customXml" ds:itemID="{D86D0F6D-5A3B-42D8-BBA1-65E1EB2AC496}">
  <ds:schemaRefs/>
</ds:datastoreItem>
</file>

<file path=customXml/itemProps27.xml><?xml version="1.0" encoding="utf-8"?>
<ds:datastoreItem xmlns:ds="http://schemas.openxmlformats.org/officeDocument/2006/customXml" ds:itemID="{8042E48F-B362-4344-9B53-18A182982784}">
  <ds:schemaRefs/>
</ds:datastoreItem>
</file>

<file path=customXml/itemProps28.xml><?xml version="1.0" encoding="utf-8"?>
<ds:datastoreItem xmlns:ds="http://schemas.openxmlformats.org/officeDocument/2006/customXml" ds:itemID="{062DD82D-3B4F-4D1B-BB2F-B4C2953C1E28}">
  <ds:schemaRefs/>
</ds:datastoreItem>
</file>

<file path=customXml/itemProps29.xml><?xml version="1.0" encoding="utf-8"?>
<ds:datastoreItem xmlns:ds="http://schemas.openxmlformats.org/officeDocument/2006/customXml" ds:itemID="{F6A63BC3-5774-43EE-9AD0-EA6EB325EF13}">
  <ds:schemaRefs/>
</ds:datastoreItem>
</file>

<file path=customXml/itemProps30.xml><?xml version="1.0" encoding="utf-8"?>
<ds:datastoreItem xmlns:ds="http://schemas.openxmlformats.org/officeDocument/2006/customXml" ds:itemID="{90C0D46D-238F-4DE1-BFD4-CA1751E97F34}">
  <ds:schemaRefs/>
</ds:datastoreItem>
</file>

<file path=customXml/itemProps31.xml><?xml version="1.0" encoding="utf-8"?>
<ds:datastoreItem xmlns:ds="http://schemas.openxmlformats.org/officeDocument/2006/customXml" ds:itemID="{7EFC84D7-E513-45B8-926D-1D683B6087E7}">
  <ds:schemaRefs/>
</ds:datastoreItem>
</file>

<file path=customXml/itemProps32.xml><?xml version="1.0" encoding="utf-8"?>
<ds:datastoreItem xmlns:ds="http://schemas.openxmlformats.org/officeDocument/2006/customXml" ds:itemID="{4F968180-2E84-4F85-9AE0-A1E22254F940}">
  <ds:schemaRefs/>
</ds:datastoreItem>
</file>

<file path=customXml/itemProps33.xml><?xml version="1.0" encoding="utf-8"?>
<ds:datastoreItem xmlns:ds="http://schemas.openxmlformats.org/officeDocument/2006/customXml" ds:itemID="{016989D7-54AA-4DE0-AA85-E0E13189F60E}">
  <ds:schemaRefs/>
</ds:datastoreItem>
</file>

<file path=customXml/itemProps34.xml><?xml version="1.0" encoding="utf-8"?>
<ds:datastoreItem xmlns:ds="http://schemas.openxmlformats.org/officeDocument/2006/customXml" ds:itemID="{FA4FD192-F5EF-412A-A57F-6FD305A36214}">
  <ds:schemaRefs/>
</ds:datastoreItem>
</file>

<file path=customXml/itemProps35.xml><?xml version="1.0" encoding="utf-8"?>
<ds:datastoreItem xmlns:ds="http://schemas.openxmlformats.org/officeDocument/2006/customXml" ds:itemID="{08ECDAAE-91C7-4008-A53F-15B3A8FCFE6E}">
  <ds:schemaRefs/>
</ds:datastoreItem>
</file>

<file path=customXml/itemProps36.xml><?xml version="1.0" encoding="utf-8"?>
<ds:datastoreItem xmlns:ds="http://schemas.openxmlformats.org/officeDocument/2006/customXml" ds:itemID="{36A4C387-29D6-4A32-AD43-88D7D4472F44}">
  <ds:schemaRefs/>
</ds:datastoreItem>
</file>

<file path=customXml/itemProps37.xml><?xml version="1.0" encoding="utf-8"?>
<ds:datastoreItem xmlns:ds="http://schemas.openxmlformats.org/officeDocument/2006/customXml" ds:itemID="{326DB761-CBC8-419E-9B24-9B5B744214F1}">
  <ds:schemaRefs/>
</ds:datastoreItem>
</file>

<file path=customXml/itemProps38.xml><?xml version="1.0" encoding="utf-8"?>
<ds:datastoreItem xmlns:ds="http://schemas.openxmlformats.org/officeDocument/2006/customXml" ds:itemID="{7337FD4E-25FE-49C8-8B77-234F82ED191C}">
  <ds:schemaRefs/>
</ds:datastoreItem>
</file>

<file path=customXml/itemProps39.xml><?xml version="1.0" encoding="utf-8"?>
<ds:datastoreItem xmlns:ds="http://schemas.openxmlformats.org/officeDocument/2006/customXml" ds:itemID="{27D1E7E5-475F-4976-9EC1-2E4CA81F2C7A}">
  <ds:schemaRefs/>
</ds:datastoreItem>
</file>

<file path=customXml/itemProps40.xml><?xml version="1.0" encoding="utf-8"?>
<ds:datastoreItem xmlns:ds="http://schemas.openxmlformats.org/officeDocument/2006/customXml" ds:itemID="{5A6EC15A-B272-4952-B58B-CC1128921A24}">
  <ds:schemaRefs/>
</ds:datastoreItem>
</file>

<file path=customXml/itemProps41.xml><?xml version="1.0" encoding="utf-8"?>
<ds:datastoreItem xmlns:ds="http://schemas.openxmlformats.org/officeDocument/2006/customXml" ds:itemID="{74F83B2D-1E2B-45A9-9061-41FC33DF616A}">
  <ds:schemaRefs/>
</ds:datastoreItem>
</file>

<file path=customXml/itemProps42.xml><?xml version="1.0" encoding="utf-8"?>
<ds:datastoreItem xmlns:ds="http://schemas.openxmlformats.org/officeDocument/2006/customXml" ds:itemID="{58C52E1F-0D41-4768-986C-56DEBC56C650}">
  <ds:schemaRefs/>
</ds:datastoreItem>
</file>

<file path=customXml/itemProps43.xml><?xml version="1.0" encoding="utf-8"?>
<ds:datastoreItem xmlns:ds="http://schemas.openxmlformats.org/officeDocument/2006/customXml" ds:itemID="{2D6765F3-A979-456C-8725-BE6D2D0890CD}">
  <ds:schemaRefs/>
</ds:datastoreItem>
</file>

<file path=customXml/itemProps44.xml><?xml version="1.0" encoding="utf-8"?>
<ds:datastoreItem xmlns:ds="http://schemas.openxmlformats.org/officeDocument/2006/customXml" ds:itemID="{8355F6CD-D33C-466C-AA1E-D4544EEF74AC}">
  <ds:schemaRefs/>
</ds:datastoreItem>
</file>

<file path=customXml/itemProps45.xml><?xml version="1.0" encoding="utf-8"?>
<ds:datastoreItem xmlns:ds="http://schemas.openxmlformats.org/officeDocument/2006/customXml" ds:itemID="{428FFF8A-96F4-49BC-A812-312138C67E2F}">
  <ds:schemaRefs/>
</ds:datastoreItem>
</file>

<file path=customXml/itemProps46.xml><?xml version="1.0" encoding="utf-8"?>
<ds:datastoreItem xmlns:ds="http://schemas.openxmlformats.org/officeDocument/2006/customXml" ds:itemID="{AC700084-8B61-439E-B60D-B62DED4DE679}">
  <ds:schemaRefs/>
</ds:datastoreItem>
</file>

<file path=customXml/itemProps47.xml><?xml version="1.0" encoding="utf-8"?>
<ds:datastoreItem xmlns:ds="http://schemas.openxmlformats.org/officeDocument/2006/customXml" ds:itemID="{26C689D6-C0F5-46AE-9F9A-2CE0E673A427}">
  <ds:schemaRefs/>
</ds:datastoreItem>
</file>

<file path=customXml/itemProps48.xml><?xml version="1.0" encoding="utf-8"?>
<ds:datastoreItem xmlns:ds="http://schemas.openxmlformats.org/officeDocument/2006/customXml" ds:itemID="{37869854-F2F1-46FF-A336-D8F4CF1F3B95}">
  <ds:schemaRefs/>
</ds:datastoreItem>
</file>

<file path=customXml/itemProps49.xml><?xml version="1.0" encoding="utf-8"?>
<ds:datastoreItem xmlns:ds="http://schemas.openxmlformats.org/officeDocument/2006/customXml" ds:itemID="{FAD609D7-263E-4812-9B5A-6730CD658C0D}">
  <ds:schemaRefs/>
</ds:datastoreItem>
</file>

<file path=customXml/itemProps50.xml><?xml version="1.0" encoding="utf-8"?>
<ds:datastoreItem xmlns:ds="http://schemas.openxmlformats.org/officeDocument/2006/customXml" ds:itemID="{13CE3FA3-252C-4794-A196-3F1A09B3F06F}">
  <ds:schemaRefs/>
</ds:datastoreItem>
</file>

<file path=customXml/itemProps51.xml><?xml version="1.0" encoding="utf-8"?>
<ds:datastoreItem xmlns:ds="http://schemas.openxmlformats.org/officeDocument/2006/customXml" ds:itemID="{650BF085-5E19-4C7C-AC20-67F9544D562F}">
  <ds:schemaRefs/>
</ds:datastoreItem>
</file>

<file path=customXml/itemProps52.xml><?xml version="1.0" encoding="utf-8"?>
<ds:datastoreItem xmlns:ds="http://schemas.openxmlformats.org/officeDocument/2006/customXml" ds:itemID="{5D97AAFE-CA5B-4C2D-BADC-AA306EF7D035}">
  <ds:schemaRefs/>
</ds:datastoreItem>
</file>

<file path=customXml/itemProps53.xml><?xml version="1.0" encoding="utf-8"?>
<ds:datastoreItem xmlns:ds="http://schemas.openxmlformats.org/officeDocument/2006/customXml" ds:itemID="{E366E902-8D96-4B5A-8699-DF756E6218A9}">
  <ds:schemaRefs/>
</ds:datastoreItem>
</file>

<file path=customXml/itemProps54.xml><?xml version="1.0" encoding="utf-8"?>
<ds:datastoreItem xmlns:ds="http://schemas.openxmlformats.org/officeDocument/2006/customXml" ds:itemID="{879E0800-C6E4-4B0D-9DFA-7F41E0062081}">
  <ds:schemaRefs/>
</ds:datastoreItem>
</file>

<file path=customXml/itemProps55.xml><?xml version="1.0" encoding="utf-8"?>
<ds:datastoreItem xmlns:ds="http://schemas.openxmlformats.org/officeDocument/2006/customXml" ds:itemID="{799B3C97-B20C-4B82-84C7-EB13203A3542}">
  <ds:schemaRefs/>
</ds:datastoreItem>
</file>

<file path=customXml/itemProps56.xml><?xml version="1.0" encoding="utf-8"?>
<ds:datastoreItem xmlns:ds="http://schemas.openxmlformats.org/officeDocument/2006/customXml" ds:itemID="{E0B529A3-55FE-41AD-AF95-9BFBB46BB416}">
  <ds:schemaRefs>
    <ds:schemaRef ds:uri="http://schemas.microsoft.com/DataMashup"/>
  </ds:schemaRefs>
</ds:datastoreItem>
</file>

<file path=customXml/itemProps57.xml><?xml version="1.0" encoding="utf-8"?>
<ds:datastoreItem xmlns:ds="http://schemas.openxmlformats.org/officeDocument/2006/customXml" ds:itemID="{29807DD4-EE88-4F25-84BC-AAE431E86272}">
  <ds:schemaRefs/>
</ds:datastoreItem>
</file>

<file path=customXml/itemProps58.xml><?xml version="1.0" encoding="utf-8"?>
<ds:datastoreItem xmlns:ds="http://schemas.openxmlformats.org/officeDocument/2006/customXml" ds:itemID="{BBBB2C8C-6F41-4B4D-8C4E-46FA5F146A76}">
  <ds:schemaRefs/>
</ds:datastoreItem>
</file>

<file path=customXml/itemProps59.xml><?xml version="1.0" encoding="utf-8"?>
<ds:datastoreItem xmlns:ds="http://schemas.openxmlformats.org/officeDocument/2006/customXml" ds:itemID="{0B6D25B9-53E2-4A9E-8083-818942D313EF}">
  <ds:schemaRefs/>
</ds:datastoreItem>
</file>

<file path=customXml/itemProps60.xml><?xml version="1.0" encoding="utf-8"?>
<ds:datastoreItem xmlns:ds="http://schemas.openxmlformats.org/officeDocument/2006/customXml" ds:itemID="{838557B3-AD98-400A-9C02-954FCF268760}">
  <ds:schemaRefs/>
</ds:datastoreItem>
</file>

<file path=customXml/itemProps61.xml><?xml version="1.0" encoding="utf-8"?>
<ds:datastoreItem xmlns:ds="http://schemas.openxmlformats.org/officeDocument/2006/customXml" ds:itemID="{5F6B9A84-D9A3-472D-944D-E8A2BAF196BB}">
  <ds:schemaRefs/>
</ds:datastoreItem>
</file>

<file path=customXml/itemProps62.xml><?xml version="1.0" encoding="utf-8"?>
<ds:datastoreItem xmlns:ds="http://schemas.openxmlformats.org/officeDocument/2006/customXml" ds:itemID="{90CE222E-55FC-4CF0-954C-2F07AF6E42C9}">
  <ds:schemaRefs/>
</ds:datastoreItem>
</file>

<file path=customXml/itemProps63.xml><?xml version="1.0" encoding="utf-8"?>
<ds:datastoreItem xmlns:ds="http://schemas.openxmlformats.org/officeDocument/2006/customXml" ds:itemID="{9A2A0DF5-68BD-4F58-811F-3CC4DDFDBE82}">
  <ds:schemaRefs/>
</ds:datastoreItem>
</file>

<file path=customXml/itemProps64.xml><?xml version="1.0" encoding="utf-8"?>
<ds:datastoreItem xmlns:ds="http://schemas.openxmlformats.org/officeDocument/2006/customXml" ds:itemID="{F4D5C19D-3556-4138-9E7B-C0428856CAD9}">
  <ds:schemaRefs/>
</ds:datastoreItem>
</file>

<file path=customXml/itemProps65.xml><?xml version="1.0" encoding="utf-8"?>
<ds:datastoreItem xmlns:ds="http://schemas.openxmlformats.org/officeDocument/2006/customXml" ds:itemID="{F9A9F2F0-DDA6-414B-929D-7F6F8FD7348D}">
  <ds:schemaRefs/>
</ds:datastoreItem>
</file>

<file path=customXml/itemProps66.xml><?xml version="1.0" encoding="utf-8"?>
<ds:datastoreItem xmlns:ds="http://schemas.openxmlformats.org/officeDocument/2006/customXml" ds:itemID="{57F510C0-A951-4584-A0B7-2A4423555CEB}">
  <ds:schemaRefs/>
</ds:datastoreItem>
</file>

<file path=customXml/itemProps67.xml><?xml version="1.0" encoding="utf-8"?>
<ds:datastoreItem xmlns:ds="http://schemas.openxmlformats.org/officeDocument/2006/customXml" ds:itemID="{99300EC6-8350-43F7-884B-50150FF9CFE3}">
  <ds:schemaRefs/>
</ds:datastoreItem>
</file>

<file path=customXml/itemProps68.xml><?xml version="1.0" encoding="utf-8"?>
<ds:datastoreItem xmlns:ds="http://schemas.openxmlformats.org/officeDocument/2006/customXml" ds:itemID="{2F832EB2-5D24-4D38-B284-C9C70A025A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Rewards Dashboard</vt:lpstr>
      <vt:lpstr>Main Pivot Table Sheet</vt:lpstr>
      <vt:lpstr>Helper Sheet</vt:lpstr>
      <vt:lpstr>Basic Analysis</vt:lpstr>
      <vt:lpstr>Rewards &amp; Benefits Allocation</vt:lpstr>
      <vt:lpstr>Gender Pay Equity</vt:lpstr>
      <vt:lpstr>Vendor Map Data</vt:lpstr>
      <vt:lpstr>Query_Audit_Exceptions</vt:lpstr>
      <vt:lpstr>Employee Data</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 v</dc:creator>
  <cp:lastModifiedBy>aarya v</cp:lastModifiedBy>
  <dcterms:created xsi:type="dcterms:W3CDTF">2026-07-11T13:12:35Z</dcterms:created>
  <dcterms:modified xsi:type="dcterms:W3CDTF">2026-07-21T18:32:41Z</dcterms:modified>
</cp:coreProperties>
</file>