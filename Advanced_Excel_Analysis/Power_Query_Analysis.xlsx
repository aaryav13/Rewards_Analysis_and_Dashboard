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vaary\Downloads\Benefits &amp; Rewards Dashboard\"/>
    </mc:Choice>
  </mc:AlternateContent>
  <xr:revisionPtr revIDLastSave="0" documentId="13_ncr:1_{3D473F61-C03C-41B6-A8AC-D68EE5AF82BA}" xr6:coauthVersionLast="47" xr6:coauthVersionMax="47" xr10:uidLastSave="{00000000-0000-0000-0000-000000000000}"/>
  <bookViews>
    <workbookView xWindow="-120" yWindow="-120" windowWidth="20730" windowHeight="11040" tabRatio="664" activeTab="1" xr2:uid="{B25200C2-1E3B-467E-9558-1FE839E4F902}"/>
  </bookViews>
  <sheets>
    <sheet name="Cover" sheetId="23" r:id="rId1"/>
    <sheet name="Rewards Dashboard" sheetId="24" r:id="rId2"/>
    <sheet name="Helper Sheet" sheetId="25" r:id="rId3"/>
    <sheet name="Basic Analysis" sheetId="10" r:id="rId4"/>
    <sheet name="Rewards &amp; Benefits Allocation" sheetId="22" r:id="rId5"/>
    <sheet name="Gender Pay Equity" sheetId="21" r:id="rId6"/>
    <sheet name="Vendor Map Data" sheetId="17" r:id="rId7"/>
    <sheet name="Query_Audit_Exceptions" sheetId="19" r:id="rId8"/>
    <sheet name="Employee Data" sheetId="12" r:id="rId9"/>
    <sheet name="Main Pivot Table Sheet" sheetId="29" r:id="rId10"/>
    <sheet name="Validation" sheetId="4" r:id="rId11"/>
  </sheets>
  <definedNames>
    <definedName name="ExternalData_1" localSheetId="8" hidden="1">'Employee Data'!$A$1:$M$493</definedName>
    <definedName name="ExternalData_3" localSheetId="6" hidden="1">'Vendor Map Data'!$A$1:$D$6</definedName>
    <definedName name="ExternalData_5" localSheetId="7" hidden="1">Query_Audit_Exceptions!$A$1:$M$2</definedName>
    <definedName name="Slicer_Department">#N/A</definedName>
    <definedName name="Slicer_Gender">#N/A</definedName>
    <definedName name="Slicer_Location">#N/A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4" r:id="rId25"/>
    <pivotCache cacheId="15" r:id="rId26"/>
    <pivotCache cacheId="69" r:id="rId27"/>
    <pivotCache cacheId="72" r:id="rId28"/>
    <pivotCache cacheId="75" r:id="rId29"/>
    <pivotCache cacheId="78" r:id="rId30"/>
    <pivotCache cacheId="81" r:id="rId31"/>
  </pivotCaches>
  <extLst>
    <ext xmlns:x14="http://schemas.microsoft.com/office/spreadsheetml/2009/9/main" uri="{876F7934-8845-4945-9796-88D515C7AA90}">
      <x14:pivotCaches>
        <pivotCache cacheId="21" r:id="rId32"/>
      </x14:pivotCaches>
    </ext>
    <ext xmlns:x14="http://schemas.microsoft.com/office/spreadsheetml/2009/9/main" uri="{BBE1A952-AA13-448e-AADC-164F8A28A991}">
      <x14:slicerCaches>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ian_Employee_Data_3918fd26-4389-4336-bf2f-aff2a97afc30" name="Indian_Employee_Data" connection="Query - Indian_Employee_Data"/>
          <x15:modelTable id="Query_Audit_Exceptions_02543f7d-340f-41dd-a8bf-37506debecb1" name="Query_Audit_Exceptions" connection="Query - Query_Audit_Exceptions"/>
          <x15:modelTable id="Query_Audit_Exceptions 1_cb54789d-41ff-4e81-888b-b48d2eaa0960" name="Query_Audit_Exceptions 1" connection="Query - Query_Audit_Exceptions(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4" i="29" l="1"/>
  <c r="D15" i="29"/>
  <c r="D16" i="29"/>
  <c r="D17" i="29"/>
  <c r="D13" i="29"/>
  <c r="J40" i="29"/>
  <c r="J41" i="29"/>
  <c r="L29" i="29"/>
  <c r="M29" i="29"/>
  <c r="J30" i="29"/>
  <c r="K30" i="29"/>
  <c r="L30" i="29"/>
  <c r="M30" i="29"/>
  <c r="N30" i="29"/>
  <c r="O30" i="29"/>
  <c r="P30" i="29"/>
  <c r="Q30" i="29"/>
  <c r="R30" i="29"/>
  <c r="S30" i="29"/>
  <c r="J31" i="29"/>
  <c r="K31" i="29"/>
  <c r="L31" i="29"/>
  <c r="M31" i="29"/>
  <c r="N31" i="29"/>
  <c r="O31" i="29"/>
  <c r="P31" i="29"/>
  <c r="Q31" i="29"/>
  <c r="R31" i="29"/>
  <c r="S31" i="29"/>
  <c r="J32" i="29"/>
  <c r="K32" i="29"/>
  <c r="L32" i="29"/>
  <c r="M32" i="29"/>
  <c r="N32" i="29"/>
  <c r="O32" i="29"/>
  <c r="P32" i="29"/>
  <c r="Q32" i="29"/>
  <c r="R32" i="29"/>
  <c r="S32" i="29"/>
  <c r="J33" i="29"/>
  <c r="K33" i="29"/>
  <c r="L33" i="29"/>
  <c r="M33" i="29"/>
  <c r="N33" i="29"/>
  <c r="O33" i="29"/>
  <c r="P33" i="29"/>
  <c r="Q33" i="29"/>
  <c r="R33" i="29"/>
  <c r="S33" i="29"/>
  <c r="J34" i="29"/>
  <c r="K34" i="29"/>
  <c r="L34" i="29"/>
  <c r="M34" i="29"/>
  <c r="N34" i="29"/>
  <c r="O34" i="29"/>
  <c r="P34" i="29"/>
  <c r="Q34" i="29"/>
  <c r="R34" i="29"/>
  <c r="S34" i="29"/>
  <c r="J35" i="29"/>
  <c r="K35" i="29"/>
  <c r="L35" i="29"/>
  <c r="M35" i="29"/>
  <c r="N35" i="29"/>
  <c r="O35" i="29"/>
  <c r="P35" i="29"/>
  <c r="Q35" i="29"/>
  <c r="R35" i="29"/>
  <c r="S35" i="29"/>
  <c r="J36" i="29"/>
  <c r="K36" i="29"/>
  <c r="L36" i="29"/>
  <c r="M36" i="29"/>
  <c r="N36" i="29"/>
  <c r="O36" i="29"/>
  <c r="P36" i="29"/>
  <c r="Q36" i="29"/>
  <c r="R36" i="29"/>
  <c r="S36" i="29"/>
  <c r="J37" i="29"/>
  <c r="K37" i="29"/>
  <c r="L37" i="29"/>
  <c r="M37" i="29"/>
  <c r="N37" i="29"/>
  <c r="O37" i="29"/>
  <c r="P37" i="29"/>
  <c r="Q37" i="29"/>
  <c r="R37" i="29"/>
  <c r="S37" i="29"/>
  <c r="J38" i="29"/>
  <c r="K38" i="29"/>
  <c r="L38" i="29"/>
  <c r="M38" i="29"/>
  <c r="N38" i="29"/>
  <c r="O38" i="29"/>
  <c r="P38" i="29"/>
  <c r="Q38" i="29"/>
  <c r="R38" i="29"/>
  <c r="S38" i="29"/>
  <c r="J39" i="29"/>
  <c r="K39" i="29"/>
  <c r="L39" i="29"/>
  <c r="M39" i="29"/>
  <c r="N39" i="29"/>
  <c r="O39" i="29"/>
  <c r="P39" i="29"/>
  <c r="Q39" i="29"/>
  <c r="R39" i="29"/>
  <c r="S39" i="29"/>
  <c r="K40" i="29"/>
  <c r="L40" i="29"/>
  <c r="M40" i="29"/>
  <c r="N40" i="29"/>
  <c r="O40" i="29"/>
  <c r="P40" i="29"/>
  <c r="Q40" i="29"/>
  <c r="R40" i="29"/>
  <c r="S40" i="29"/>
  <c r="K41" i="29"/>
  <c r="L41" i="29"/>
  <c r="M41" i="29"/>
  <c r="N41" i="29"/>
  <c r="O41" i="29"/>
  <c r="P41" i="29"/>
  <c r="Q41" i="29"/>
  <c r="R41" i="29"/>
  <c r="S41" i="29"/>
  <c r="J42" i="29"/>
  <c r="K42" i="29"/>
  <c r="L42" i="29"/>
  <c r="M42" i="29"/>
  <c r="N42" i="29"/>
  <c r="O42" i="29"/>
  <c r="P42" i="29"/>
  <c r="Q42" i="29"/>
  <c r="R42" i="29"/>
  <c r="S42" i="29"/>
  <c r="J43" i="29"/>
  <c r="K43" i="29"/>
  <c r="L43" i="29"/>
  <c r="M43" i="29"/>
  <c r="N43" i="29"/>
  <c r="O43" i="29"/>
  <c r="P43" i="29"/>
  <c r="Q43" i="29"/>
  <c r="R43" i="29"/>
  <c r="S43" i="29"/>
  <c r="J44" i="29"/>
  <c r="K44" i="29"/>
  <c r="L44" i="29"/>
  <c r="M44" i="29"/>
  <c r="N44" i="29"/>
  <c r="O44" i="29"/>
  <c r="P44" i="29"/>
  <c r="Q44" i="29"/>
  <c r="R44" i="29"/>
  <c r="S44" i="29"/>
  <c r="J45" i="29"/>
  <c r="K45" i="29"/>
  <c r="L45" i="29"/>
  <c r="M45" i="29"/>
  <c r="N45" i="29"/>
  <c r="O45" i="29"/>
  <c r="P45" i="29"/>
  <c r="Q45" i="29"/>
  <c r="R45" i="29"/>
  <c r="S45" i="29"/>
  <c r="J46" i="29"/>
  <c r="K46" i="29"/>
  <c r="L46" i="29"/>
  <c r="M46" i="29"/>
  <c r="N46" i="29"/>
  <c r="O46" i="29"/>
  <c r="P46" i="29"/>
  <c r="Q46" i="29"/>
  <c r="R46" i="29"/>
  <c r="S46" i="29"/>
  <c r="J47" i="29"/>
  <c r="K47" i="29"/>
  <c r="L47" i="29"/>
  <c r="M47" i="29"/>
  <c r="N47" i="29"/>
  <c r="O47" i="29"/>
  <c r="P47" i="29"/>
  <c r="Q47" i="29"/>
  <c r="R47" i="29"/>
  <c r="S47" i="29"/>
  <c r="J48" i="29"/>
  <c r="K48" i="29"/>
  <c r="L48" i="29"/>
  <c r="M48" i="29"/>
  <c r="N48" i="29"/>
  <c r="O48" i="29"/>
  <c r="P48" i="29"/>
  <c r="Q48" i="29"/>
  <c r="R48" i="29"/>
  <c r="S48" i="29"/>
  <c r="J49" i="29"/>
  <c r="K49" i="29"/>
  <c r="L49" i="29"/>
  <c r="M49" i="29"/>
  <c r="N49" i="29"/>
  <c r="O49" i="29"/>
  <c r="P49" i="29"/>
  <c r="Q49" i="29"/>
  <c r="R49" i="29"/>
  <c r="S49" i="29"/>
  <c r="J50" i="29"/>
  <c r="K50" i="29"/>
  <c r="L50" i="29"/>
  <c r="M50" i="29"/>
  <c r="N50" i="29"/>
  <c r="O50" i="29"/>
  <c r="P50" i="29"/>
  <c r="Q50" i="29"/>
  <c r="R50" i="29"/>
  <c r="S50" i="29"/>
  <c r="J51" i="29"/>
  <c r="K51" i="29"/>
  <c r="L51" i="29"/>
  <c r="M51" i="29"/>
  <c r="N51" i="29"/>
  <c r="O51" i="29"/>
  <c r="P51" i="29"/>
  <c r="Q51" i="29"/>
  <c r="R51" i="29"/>
  <c r="S51" i="29"/>
  <c r="J52" i="29"/>
  <c r="K52" i="29"/>
  <c r="L52" i="29"/>
  <c r="M52" i="29"/>
  <c r="N52" i="29"/>
  <c r="O52" i="29"/>
  <c r="P52" i="29"/>
  <c r="Q52" i="29"/>
  <c r="R52" i="29"/>
  <c r="S52" i="29"/>
  <c r="J53" i="29"/>
  <c r="K53" i="29"/>
  <c r="L53" i="29"/>
  <c r="M53" i="29"/>
  <c r="N53" i="29"/>
  <c r="O53" i="29"/>
  <c r="P53" i="29"/>
  <c r="Q53" i="29"/>
  <c r="R53" i="29"/>
  <c r="S53" i="29"/>
  <c r="J54" i="29"/>
  <c r="K54" i="29"/>
  <c r="L54" i="29"/>
  <c r="M54" i="29"/>
  <c r="N54" i="29"/>
  <c r="O54" i="29"/>
  <c r="P54" i="29"/>
  <c r="Q54" i="29"/>
  <c r="R54" i="29"/>
  <c r="S54" i="29"/>
  <c r="J55" i="29"/>
  <c r="K55" i="29"/>
  <c r="L55" i="29"/>
  <c r="M55" i="29"/>
  <c r="N55" i="29"/>
  <c r="O55" i="29"/>
  <c r="P55" i="29"/>
  <c r="Q55" i="29"/>
  <c r="R55" i="29"/>
  <c r="S55" i="29"/>
  <c r="J56" i="29"/>
  <c r="K56" i="29"/>
  <c r="L56" i="29"/>
  <c r="M56" i="29"/>
  <c r="N56" i="29"/>
  <c r="O56" i="29"/>
  <c r="P56" i="29"/>
  <c r="Q56" i="29"/>
  <c r="R56" i="29"/>
  <c r="S56" i="29"/>
  <c r="J57" i="29"/>
  <c r="K57" i="29"/>
  <c r="L57" i="29"/>
  <c r="M57" i="29"/>
  <c r="N57" i="29"/>
  <c r="O57" i="29"/>
  <c r="P57" i="29"/>
  <c r="Q57" i="29"/>
  <c r="R57" i="29"/>
  <c r="S57" i="29"/>
  <c r="J58" i="29"/>
  <c r="K58" i="29"/>
  <c r="L58" i="29"/>
  <c r="M58" i="29"/>
  <c r="N58" i="29"/>
  <c r="O58" i="29"/>
  <c r="P58" i="29"/>
  <c r="Q58" i="29"/>
  <c r="R58" i="29"/>
  <c r="S58" i="29"/>
  <c r="J59" i="29"/>
  <c r="K59" i="29"/>
  <c r="L59" i="29"/>
  <c r="M59" i="29"/>
  <c r="N59" i="29"/>
  <c r="O59" i="29"/>
  <c r="P59" i="29"/>
  <c r="Q59" i="29"/>
  <c r="R59" i="29"/>
  <c r="S59" i="29"/>
  <c r="J60" i="29"/>
  <c r="K60" i="29"/>
  <c r="L60" i="29"/>
  <c r="M60" i="29"/>
  <c r="N60" i="29"/>
  <c r="O60" i="29"/>
  <c r="P60" i="29"/>
  <c r="Q60" i="29"/>
  <c r="R60" i="29"/>
  <c r="S60" i="29"/>
  <c r="J61" i="29"/>
  <c r="K61" i="29"/>
  <c r="L61" i="29"/>
  <c r="M61" i="29"/>
  <c r="N61" i="29"/>
  <c r="O61" i="29"/>
  <c r="P61" i="29"/>
  <c r="Q61" i="29"/>
  <c r="R61" i="29"/>
  <c r="S61" i="29"/>
  <c r="J62" i="29"/>
  <c r="K62" i="29"/>
  <c r="L62" i="29"/>
  <c r="M62" i="29"/>
  <c r="N62" i="29"/>
  <c r="O62" i="29"/>
  <c r="P62" i="29"/>
  <c r="Q62" i="29"/>
  <c r="R62" i="29"/>
  <c r="S62" i="29"/>
  <c r="J63" i="29"/>
  <c r="K63" i="29"/>
  <c r="L63" i="29"/>
  <c r="M63" i="29"/>
  <c r="N63" i="29"/>
  <c r="O63" i="29"/>
  <c r="P63" i="29"/>
  <c r="Q63" i="29"/>
  <c r="R63" i="29"/>
  <c r="S63" i="29"/>
  <c r="J64" i="29"/>
  <c r="K64" i="29"/>
  <c r="L64" i="29"/>
  <c r="M64" i="29"/>
  <c r="N64" i="29"/>
  <c r="O64" i="29"/>
  <c r="P64" i="29"/>
  <c r="Q64" i="29"/>
  <c r="R64" i="29"/>
  <c r="S64" i="29"/>
  <c r="J65" i="29"/>
  <c r="K65" i="29"/>
  <c r="L65" i="29"/>
  <c r="M65" i="29"/>
  <c r="N65" i="29"/>
  <c r="O65" i="29"/>
  <c r="P65" i="29"/>
  <c r="Q65" i="29"/>
  <c r="R65" i="29"/>
  <c r="S65" i="29"/>
  <c r="J66" i="29"/>
  <c r="K66" i="29"/>
  <c r="L66" i="29"/>
  <c r="M66" i="29"/>
  <c r="N66" i="29"/>
  <c r="O66" i="29"/>
  <c r="P66" i="29"/>
  <c r="Q66" i="29"/>
  <c r="R66" i="29"/>
  <c r="S66" i="29"/>
  <c r="J67" i="29"/>
  <c r="K67" i="29"/>
  <c r="L67" i="29"/>
  <c r="M67" i="29"/>
  <c r="N67" i="29"/>
  <c r="O67" i="29"/>
  <c r="P67" i="29"/>
  <c r="Q67" i="29"/>
  <c r="R67" i="29"/>
  <c r="S67" i="29"/>
  <c r="J68" i="29"/>
  <c r="K68" i="29"/>
  <c r="L68" i="29"/>
  <c r="M68" i="29"/>
  <c r="N68" i="29"/>
  <c r="O68" i="29"/>
  <c r="P68" i="29"/>
  <c r="Q68" i="29"/>
  <c r="R68" i="29"/>
  <c r="S68" i="29"/>
  <c r="J69" i="29"/>
  <c r="K69" i="29"/>
  <c r="L69" i="29"/>
  <c r="M69" i="29"/>
  <c r="N69" i="29"/>
  <c r="O69" i="29"/>
  <c r="P69" i="29"/>
  <c r="Q69" i="29"/>
  <c r="R69" i="29"/>
  <c r="S69" i="29"/>
  <c r="J70" i="29"/>
  <c r="K70" i="29"/>
  <c r="L70" i="29"/>
  <c r="M70" i="29"/>
  <c r="N70" i="29"/>
  <c r="O70" i="29"/>
  <c r="P70" i="29"/>
  <c r="Q70" i="29"/>
  <c r="R70" i="29"/>
  <c r="S70" i="29"/>
  <c r="J71" i="29"/>
  <c r="K71" i="29"/>
  <c r="L71" i="29"/>
  <c r="M71" i="29"/>
  <c r="N71" i="29"/>
  <c r="O71" i="29"/>
  <c r="P71" i="29"/>
  <c r="Q71" i="29"/>
  <c r="R71" i="29"/>
  <c r="S71" i="29"/>
  <c r="J72" i="29"/>
  <c r="K72" i="29"/>
  <c r="L72" i="29"/>
  <c r="M72" i="29"/>
  <c r="N72" i="29"/>
  <c r="O72" i="29"/>
  <c r="P72" i="29"/>
  <c r="Q72" i="29"/>
  <c r="R72" i="29"/>
  <c r="S72" i="29"/>
  <c r="J73" i="29"/>
  <c r="K73" i="29"/>
  <c r="L73" i="29"/>
  <c r="M73" i="29"/>
  <c r="N73" i="29"/>
  <c r="O73" i="29"/>
  <c r="P73" i="29"/>
  <c r="Q73" i="29"/>
  <c r="R73" i="29"/>
  <c r="S73" i="29"/>
  <c r="J74" i="29"/>
  <c r="K74" i="29"/>
  <c r="L74" i="29"/>
  <c r="M74" i="29"/>
  <c r="N74" i="29"/>
  <c r="O74" i="29"/>
  <c r="P74" i="29"/>
  <c r="Q74" i="29"/>
  <c r="R74" i="29"/>
  <c r="S74" i="29"/>
  <c r="J75" i="29"/>
  <c r="K75" i="29"/>
  <c r="L75" i="29"/>
  <c r="M75" i="29"/>
  <c r="N75" i="29"/>
  <c r="O75" i="29"/>
  <c r="P75" i="29"/>
  <c r="Q75" i="29"/>
  <c r="R75" i="29"/>
  <c r="S75" i="29"/>
  <c r="J76" i="29"/>
  <c r="K76" i="29"/>
  <c r="L76" i="29"/>
  <c r="M76" i="29"/>
  <c r="N76" i="29"/>
  <c r="O76" i="29"/>
  <c r="P76" i="29"/>
  <c r="Q76" i="29"/>
  <c r="R76" i="29"/>
  <c r="S76" i="29"/>
  <c r="J77" i="29"/>
  <c r="K77" i="29"/>
  <c r="L77" i="29"/>
  <c r="M77" i="29"/>
  <c r="N77" i="29"/>
  <c r="O77" i="29"/>
  <c r="P77" i="29"/>
  <c r="Q77" i="29"/>
  <c r="R77" i="29"/>
  <c r="S77" i="29"/>
  <c r="J78" i="29"/>
  <c r="K78" i="29"/>
  <c r="L78" i="29"/>
  <c r="M78" i="29"/>
  <c r="N78" i="29"/>
  <c r="O78" i="29"/>
  <c r="P78" i="29"/>
  <c r="Q78" i="29"/>
  <c r="R78" i="29"/>
  <c r="S78" i="29"/>
  <c r="J79" i="29"/>
  <c r="K79" i="29"/>
  <c r="L79" i="29"/>
  <c r="M79" i="29"/>
  <c r="N79" i="29"/>
  <c r="O79" i="29"/>
  <c r="P79" i="29"/>
  <c r="Q79" i="29"/>
  <c r="R79" i="29"/>
  <c r="S79" i="29"/>
  <c r="J80" i="29"/>
  <c r="K80" i="29"/>
  <c r="L80" i="29"/>
  <c r="M80" i="29"/>
  <c r="N80" i="29"/>
  <c r="O80" i="29"/>
  <c r="P80" i="29"/>
  <c r="Q80" i="29"/>
  <c r="R80" i="29"/>
  <c r="S80" i="29"/>
  <c r="J81" i="29"/>
  <c r="K81" i="29"/>
  <c r="L81" i="29"/>
  <c r="M81" i="29"/>
  <c r="N81" i="29"/>
  <c r="O81" i="29"/>
  <c r="P81" i="29"/>
  <c r="Q81" i="29"/>
  <c r="R81" i="29"/>
  <c r="S81" i="29"/>
  <c r="J82" i="29"/>
  <c r="K82" i="29"/>
  <c r="L82" i="29"/>
  <c r="M82" i="29"/>
  <c r="N82" i="29"/>
  <c r="O82" i="29"/>
  <c r="P82" i="29"/>
  <c r="Q82" i="29"/>
  <c r="R82" i="29"/>
  <c r="S82" i="29"/>
  <c r="J83" i="29"/>
  <c r="K83" i="29"/>
  <c r="L83" i="29"/>
  <c r="M83" i="29"/>
  <c r="N83" i="29"/>
  <c r="O83" i="29"/>
  <c r="P83" i="29"/>
  <c r="Q83" i="29"/>
  <c r="R83" i="29"/>
  <c r="S83" i="29"/>
  <c r="J84" i="29"/>
  <c r="K84" i="29"/>
  <c r="L84" i="29"/>
  <c r="M84" i="29"/>
  <c r="N84" i="29"/>
  <c r="O84" i="29"/>
  <c r="P84" i="29"/>
  <c r="Q84" i="29"/>
  <c r="R84" i="29"/>
  <c r="S84" i="29"/>
  <c r="J85" i="29"/>
  <c r="K85" i="29"/>
  <c r="L85" i="29"/>
  <c r="M85" i="29"/>
  <c r="N85" i="29"/>
  <c r="O85" i="29"/>
  <c r="P85" i="29"/>
  <c r="Q85" i="29"/>
  <c r="R85" i="29"/>
  <c r="S85" i="29"/>
  <c r="J86" i="29"/>
  <c r="K86" i="29"/>
  <c r="L86" i="29"/>
  <c r="M86" i="29"/>
  <c r="N86" i="29"/>
  <c r="O86" i="29"/>
  <c r="P86" i="29"/>
  <c r="Q86" i="29"/>
  <c r="R86" i="29"/>
  <c r="S86" i="29"/>
  <c r="J87" i="29"/>
  <c r="K87" i="29"/>
  <c r="L87" i="29"/>
  <c r="M87" i="29"/>
  <c r="N87" i="29"/>
  <c r="O87" i="29"/>
  <c r="P87" i="29"/>
  <c r="Q87" i="29"/>
  <c r="R87" i="29"/>
  <c r="S87" i="29"/>
  <c r="J88" i="29"/>
  <c r="K88" i="29"/>
  <c r="L88" i="29"/>
  <c r="M88" i="29"/>
  <c r="N88" i="29"/>
  <c r="O88" i="29"/>
  <c r="P88" i="29"/>
  <c r="Q88" i="29"/>
  <c r="R88" i="29"/>
  <c r="S88" i="29"/>
  <c r="J89" i="29"/>
  <c r="K89" i="29"/>
  <c r="L89" i="29"/>
  <c r="M89" i="29"/>
  <c r="N89" i="29"/>
  <c r="O89" i="29"/>
  <c r="P89" i="29"/>
  <c r="Q89" i="29"/>
  <c r="R89" i="29"/>
  <c r="S89" i="29"/>
  <c r="J90" i="29"/>
  <c r="K90" i="29"/>
  <c r="L90" i="29"/>
  <c r="M90" i="29"/>
  <c r="N90" i="29"/>
  <c r="O90" i="29"/>
  <c r="P90" i="29"/>
  <c r="Q90" i="29"/>
  <c r="R90" i="29"/>
  <c r="S90" i="29"/>
  <c r="J91" i="29"/>
  <c r="K91" i="29"/>
  <c r="L91" i="29"/>
  <c r="M91" i="29"/>
  <c r="N91" i="29"/>
  <c r="O91" i="29"/>
  <c r="P91" i="29"/>
  <c r="Q91" i="29"/>
  <c r="R91" i="29"/>
  <c r="S91" i="29"/>
  <c r="J92" i="29"/>
  <c r="K92" i="29"/>
  <c r="L92" i="29"/>
  <c r="M92" i="29"/>
  <c r="N92" i="29"/>
  <c r="O92" i="29"/>
  <c r="P92" i="29"/>
  <c r="Q92" i="29"/>
  <c r="R92" i="29"/>
  <c r="S92" i="29"/>
  <c r="J93" i="29"/>
  <c r="K93" i="29"/>
  <c r="L93" i="29"/>
  <c r="M93" i="29"/>
  <c r="N93" i="29"/>
  <c r="O93" i="29"/>
  <c r="P93" i="29"/>
  <c r="Q93" i="29"/>
  <c r="R93" i="29"/>
  <c r="S93" i="29"/>
  <c r="J94" i="29"/>
  <c r="K94" i="29"/>
  <c r="L94" i="29"/>
  <c r="M94" i="29"/>
  <c r="N94" i="29"/>
  <c r="O94" i="29"/>
  <c r="P94" i="29"/>
  <c r="Q94" i="29"/>
  <c r="R94" i="29"/>
  <c r="S94" i="29"/>
  <c r="J95" i="29"/>
  <c r="K95" i="29"/>
  <c r="L95" i="29"/>
  <c r="M95" i="29"/>
  <c r="N95" i="29"/>
  <c r="O95" i="29"/>
  <c r="P95" i="29"/>
  <c r="Q95" i="29"/>
  <c r="R95" i="29"/>
  <c r="S95" i="29"/>
  <c r="J96" i="29"/>
  <c r="K96" i="29"/>
  <c r="L96" i="29"/>
  <c r="M96" i="29"/>
  <c r="N96" i="29"/>
  <c r="O96" i="29"/>
  <c r="P96" i="29"/>
  <c r="Q96" i="29"/>
  <c r="R96" i="29"/>
  <c r="S96" i="29"/>
  <c r="J97" i="29"/>
  <c r="K97" i="29"/>
  <c r="L97" i="29"/>
  <c r="M97" i="29"/>
  <c r="N97" i="29"/>
  <c r="O97" i="29"/>
  <c r="P97" i="29"/>
  <c r="Q97" i="29"/>
  <c r="R97" i="29"/>
  <c r="S97" i="29"/>
  <c r="J98" i="29"/>
  <c r="K98" i="29"/>
  <c r="L98" i="29"/>
  <c r="M98" i="29"/>
  <c r="N98" i="29"/>
  <c r="O98" i="29"/>
  <c r="P98" i="29"/>
  <c r="Q98" i="29"/>
  <c r="R98" i="29"/>
  <c r="S98" i="29"/>
  <c r="J99" i="29"/>
  <c r="K99" i="29"/>
  <c r="L99" i="29"/>
  <c r="M99" i="29"/>
  <c r="N99" i="29"/>
  <c r="O99" i="29"/>
  <c r="P99" i="29"/>
  <c r="Q99" i="29"/>
  <c r="R99" i="29"/>
  <c r="S99" i="29"/>
  <c r="J100" i="29"/>
  <c r="K100" i="29"/>
  <c r="L100" i="29"/>
  <c r="M100" i="29"/>
  <c r="N100" i="29"/>
  <c r="O100" i="29"/>
  <c r="P100" i="29"/>
  <c r="Q100" i="29"/>
  <c r="R100" i="29"/>
  <c r="S100" i="29"/>
  <c r="J101" i="29"/>
  <c r="K101" i="29"/>
  <c r="L101" i="29"/>
  <c r="M101" i="29"/>
  <c r="N101" i="29"/>
  <c r="O101" i="29"/>
  <c r="P101" i="29"/>
  <c r="Q101" i="29"/>
  <c r="R101" i="29"/>
  <c r="S101" i="29"/>
  <c r="J102" i="29"/>
  <c r="K102" i="29"/>
  <c r="L102" i="29"/>
  <c r="M102" i="29"/>
  <c r="N102" i="29"/>
  <c r="O102" i="29"/>
  <c r="P102" i="29"/>
  <c r="Q102" i="29"/>
  <c r="R102" i="29"/>
  <c r="S102" i="29"/>
  <c r="J103" i="29"/>
  <c r="K103" i="29"/>
  <c r="L103" i="29"/>
  <c r="M103" i="29"/>
  <c r="N103" i="29"/>
  <c r="O103" i="29"/>
  <c r="P103" i="29"/>
  <c r="Q103" i="29"/>
  <c r="R103" i="29"/>
  <c r="S103" i="29"/>
  <c r="J104" i="29"/>
  <c r="K104" i="29"/>
  <c r="L104" i="29"/>
  <c r="M104" i="29"/>
  <c r="N104" i="29"/>
  <c r="O104" i="29"/>
  <c r="P104" i="29"/>
  <c r="Q104" i="29"/>
  <c r="R104" i="29"/>
  <c r="S104" i="29"/>
  <c r="J105" i="29"/>
  <c r="K105" i="29"/>
  <c r="L105" i="29"/>
  <c r="M105" i="29"/>
  <c r="N105" i="29"/>
  <c r="O105" i="29"/>
  <c r="P105" i="29"/>
  <c r="Q105" i="29"/>
  <c r="R105" i="29"/>
  <c r="S105" i="29"/>
  <c r="J106" i="29"/>
  <c r="K106" i="29"/>
  <c r="L106" i="29"/>
  <c r="M106" i="29"/>
  <c r="N106" i="29"/>
  <c r="O106" i="29"/>
  <c r="P106" i="29"/>
  <c r="Q106" i="29"/>
  <c r="R106" i="29"/>
  <c r="S106" i="29"/>
  <c r="J107" i="29"/>
  <c r="K107" i="29"/>
  <c r="L107" i="29"/>
  <c r="M107" i="29"/>
  <c r="N107" i="29"/>
  <c r="O107" i="29"/>
  <c r="P107" i="29"/>
  <c r="Q107" i="29"/>
  <c r="R107" i="29"/>
  <c r="S107" i="29"/>
  <c r="J108" i="29"/>
  <c r="K108" i="29"/>
  <c r="L108" i="29"/>
  <c r="M108" i="29"/>
  <c r="N108" i="29"/>
  <c r="O108" i="29"/>
  <c r="P108" i="29"/>
  <c r="Q108" i="29"/>
  <c r="R108" i="29"/>
  <c r="S108" i="29"/>
  <c r="J109" i="29"/>
  <c r="K109" i="29"/>
  <c r="L109" i="29"/>
  <c r="M109" i="29"/>
  <c r="N109" i="29"/>
  <c r="O109" i="29"/>
  <c r="P109" i="29"/>
  <c r="Q109" i="29"/>
  <c r="R109" i="29"/>
  <c r="S109" i="29"/>
  <c r="J110" i="29"/>
  <c r="K110" i="29"/>
  <c r="L110" i="29"/>
  <c r="M110" i="29"/>
  <c r="N110" i="29"/>
  <c r="O110" i="29"/>
  <c r="P110" i="29"/>
  <c r="Q110" i="29"/>
  <c r="R110" i="29"/>
  <c r="S110" i="29"/>
  <c r="J111" i="29"/>
  <c r="K111" i="29"/>
  <c r="L111" i="29"/>
  <c r="M111" i="29"/>
  <c r="N111" i="29"/>
  <c r="O111" i="29"/>
  <c r="P111" i="29"/>
  <c r="Q111" i="29"/>
  <c r="R111" i="29"/>
  <c r="S111" i="29"/>
  <c r="J112" i="29"/>
  <c r="K112" i="29"/>
  <c r="L112" i="29"/>
  <c r="M112" i="29"/>
  <c r="N112" i="29"/>
  <c r="O112" i="29"/>
  <c r="P112" i="29"/>
  <c r="Q112" i="29"/>
  <c r="R112" i="29"/>
  <c r="S112" i="29"/>
  <c r="J113" i="29"/>
  <c r="K113" i="29"/>
  <c r="L113" i="29"/>
  <c r="M113" i="29"/>
  <c r="N113" i="29"/>
  <c r="O113" i="29"/>
  <c r="P113" i="29"/>
  <c r="Q113" i="29"/>
  <c r="R113" i="29"/>
  <c r="S113" i="29"/>
  <c r="J114" i="29"/>
  <c r="K114" i="29"/>
  <c r="L114" i="29"/>
  <c r="M114" i="29"/>
  <c r="N114" i="29"/>
  <c r="O114" i="29"/>
  <c r="P114" i="29"/>
  <c r="Q114" i="29"/>
  <c r="R114" i="29"/>
  <c r="S114" i="29"/>
  <c r="J115" i="29"/>
  <c r="K115" i="29"/>
  <c r="L115" i="29"/>
  <c r="M115" i="29"/>
  <c r="N115" i="29"/>
  <c r="O115" i="29"/>
  <c r="P115" i="29"/>
  <c r="Q115" i="29"/>
  <c r="R115" i="29"/>
  <c r="S115" i="29"/>
  <c r="J116" i="29"/>
  <c r="K116" i="29"/>
  <c r="L116" i="29"/>
  <c r="M116" i="29"/>
  <c r="N116" i="29"/>
  <c r="O116" i="29"/>
  <c r="P116" i="29"/>
  <c r="Q116" i="29"/>
  <c r="R116" i="29"/>
  <c r="S116" i="29"/>
  <c r="J117" i="29"/>
  <c r="K117" i="29"/>
  <c r="L117" i="29"/>
  <c r="M117" i="29"/>
  <c r="N117" i="29"/>
  <c r="O117" i="29"/>
  <c r="P117" i="29"/>
  <c r="Q117" i="29"/>
  <c r="R117" i="29"/>
  <c r="S117" i="29"/>
  <c r="J118" i="29"/>
  <c r="K118" i="29"/>
  <c r="L118" i="29"/>
  <c r="M118" i="29"/>
  <c r="N118" i="29"/>
  <c r="O118" i="29"/>
  <c r="P118" i="29"/>
  <c r="Q118" i="29"/>
  <c r="R118" i="29"/>
  <c r="S118" i="29"/>
  <c r="J119" i="29"/>
  <c r="K119" i="29"/>
  <c r="L119" i="29"/>
  <c r="M119" i="29"/>
  <c r="N119" i="29"/>
  <c r="O119" i="29"/>
  <c r="P119" i="29"/>
  <c r="Q119" i="29"/>
  <c r="R119" i="29"/>
  <c r="S119" i="29"/>
  <c r="J120" i="29"/>
  <c r="K120" i="29"/>
  <c r="L120" i="29"/>
  <c r="M120" i="29"/>
  <c r="N120" i="29"/>
  <c r="O120" i="29"/>
  <c r="P120" i="29"/>
  <c r="Q120" i="29"/>
  <c r="R120" i="29"/>
  <c r="S120" i="29"/>
  <c r="J121" i="29"/>
  <c r="K121" i="29"/>
  <c r="L121" i="29"/>
  <c r="M121" i="29"/>
  <c r="N121" i="29"/>
  <c r="O121" i="29"/>
  <c r="P121" i="29"/>
  <c r="Q121" i="29"/>
  <c r="R121" i="29"/>
  <c r="S121" i="29"/>
  <c r="J122" i="29"/>
  <c r="K122" i="29"/>
  <c r="L122" i="29"/>
  <c r="M122" i="29"/>
  <c r="N122" i="29"/>
  <c r="O122" i="29"/>
  <c r="P122" i="29"/>
  <c r="Q122" i="29"/>
  <c r="R122" i="29"/>
  <c r="S122" i="29"/>
  <c r="J123" i="29"/>
  <c r="K123" i="29"/>
  <c r="L123" i="29"/>
  <c r="M123" i="29"/>
  <c r="N123" i="29"/>
  <c r="O123" i="29"/>
  <c r="P123" i="29"/>
  <c r="Q123" i="29"/>
  <c r="R123" i="29"/>
  <c r="S123" i="29"/>
  <c r="J124" i="29"/>
  <c r="K124" i="29"/>
  <c r="L124" i="29"/>
  <c r="M124" i="29"/>
  <c r="N124" i="29"/>
  <c r="O124" i="29"/>
  <c r="P124" i="29"/>
  <c r="Q124" i="29"/>
  <c r="R124" i="29"/>
  <c r="S124" i="29"/>
  <c r="J125" i="29"/>
  <c r="K125" i="29"/>
  <c r="L125" i="29"/>
  <c r="M125" i="29"/>
  <c r="N125" i="29"/>
  <c r="O125" i="29"/>
  <c r="P125" i="29"/>
  <c r="Q125" i="29"/>
  <c r="R125" i="29"/>
  <c r="S125" i="29"/>
  <c r="J126" i="29"/>
  <c r="K126" i="29"/>
  <c r="L126" i="29"/>
  <c r="M126" i="29"/>
  <c r="N126" i="29"/>
  <c r="O126" i="29"/>
  <c r="P126" i="29"/>
  <c r="Q126" i="29"/>
  <c r="R126" i="29"/>
  <c r="S126" i="29"/>
  <c r="J127" i="29"/>
  <c r="K127" i="29"/>
  <c r="L127" i="29"/>
  <c r="M127" i="29"/>
  <c r="N127" i="29"/>
  <c r="O127" i="29"/>
  <c r="P127" i="29"/>
  <c r="Q127" i="29"/>
  <c r="R127" i="29"/>
  <c r="S127" i="29"/>
  <c r="J128" i="29"/>
  <c r="K128" i="29"/>
  <c r="L128" i="29"/>
  <c r="M128" i="29"/>
  <c r="N128" i="29"/>
  <c r="O128" i="29"/>
  <c r="P128" i="29"/>
  <c r="Q128" i="29"/>
  <c r="R128" i="29"/>
  <c r="S128" i="29"/>
  <c r="J129" i="29"/>
  <c r="K129" i="29"/>
  <c r="L129" i="29"/>
  <c r="M129" i="29"/>
  <c r="N129" i="29"/>
  <c r="O129" i="29"/>
  <c r="P129" i="29"/>
  <c r="Q129" i="29"/>
  <c r="R129" i="29"/>
  <c r="S129" i="29"/>
  <c r="J130" i="29"/>
  <c r="K130" i="29"/>
  <c r="L130" i="29"/>
  <c r="M130" i="29"/>
  <c r="N130" i="29"/>
  <c r="O130" i="29"/>
  <c r="P130" i="29"/>
  <c r="Q130" i="29"/>
  <c r="R130" i="29"/>
  <c r="S130" i="29"/>
  <c r="J131" i="29"/>
  <c r="K131" i="29"/>
  <c r="L131" i="29"/>
  <c r="M131" i="29"/>
  <c r="N131" i="29"/>
  <c r="O131" i="29"/>
  <c r="P131" i="29"/>
  <c r="Q131" i="29"/>
  <c r="R131" i="29"/>
  <c r="S131" i="29"/>
  <c r="J132" i="29"/>
  <c r="K132" i="29"/>
  <c r="L132" i="29"/>
  <c r="M132" i="29"/>
  <c r="N132" i="29"/>
  <c r="O132" i="29"/>
  <c r="P132" i="29"/>
  <c r="Q132" i="29"/>
  <c r="R132" i="29"/>
  <c r="S132" i="29"/>
  <c r="J133" i="29"/>
  <c r="K133" i="29"/>
  <c r="L133" i="29"/>
  <c r="M133" i="29"/>
  <c r="N133" i="29"/>
  <c r="O133" i="29"/>
  <c r="P133" i="29"/>
  <c r="Q133" i="29"/>
  <c r="R133" i="29"/>
  <c r="S133" i="29"/>
  <c r="J134" i="29"/>
  <c r="K134" i="29"/>
  <c r="L134" i="29"/>
  <c r="M134" i="29"/>
  <c r="N134" i="29"/>
  <c r="O134" i="29"/>
  <c r="P134" i="29"/>
  <c r="Q134" i="29"/>
  <c r="R134" i="29"/>
  <c r="S134" i="29"/>
  <c r="J135" i="29"/>
  <c r="K135" i="29"/>
  <c r="L135" i="29"/>
  <c r="M135" i="29"/>
  <c r="N135" i="29"/>
  <c r="O135" i="29"/>
  <c r="P135" i="29"/>
  <c r="Q135" i="29"/>
  <c r="R135" i="29"/>
  <c r="S135" i="29"/>
  <c r="J136" i="29"/>
  <c r="K136" i="29"/>
  <c r="L136" i="29"/>
  <c r="M136" i="29"/>
  <c r="N136" i="29"/>
  <c r="O136" i="29"/>
  <c r="P136" i="29"/>
  <c r="Q136" i="29"/>
  <c r="R136" i="29"/>
  <c r="S136" i="29"/>
  <c r="J137" i="29"/>
  <c r="K137" i="29"/>
  <c r="L137" i="29"/>
  <c r="M137" i="29"/>
  <c r="N137" i="29"/>
  <c r="O137" i="29"/>
  <c r="P137" i="29"/>
  <c r="Q137" i="29"/>
  <c r="R137" i="29"/>
  <c r="S137" i="29"/>
  <c r="J138" i="29"/>
  <c r="K138" i="29"/>
  <c r="L138" i="29"/>
  <c r="M138" i="29"/>
  <c r="N138" i="29"/>
  <c r="O138" i="29"/>
  <c r="P138" i="29"/>
  <c r="Q138" i="29"/>
  <c r="R138" i="29"/>
  <c r="S138" i="29"/>
  <c r="J139" i="29"/>
  <c r="K139" i="29"/>
  <c r="L139" i="29"/>
  <c r="M139" i="29"/>
  <c r="N139" i="29"/>
  <c r="O139" i="29"/>
  <c r="P139" i="29"/>
  <c r="Q139" i="29"/>
  <c r="R139" i="29"/>
  <c r="S139" i="29"/>
  <c r="J140" i="29"/>
  <c r="K140" i="29"/>
  <c r="L140" i="29"/>
  <c r="M140" i="29"/>
  <c r="N140" i="29"/>
  <c r="O140" i="29"/>
  <c r="P140" i="29"/>
  <c r="Q140" i="29"/>
  <c r="R140" i="29"/>
  <c r="S140" i="29"/>
  <c r="J141" i="29"/>
  <c r="K141" i="29"/>
  <c r="L141" i="29"/>
  <c r="M141" i="29"/>
  <c r="N141" i="29"/>
  <c r="O141" i="29"/>
  <c r="P141" i="29"/>
  <c r="Q141" i="29"/>
  <c r="R141" i="29"/>
  <c r="S141" i="29"/>
  <c r="J142" i="29"/>
  <c r="K142" i="29"/>
  <c r="L142" i="29"/>
  <c r="M142" i="29"/>
  <c r="N142" i="29"/>
  <c r="O142" i="29"/>
  <c r="P142" i="29"/>
  <c r="Q142" i="29"/>
  <c r="R142" i="29"/>
  <c r="S142" i="29"/>
  <c r="J143" i="29"/>
  <c r="K143" i="29"/>
  <c r="L143" i="29"/>
  <c r="M143" i="29"/>
  <c r="N143" i="29"/>
  <c r="O143" i="29"/>
  <c r="P143" i="29"/>
  <c r="Q143" i="29"/>
  <c r="R143" i="29"/>
  <c r="S143" i="29"/>
  <c r="J144" i="29"/>
  <c r="K144" i="29"/>
  <c r="L144" i="29"/>
  <c r="M144" i="29"/>
  <c r="N144" i="29"/>
  <c r="O144" i="29"/>
  <c r="P144" i="29"/>
  <c r="Q144" i="29"/>
  <c r="R144" i="29"/>
  <c r="S144" i="29"/>
  <c r="J145" i="29"/>
  <c r="K145" i="29"/>
  <c r="L145" i="29"/>
  <c r="M145" i="29"/>
  <c r="N145" i="29"/>
  <c r="O145" i="29"/>
  <c r="P145" i="29"/>
  <c r="Q145" i="29"/>
  <c r="R145" i="29"/>
  <c r="S145" i="29"/>
  <c r="J146" i="29"/>
  <c r="K146" i="29"/>
  <c r="L146" i="29"/>
  <c r="M146" i="29"/>
  <c r="N146" i="29"/>
  <c r="O146" i="29"/>
  <c r="P146" i="29"/>
  <c r="Q146" i="29"/>
  <c r="R146" i="29"/>
  <c r="S146" i="29"/>
  <c r="J147" i="29"/>
  <c r="K147" i="29"/>
  <c r="L147" i="29"/>
  <c r="M147" i="29"/>
  <c r="N147" i="29"/>
  <c r="O147" i="29"/>
  <c r="P147" i="29"/>
  <c r="Q147" i="29"/>
  <c r="R147" i="29"/>
  <c r="S147" i="29"/>
  <c r="J148" i="29"/>
  <c r="K148" i="29"/>
  <c r="L148" i="29"/>
  <c r="M148" i="29"/>
  <c r="N148" i="29"/>
  <c r="O148" i="29"/>
  <c r="P148" i="29"/>
  <c r="Q148" i="29"/>
  <c r="R148" i="29"/>
  <c r="S148" i="29"/>
  <c r="J149" i="29"/>
  <c r="K149" i="29"/>
  <c r="L149" i="29"/>
  <c r="M149" i="29"/>
  <c r="N149" i="29"/>
  <c r="O149" i="29"/>
  <c r="P149" i="29"/>
  <c r="Q149" i="29"/>
  <c r="R149" i="29"/>
  <c r="S149" i="29"/>
  <c r="J150" i="29"/>
  <c r="K150" i="29"/>
  <c r="L150" i="29"/>
  <c r="M150" i="29"/>
  <c r="N150" i="29"/>
  <c r="O150" i="29"/>
  <c r="P150" i="29"/>
  <c r="Q150" i="29"/>
  <c r="R150" i="29"/>
  <c r="S150" i="29"/>
  <c r="J151" i="29"/>
  <c r="K151" i="29"/>
  <c r="L151" i="29"/>
  <c r="M151" i="29"/>
  <c r="N151" i="29"/>
  <c r="O151" i="29"/>
  <c r="P151" i="29"/>
  <c r="Q151" i="29"/>
  <c r="R151" i="29"/>
  <c r="S151" i="29"/>
  <c r="J152" i="29"/>
  <c r="K152" i="29"/>
  <c r="L152" i="29"/>
  <c r="M152" i="29"/>
  <c r="N152" i="29"/>
  <c r="O152" i="29"/>
  <c r="P152" i="29"/>
  <c r="Q152" i="29"/>
  <c r="R152" i="29"/>
  <c r="S152" i="29"/>
  <c r="J153" i="29"/>
  <c r="K153" i="29"/>
  <c r="L153" i="29"/>
  <c r="M153" i="29"/>
  <c r="N153" i="29"/>
  <c r="O153" i="29"/>
  <c r="P153" i="29"/>
  <c r="Q153" i="29"/>
  <c r="R153" i="29"/>
  <c r="S153" i="29"/>
  <c r="J154" i="29"/>
  <c r="K154" i="29"/>
  <c r="L154" i="29"/>
  <c r="M154" i="29"/>
  <c r="N154" i="29"/>
  <c r="O154" i="29"/>
  <c r="P154" i="29"/>
  <c r="Q154" i="29"/>
  <c r="R154" i="29"/>
  <c r="S154" i="29"/>
  <c r="J155" i="29"/>
  <c r="K155" i="29"/>
  <c r="L155" i="29"/>
  <c r="M155" i="29"/>
  <c r="N155" i="29"/>
  <c r="O155" i="29"/>
  <c r="P155" i="29"/>
  <c r="Q155" i="29"/>
  <c r="R155" i="29"/>
  <c r="S155" i="29"/>
  <c r="J156" i="29"/>
  <c r="K156" i="29"/>
  <c r="L156" i="29"/>
  <c r="M156" i="29"/>
  <c r="N156" i="29"/>
  <c r="O156" i="29"/>
  <c r="P156" i="29"/>
  <c r="Q156" i="29"/>
  <c r="R156" i="29"/>
  <c r="S156" i="29"/>
  <c r="J157" i="29"/>
  <c r="K157" i="29"/>
  <c r="L157" i="29"/>
  <c r="M157" i="29"/>
  <c r="N157" i="29"/>
  <c r="O157" i="29"/>
  <c r="P157" i="29"/>
  <c r="Q157" i="29"/>
  <c r="R157" i="29"/>
  <c r="S157" i="29"/>
  <c r="J158" i="29"/>
  <c r="K158" i="29"/>
  <c r="L158" i="29"/>
  <c r="M158" i="29"/>
  <c r="N158" i="29"/>
  <c r="O158" i="29"/>
  <c r="P158" i="29"/>
  <c r="Q158" i="29"/>
  <c r="R158" i="29"/>
  <c r="S158" i="29"/>
  <c r="J159" i="29"/>
  <c r="K159" i="29"/>
  <c r="L159" i="29"/>
  <c r="M159" i="29"/>
  <c r="N159" i="29"/>
  <c r="O159" i="29"/>
  <c r="P159" i="29"/>
  <c r="Q159" i="29"/>
  <c r="R159" i="29"/>
  <c r="S159" i="29"/>
  <c r="J160" i="29"/>
  <c r="K160" i="29"/>
  <c r="L160" i="29"/>
  <c r="M160" i="29"/>
  <c r="N160" i="29"/>
  <c r="O160" i="29"/>
  <c r="P160" i="29"/>
  <c r="Q160" i="29"/>
  <c r="R160" i="29"/>
  <c r="S160" i="29"/>
  <c r="J161" i="29"/>
  <c r="K161" i="29"/>
  <c r="L161" i="29"/>
  <c r="M161" i="29"/>
  <c r="N161" i="29"/>
  <c r="O161" i="29"/>
  <c r="P161" i="29"/>
  <c r="Q161" i="29"/>
  <c r="R161" i="29"/>
  <c r="S161" i="29"/>
  <c r="J162" i="29"/>
  <c r="K162" i="29"/>
  <c r="L162" i="29"/>
  <c r="M162" i="29"/>
  <c r="N162" i="29"/>
  <c r="O162" i="29"/>
  <c r="P162" i="29"/>
  <c r="Q162" i="29"/>
  <c r="R162" i="29"/>
  <c r="S162" i="29"/>
  <c r="J163" i="29"/>
  <c r="K163" i="29"/>
  <c r="L163" i="29"/>
  <c r="M163" i="29"/>
  <c r="N163" i="29"/>
  <c r="O163" i="29"/>
  <c r="P163" i="29"/>
  <c r="Q163" i="29"/>
  <c r="R163" i="29"/>
  <c r="S163" i="29"/>
  <c r="J164" i="29"/>
  <c r="K164" i="29"/>
  <c r="L164" i="29"/>
  <c r="M164" i="29"/>
  <c r="N164" i="29"/>
  <c r="O164" i="29"/>
  <c r="P164" i="29"/>
  <c r="Q164" i="29"/>
  <c r="R164" i="29"/>
  <c r="S164" i="29"/>
  <c r="J165" i="29"/>
  <c r="K165" i="29"/>
  <c r="L165" i="29"/>
  <c r="M165" i="29"/>
  <c r="N165" i="29"/>
  <c r="O165" i="29"/>
  <c r="P165" i="29"/>
  <c r="Q165" i="29"/>
  <c r="R165" i="29"/>
  <c r="S165" i="29"/>
  <c r="J166" i="29"/>
  <c r="K166" i="29"/>
  <c r="L166" i="29"/>
  <c r="M166" i="29"/>
  <c r="N166" i="29"/>
  <c r="O166" i="29"/>
  <c r="P166" i="29"/>
  <c r="Q166" i="29"/>
  <c r="R166" i="29"/>
  <c r="S166" i="29"/>
  <c r="J167" i="29"/>
  <c r="K167" i="29"/>
  <c r="L167" i="29"/>
  <c r="M167" i="29"/>
  <c r="N167" i="29"/>
  <c r="O167" i="29"/>
  <c r="P167" i="29"/>
  <c r="Q167" i="29"/>
  <c r="R167" i="29"/>
  <c r="S167" i="29"/>
  <c r="J168" i="29"/>
  <c r="K168" i="29"/>
  <c r="L168" i="29"/>
  <c r="M168" i="29"/>
  <c r="N168" i="29"/>
  <c r="O168" i="29"/>
  <c r="P168" i="29"/>
  <c r="Q168" i="29"/>
  <c r="R168" i="29"/>
  <c r="S168" i="29"/>
  <c r="J169" i="29"/>
  <c r="K169" i="29"/>
  <c r="L169" i="29"/>
  <c r="M169" i="29"/>
  <c r="N169" i="29"/>
  <c r="O169" i="29"/>
  <c r="P169" i="29"/>
  <c r="Q169" i="29"/>
  <c r="R169" i="29"/>
  <c r="S169" i="29"/>
  <c r="J170" i="29"/>
  <c r="K170" i="29"/>
  <c r="L170" i="29"/>
  <c r="M170" i="29"/>
  <c r="N170" i="29"/>
  <c r="O170" i="29"/>
  <c r="P170" i="29"/>
  <c r="Q170" i="29"/>
  <c r="R170" i="29"/>
  <c r="S170" i="29"/>
  <c r="J171" i="29"/>
  <c r="K171" i="29"/>
  <c r="L171" i="29"/>
  <c r="M171" i="29"/>
  <c r="N171" i="29"/>
  <c r="O171" i="29"/>
  <c r="P171" i="29"/>
  <c r="Q171" i="29"/>
  <c r="R171" i="29"/>
  <c r="S171" i="29"/>
  <c r="J172" i="29"/>
  <c r="K172" i="29"/>
  <c r="L172" i="29"/>
  <c r="M172" i="29"/>
  <c r="N172" i="29"/>
  <c r="O172" i="29"/>
  <c r="P172" i="29"/>
  <c r="Q172" i="29"/>
  <c r="R172" i="29"/>
  <c r="S172" i="29"/>
  <c r="J173" i="29"/>
  <c r="K173" i="29"/>
  <c r="L173" i="29"/>
  <c r="M173" i="29"/>
  <c r="N173" i="29"/>
  <c r="O173" i="29"/>
  <c r="P173" i="29"/>
  <c r="Q173" i="29"/>
  <c r="R173" i="29"/>
  <c r="S173" i="29"/>
  <c r="J174" i="29"/>
  <c r="K174" i="29"/>
  <c r="L174" i="29"/>
  <c r="M174" i="29"/>
  <c r="N174" i="29"/>
  <c r="O174" i="29"/>
  <c r="P174" i="29"/>
  <c r="Q174" i="29"/>
  <c r="R174" i="29"/>
  <c r="S174" i="29"/>
  <c r="J175" i="29"/>
  <c r="K175" i="29"/>
  <c r="L175" i="29"/>
  <c r="M175" i="29"/>
  <c r="N175" i="29"/>
  <c r="O175" i="29"/>
  <c r="P175" i="29"/>
  <c r="Q175" i="29"/>
  <c r="R175" i="29"/>
  <c r="S175" i="29"/>
  <c r="J176" i="29"/>
  <c r="K176" i="29"/>
  <c r="L176" i="29"/>
  <c r="M176" i="29"/>
  <c r="N176" i="29"/>
  <c r="O176" i="29"/>
  <c r="P176" i="29"/>
  <c r="Q176" i="29"/>
  <c r="R176" i="29"/>
  <c r="S176" i="29"/>
  <c r="J177" i="29"/>
  <c r="K177" i="29"/>
  <c r="L177" i="29"/>
  <c r="M177" i="29"/>
  <c r="N177" i="29"/>
  <c r="O177" i="29"/>
  <c r="P177" i="29"/>
  <c r="Q177" i="29"/>
  <c r="R177" i="29"/>
  <c r="S177" i="29"/>
  <c r="J178" i="29"/>
  <c r="K178" i="29"/>
  <c r="L178" i="29"/>
  <c r="M178" i="29"/>
  <c r="N178" i="29"/>
  <c r="O178" i="29"/>
  <c r="P178" i="29"/>
  <c r="Q178" i="29"/>
  <c r="R178" i="29"/>
  <c r="S178" i="29"/>
  <c r="J179" i="29"/>
  <c r="K179" i="29"/>
  <c r="L179" i="29"/>
  <c r="M179" i="29"/>
  <c r="N179" i="29"/>
  <c r="O179" i="29"/>
  <c r="P179" i="29"/>
  <c r="Q179" i="29"/>
  <c r="R179" i="29"/>
  <c r="S179" i="29"/>
  <c r="J180" i="29"/>
  <c r="K180" i="29"/>
  <c r="L180" i="29"/>
  <c r="M180" i="29"/>
  <c r="N180" i="29"/>
  <c r="O180" i="29"/>
  <c r="P180" i="29"/>
  <c r="Q180" i="29"/>
  <c r="R180" i="29"/>
  <c r="S180" i="29"/>
  <c r="J181" i="29"/>
  <c r="K181" i="29"/>
  <c r="L181" i="29"/>
  <c r="M181" i="29"/>
  <c r="N181" i="29"/>
  <c r="O181" i="29"/>
  <c r="P181" i="29"/>
  <c r="Q181" i="29"/>
  <c r="R181" i="29"/>
  <c r="S181" i="29"/>
  <c r="J182" i="29"/>
  <c r="K182" i="29"/>
  <c r="L182" i="29"/>
  <c r="M182" i="29"/>
  <c r="N182" i="29"/>
  <c r="O182" i="29"/>
  <c r="P182" i="29"/>
  <c r="Q182" i="29"/>
  <c r="R182" i="29"/>
  <c r="S182" i="29"/>
  <c r="J183" i="29"/>
  <c r="K183" i="29"/>
  <c r="L183" i="29"/>
  <c r="M183" i="29"/>
  <c r="N183" i="29"/>
  <c r="O183" i="29"/>
  <c r="P183" i="29"/>
  <c r="Q183" i="29"/>
  <c r="R183" i="29"/>
  <c r="S183" i="29"/>
  <c r="J184" i="29"/>
  <c r="K184" i="29"/>
  <c r="L184" i="29"/>
  <c r="M184" i="29"/>
  <c r="N184" i="29"/>
  <c r="O184" i="29"/>
  <c r="P184" i="29"/>
  <c r="Q184" i="29"/>
  <c r="R184" i="29"/>
  <c r="S184" i="29"/>
  <c r="J185" i="29"/>
  <c r="K185" i="29"/>
  <c r="L185" i="29"/>
  <c r="M185" i="29"/>
  <c r="N185" i="29"/>
  <c r="O185" i="29"/>
  <c r="P185" i="29"/>
  <c r="Q185" i="29"/>
  <c r="R185" i="29"/>
  <c r="S185" i="29"/>
  <c r="J186" i="29"/>
  <c r="K186" i="29"/>
  <c r="L186" i="29"/>
  <c r="M186" i="29"/>
  <c r="N186" i="29"/>
  <c r="O186" i="29"/>
  <c r="P186" i="29"/>
  <c r="Q186" i="29"/>
  <c r="R186" i="29"/>
  <c r="S186" i="29"/>
  <c r="J187" i="29"/>
  <c r="K187" i="29"/>
  <c r="L187" i="29"/>
  <c r="M187" i="29"/>
  <c r="N187" i="29"/>
  <c r="O187" i="29"/>
  <c r="P187" i="29"/>
  <c r="Q187" i="29"/>
  <c r="R187" i="29"/>
  <c r="S187" i="29"/>
  <c r="J188" i="29"/>
  <c r="K188" i="29"/>
  <c r="L188" i="29"/>
  <c r="M188" i="29"/>
  <c r="N188" i="29"/>
  <c r="O188" i="29"/>
  <c r="P188" i="29"/>
  <c r="Q188" i="29"/>
  <c r="R188" i="29"/>
  <c r="S188" i="29"/>
  <c r="J189" i="29"/>
  <c r="K189" i="29"/>
  <c r="L189" i="29"/>
  <c r="M189" i="29"/>
  <c r="N189" i="29"/>
  <c r="O189" i="29"/>
  <c r="P189" i="29"/>
  <c r="Q189" i="29"/>
  <c r="R189" i="29"/>
  <c r="S189" i="29"/>
  <c r="J190" i="29"/>
  <c r="K190" i="29"/>
  <c r="L190" i="29"/>
  <c r="M190" i="29"/>
  <c r="N190" i="29"/>
  <c r="O190" i="29"/>
  <c r="P190" i="29"/>
  <c r="Q190" i="29"/>
  <c r="R190" i="29"/>
  <c r="S190" i="29"/>
  <c r="J191" i="29"/>
  <c r="K191" i="29"/>
  <c r="L191" i="29"/>
  <c r="M191" i="29"/>
  <c r="N191" i="29"/>
  <c r="O191" i="29"/>
  <c r="P191" i="29"/>
  <c r="Q191" i="29"/>
  <c r="R191" i="29"/>
  <c r="S191" i="29"/>
  <c r="J192" i="29"/>
  <c r="K192" i="29"/>
  <c r="L192" i="29"/>
  <c r="M192" i="29"/>
  <c r="N192" i="29"/>
  <c r="O192" i="29"/>
  <c r="P192" i="29"/>
  <c r="Q192" i="29"/>
  <c r="R192" i="29"/>
  <c r="S192" i="29"/>
  <c r="J193" i="29"/>
  <c r="K193" i="29"/>
  <c r="L193" i="29"/>
  <c r="M193" i="29"/>
  <c r="N193" i="29"/>
  <c r="O193" i="29"/>
  <c r="P193" i="29"/>
  <c r="Q193" i="29"/>
  <c r="R193" i="29"/>
  <c r="S193" i="29"/>
  <c r="J194" i="29"/>
  <c r="K194" i="29"/>
  <c r="L194" i="29"/>
  <c r="M194" i="29"/>
  <c r="N194" i="29"/>
  <c r="O194" i="29"/>
  <c r="P194" i="29"/>
  <c r="Q194" i="29"/>
  <c r="R194" i="29"/>
  <c r="S194" i="29"/>
  <c r="J195" i="29"/>
  <c r="K195" i="29"/>
  <c r="L195" i="29"/>
  <c r="M195" i="29"/>
  <c r="N195" i="29"/>
  <c r="O195" i="29"/>
  <c r="P195" i="29"/>
  <c r="Q195" i="29"/>
  <c r="R195" i="29"/>
  <c r="S195" i="29"/>
  <c r="J196" i="29"/>
  <c r="K196" i="29"/>
  <c r="L196" i="29"/>
  <c r="M196" i="29"/>
  <c r="N196" i="29"/>
  <c r="O196" i="29"/>
  <c r="P196" i="29"/>
  <c r="Q196" i="29"/>
  <c r="R196" i="29"/>
  <c r="S196" i="29"/>
  <c r="J197" i="29"/>
  <c r="K197" i="29"/>
  <c r="L197" i="29"/>
  <c r="M197" i="29"/>
  <c r="N197" i="29"/>
  <c r="O197" i="29"/>
  <c r="P197" i="29"/>
  <c r="Q197" i="29"/>
  <c r="R197" i="29"/>
  <c r="S197" i="29"/>
  <c r="J198" i="29"/>
  <c r="K198" i="29"/>
  <c r="L198" i="29"/>
  <c r="M198" i="29"/>
  <c r="N198" i="29"/>
  <c r="O198" i="29"/>
  <c r="P198" i="29"/>
  <c r="Q198" i="29"/>
  <c r="R198" i="29"/>
  <c r="S198" i="29"/>
  <c r="J199" i="29"/>
  <c r="K199" i="29"/>
  <c r="L199" i="29"/>
  <c r="M199" i="29"/>
  <c r="N199" i="29"/>
  <c r="O199" i="29"/>
  <c r="P199" i="29"/>
  <c r="Q199" i="29"/>
  <c r="R199" i="29"/>
  <c r="S199" i="29"/>
  <c r="J200" i="29"/>
  <c r="K200" i="29"/>
  <c r="L200" i="29"/>
  <c r="M200" i="29"/>
  <c r="N200" i="29"/>
  <c r="O200" i="29"/>
  <c r="P200" i="29"/>
  <c r="Q200" i="29"/>
  <c r="R200" i="29"/>
  <c r="S200" i="29"/>
  <c r="J201" i="29"/>
  <c r="K201" i="29"/>
  <c r="L201" i="29"/>
  <c r="M201" i="29"/>
  <c r="N201" i="29"/>
  <c r="O201" i="29"/>
  <c r="P201" i="29"/>
  <c r="Q201" i="29"/>
  <c r="R201" i="29"/>
  <c r="S201" i="29"/>
  <c r="J202" i="29"/>
  <c r="K202" i="29"/>
  <c r="L202" i="29"/>
  <c r="M202" i="29"/>
  <c r="N202" i="29"/>
  <c r="O202" i="29"/>
  <c r="P202" i="29"/>
  <c r="Q202" i="29"/>
  <c r="R202" i="29"/>
  <c r="S202" i="29"/>
  <c r="J203" i="29"/>
  <c r="K203" i="29"/>
  <c r="L203" i="29"/>
  <c r="M203" i="29"/>
  <c r="N203" i="29"/>
  <c r="O203" i="29"/>
  <c r="P203" i="29"/>
  <c r="Q203" i="29"/>
  <c r="R203" i="29"/>
  <c r="S203" i="29"/>
  <c r="J204" i="29"/>
  <c r="K204" i="29"/>
  <c r="L204" i="29"/>
  <c r="M204" i="29"/>
  <c r="N204" i="29"/>
  <c r="O204" i="29"/>
  <c r="P204" i="29"/>
  <c r="Q204" i="29"/>
  <c r="R204" i="29"/>
  <c r="S204" i="29"/>
  <c r="J205" i="29"/>
  <c r="K205" i="29"/>
  <c r="L205" i="29"/>
  <c r="M205" i="29"/>
  <c r="N205" i="29"/>
  <c r="O205" i="29"/>
  <c r="P205" i="29"/>
  <c r="Q205" i="29"/>
  <c r="R205" i="29"/>
  <c r="S205" i="29"/>
  <c r="J206" i="29"/>
  <c r="K206" i="29"/>
  <c r="L206" i="29"/>
  <c r="M206" i="29"/>
  <c r="N206" i="29"/>
  <c r="O206" i="29"/>
  <c r="P206" i="29"/>
  <c r="Q206" i="29"/>
  <c r="R206" i="29"/>
  <c r="S206" i="29"/>
  <c r="J207" i="29"/>
  <c r="K207" i="29"/>
  <c r="L207" i="29"/>
  <c r="M207" i="29"/>
  <c r="N207" i="29"/>
  <c r="O207" i="29"/>
  <c r="P207" i="29"/>
  <c r="Q207" i="29"/>
  <c r="R207" i="29"/>
  <c r="S207" i="29"/>
  <c r="J208" i="29"/>
  <c r="K208" i="29"/>
  <c r="L208" i="29"/>
  <c r="M208" i="29"/>
  <c r="N208" i="29"/>
  <c r="O208" i="29"/>
  <c r="P208" i="29"/>
  <c r="Q208" i="29"/>
  <c r="R208" i="29"/>
  <c r="S208" i="29"/>
  <c r="J209" i="29"/>
  <c r="K209" i="29"/>
  <c r="L209" i="29"/>
  <c r="M209" i="29"/>
  <c r="N209" i="29"/>
  <c r="O209" i="29"/>
  <c r="P209" i="29"/>
  <c r="Q209" i="29"/>
  <c r="R209" i="29"/>
  <c r="S209" i="29"/>
  <c r="J210" i="29"/>
  <c r="K210" i="29"/>
  <c r="L210" i="29"/>
  <c r="M210" i="29"/>
  <c r="N210" i="29"/>
  <c r="O210" i="29"/>
  <c r="P210" i="29"/>
  <c r="Q210" i="29"/>
  <c r="R210" i="29"/>
  <c r="S210" i="29"/>
  <c r="J211" i="29"/>
  <c r="K211" i="29"/>
  <c r="L211" i="29"/>
  <c r="M211" i="29"/>
  <c r="N211" i="29"/>
  <c r="O211" i="29"/>
  <c r="P211" i="29"/>
  <c r="Q211" i="29"/>
  <c r="R211" i="29"/>
  <c r="S211" i="29"/>
  <c r="J212" i="29"/>
  <c r="K212" i="29"/>
  <c r="L212" i="29"/>
  <c r="M212" i="29"/>
  <c r="N212" i="29"/>
  <c r="O212" i="29"/>
  <c r="P212" i="29"/>
  <c r="Q212" i="29"/>
  <c r="R212" i="29"/>
  <c r="S212" i="29"/>
  <c r="J213" i="29"/>
  <c r="K213" i="29"/>
  <c r="L213" i="29"/>
  <c r="M213" i="29"/>
  <c r="N213" i="29"/>
  <c r="O213" i="29"/>
  <c r="P213" i="29"/>
  <c r="Q213" i="29"/>
  <c r="R213" i="29"/>
  <c r="S213" i="29"/>
  <c r="J214" i="29"/>
  <c r="K214" i="29"/>
  <c r="L214" i="29"/>
  <c r="M214" i="29"/>
  <c r="N214" i="29"/>
  <c r="O214" i="29"/>
  <c r="P214" i="29"/>
  <c r="Q214" i="29"/>
  <c r="R214" i="29"/>
  <c r="S214" i="29"/>
  <c r="J215" i="29"/>
  <c r="K215" i="29"/>
  <c r="L215" i="29"/>
  <c r="M215" i="29"/>
  <c r="N215" i="29"/>
  <c r="O215" i="29"/>
  <c r="P215" i="29"/>
  <c r="Q215" i="29"/>
  <c r="R215" i="29"/>
  <c r="S215" i="29"/>
  <c r="J216" i="29"/>
  <c r="K216" i="29"/>
  <c r="L216" i="29"/>
  <c r="M216" i="29"/>
  <c r="N216" i="29"/>
  <c r="O216" i="29"/>
  <c r="P216" i="29"/>
  <c r="Q216" i="29"/>
  <c r="R216" i="29"/>
  <c r="S216" i="29"/>
  <c r="J217" i="29"/>
  <c r="K217" i="29"/>
  <c r="L217" i="29"/>
  <c r="M217" i="29"/>
  <c r="N217" i="29"/>
  <c r="O217" i="29"/>
  <c r="P217" i="29"/>
  <c r="Q217" i="29"/>
  <c r="R217" i="29"/>
  <c r="S217" i="29"/>
  <c r="J218" i="29"/>
  <c r="K218" i="29"/>
  <c r="L218" i="29"/>
  <c r="M218" i="29"/>
  <c r="N218" i="29"/>
  <c r="O218" i="29"/>
  <c r="P218" i="29"/>
  <c r="Q218" i="29"/>
  <c r="R218" i="29"/>
  <c r="S218" i="29"/>
  <c r="J219" i="29"/>
  <c r="K219" i="29"/>
  <c r="L219" i="29"/>
  <c r="M219" i="29"/>
  <c r="N219" i="29"/>
  <c r="O219" i="29"/>
  <c r="P219" i="29"/>
  <c r="Q219" i="29"/>
  <c r="R219" i="29"/>
  <c r="S219" i="29"/>
  <c r="J220" i="29"/>
  <c r="K220" i="29"/>
  <c r="L220" i="29"/>
  <c r="M220" i="29"/>
  <c r="N220" i="29"/>
  <c r="O220" i="29"/>
  <c r="P220" i="29"/>
  <c r="Q220" i="29"/>
  <c r="R220" i="29"/>
  <c r="S220" i="29"/>
  <c r="J221" i="29"/>
  <c r="K221" i="29"/>
  <c r="L221" i="29"/>
  <c r="M221" i="29"/>
  <c r="N221" i="29"/>
  <c r="O221" i="29"/>
  <c r="P221" i="29"/>
  <c r="Q221" i="29"/>
  <c r="R221" i="29"/>
  <c r="S221" i="29"/>
  <c r="J222" i="29"/>
  <c r="K222" i="29"/>
  <c r="L222" i="29"/>
  <c r="M222" i="29"/>
  <c r="N222" i="29"/>
  <c r="O222" i="29"/>
  <c r="P222" i="29"/>
  <c r="Q222" i="29"/>
  <c r="R222" i="29"/>
  <c r="S222" i="29"/>
  <c r="J223" i="29"/>
  <c r="K223" i="29"/>
  <c r="L223" i="29"/>
  <c r="M223" i="29"/>
  <c r="N223" i="29"/>
  <c r="O223" i="29"/>
  <c r="P223" i="29"/>
  <c r="Q223" i="29"/>
  <c r="R223" i="29"/>
  <c r="S223" i="29"/>
  <c r="J224" i="29"/>
  <c r="K224" i="29"/>
  <c r="L224" i="29"/>
  <c r="M224" i="29"/>
  <c r="N224" i="29"/>
  <c r="O224" i="29"/>
  <c r="P224" i="29"/>
  <c r="Q224" i="29"/>
  <c r="R224" i="29"/>
  <c r="S224" i="29"/>
  <c r="J225" i="29"/>
  <c r="K225" i="29"/>
  <c r="L225" i="29"/>
  <c r="M225" i="29"/>
  <c r="N225" i="29"/>
  <c r="O225" i="29"/>
  <c r="P225" i="29"/>
  <c r="Q225" i="29"/>
  <c r="R225" i="29"/>
  <c r="S225" i="29"/>
  <c r="J226" i="29"/>
  <c r="K226" i="29"/>
  <c r="L226" i="29"/>
  <c r="M226" i="29"/>
  <c r="N226" i="29"/>
  <c r="O226" i="29"/>
  <c r="P226" i="29"/>
  <c r="Q226" i="29"/>
  <c r="R226" i="29"/>
  <c r="S226" i="29"/>
  <c r="J227" i="29"/>
  <c r="K227" i="29"/>
  <c r="L227" i="29"/>
  <c r="M227" i="29"/>
  <c r="N227" i="29"/>
  <c r="O227" i="29"/>
  <c r="P227" i="29"/>
  <c r="Q227" i="29"/>
  <c r="R227" i="29"/>
  <c r="S227" i="29"/>
  <c r="J228" i="29"/>
  <c r="K228" i="29"/>
  <c r="L228" i="29"/>
  <c r="M228" i="29"/>
  <c r="N228" i="29"/>
  <c r="O228" i="29"/>
  <c r="P228" i="29"/>
  <c r="Q228" i="29"/>
  <c r="R228" i="29"/>
  <c r="S228" i="29"/>
  <c r="J229" i="29"/>
  <c r="K229" i="29"/>
  <c r="L229" i="29"/>
  <c r="M229" i="29"/>
  <c r="N229" i="29"/>
  <c r="O229" i="29"/>
  <c r="P229" i="29"/>
  <c r="Q229" i="29"/>
  <c r="R229" i="29"/>
  <c r="S229" i="29"/>
  <c r="J230" i="29"/>
  <c r="K230" i="29"/>
  <c r="L230" i="29"/>
  <c r="M230" i="29"/>
  <c r="N230" i="29"/>
  <c r="O230" i="29"/>
  <c r="P230" i="29"/>
  <c r="Q230" i="29"/>
  <c r="R230" i="29"/>
  <c r="S230" i="29"/>
  <c r="J231" i="29"/>
  <c r="K231" i="29"/>
  <c r="L231" i="29"/>
  <c r="M231" i="29"/>
  <c r="N231" i="29"/>
  <c r="O231" i="29"/>
  <c r="P231" i="29"/>
  <c r="Q231" i="29"/>
  <c r="R231" i="29"/>
  <c r="S231" i="29"/>
  <c r="J232" i="29"/>
  <c r="K232" i="29"/>
  <c r="L232" i="29"/>
  <c r="M232" i="29"/>
  <c r="N232" i="29"/>
  <c r="O232" i="29"/>
  <c r="P232" i="29"/>
  <c r="Q232" i="29"/>
  <c r="R232" i="29"/>
  <c r="S232" i="29"/>
  <c r="J233" i="29"/>
  <c r="K233" i="29"/>
  <c r="L233" i="29"/>
  <c r="M233" i="29"/>
  <c r="N233" i="29"/>
  <c r="O233" i="29"/>
  <c r="P233" i="29"/>
  <c r="Q233" i="29"/>
  <c r="R233" i="29"/>
  <c r="S233" i="29"/>
  <c r="J234" i="29"/>
  <c r="K234" i="29"/>
  <c r="L234" i="29"/>
  <c r="M234" i="29"/>
  <c r="N234" i="29"/>
  <c r="O234" i="29"/>
  <c r="P234" i="29"/>
  <c r="Q234" i="29"/>
  <c r="R234" i="29"/>
  <c r="S234" i="29"/>
  <c r="J235" i="29"/>
  <c r="K235" i="29"/>
  <c r="L235" i="29"/>
  <c r="M235" i="29"/>
  <c r="N235" i="29"/>
  <c r="O235" i="29"/>
  <c r="P235" i="29"/>
  <c r="Q235" i="29"/>
  <c r="R235" i="29"/>
  <c r="S235" i="29"/>
  <c r="J236" i="29"/>
  <c r="K236" i="29"/>
  <c r="L236" i="29"/>
  <c r="M236" i="29"/>
  <c r="N236" i="29"/>
  <c r="O236" i="29"/>
  <c r="P236" i="29"/>
  <c r="Q236" i="29"/>
  <c r="R236" i="29"/>
  <c r="S236" i="29"/>
  <c r="J237" i="29"/>
  <c r="K237" i="29"/>
  <c r="L237" i="29"/>
  <c r="M237" i="29"/>
  <c r="N237" i="29"/>
  <c r="O237" i="29"/>
  <c r="P237" i="29"/>
  <c r="Q237" i="29"/>
  <c r="R237" i="29"/>
  <c r="S237" i="29"/>
  <c r="J238" i="29"/>
  <c r="K238" i="29"/>
  <c r="L238" i="29"/>
  <c r="M238" i="29"/>
  <c r="N238" i="29"/>
  <c r="O238" i="29"/>
  <c r="P238" i="29"/>
  <c r="Q238" i="29"/>
  <c r="R238" i="29"/>
  <c r="S238" i="29"/>
  <c r="J239" i="29"/>
  <c r="K239" i="29"/>
  <c r="L239" i="29"/>
  <c r="M239" i="29"/>
  <c r="N239" i="29"/>
  <c r="O239" i="29"/>
  <c r="P239" i="29"/>
  <c r="Q239" i="29"/>
  <c r="R239" i="29"/>
  <c r="S239" i="29"/>
  <c r="J240" i="29"/>
  <c r="K240" i="29"/>
  <c r="L240" i="29"/>
  <c r="M240" i="29"/>
  <c r="N240" i="29"/>
  <c r="O240" i="29"/>
  <c r="P240" i="29"/>
  <c r="Q240" i="29"/>
  <c r="R240" i="29"/>
  <c r="S240" i="29"/>
  <c r="J241" i="29"/>
  <c r="K241" i="29"/>
  <c r="L241" i="29"/>
  <c r="M241" i="29"/>
  <c r="N241" i="29"/>
  <c r="O241" i="29"/>
  <c r="P241" i="29"/>
  <c r="Q241" i="29"/>
  <c r="R241" i="29"/>
  <c r="S241" i="29"/>
  <c r="J242" i="29"/>
  <c r="K242" i="29"/>
  <c r="L242" i="29"/>
  <c r="M242" i="29"/>
  <c r="N242" i="29"/>
  <c r="O242" i="29"/>
  <c r="P242" i="29"/>
  <c r="Q242" i="29"/>
  <c r="R242" i="29"/>
  <c r="S242" i="29"/>
  <c r="J243" i="29"/>
  <c r="K243" i="29"/>
  <c r="L243" i="29"/>
  <c r="M243" i="29"/>
  <c r="N243" i="29"/>
  <c r="O243" i="29"/>
  <c r="P243" i="29"/>
  <c r="Q243" i="29"/>
  <c r="R243" i="29"/>
  <c r="S243" i="29"/>
  <c r="J244" i="29"/>
  <c r="K244" i="29"/>
  <c r="L244" i="29"/>
  <c r="M244" i="29"/>
  <c r="N244" i="29"/>
  <c r="O244" i="29"/>
  <c r="P244" i="29"/>
  <c r="Q244" i="29"/>
  <c r="R244" i="29"/>
  <c r="S244" i="29"/>
  <c r="J245" i="29"/>
  <c r="K245" i="29"/>
  <c r="L245" i="29"/>
  <c r="M245" i="29"/>
  <c r="N245" i="29"/>
  <c r="O245" i="29"/>
  <c r="P245" i="29"/>
  <c r="Q245" i="29"/>
  <c r="R245" i="29"/>
  <c r="S245" i="29"/>
  <c r="J246" i="29"/>
  <c r="K246" i="29"/>
  <c r="L246" i="29"/>
  <c r="M246" i="29"/>
  <c r="N246" i="29"/>
  <c r="O246" i="29"/>
  <c r="P246" i="29"/>
  <c r="Q246" i="29"/>
  <c r="R246" i="29"/>
  <c r="S246" i="29"/>
  <c r="J247" i="29"/>
  <c r="K247" i="29"/>
  <c r="L247" i="29"/>
  <c r="M247" i="29"/>
  <c r="N247" i="29"/>
  <c r="O247" i="29"/>
  <c r="P247" i="29"/>
  <c r="Q247" i="29"/>
  <c r="R247" i="29"/>
  <c r="S247" i="29"/>
  <c r="J248" i="29"/>
  <c r="K248" i="29"/>
  <c r="L248" i="29"/>
  <c r="M248" i="29"/>
  <c r="N248" i="29"/>
  <c r="O248" i="29"/>
  <c r="P248" i="29"/>
  <c r="Q248" i="29"/>
  <c r="R248" i="29"/>
  <c r="S248" i="29"/>
  <c r="J249" i="29"/>
  <c r="K249" i="29"/>
  <c r="L249" i="29"/>
  <c r="M249" i="29"/>
  <c r="N249" i="29"/>
  <c r="O249" i="29"/>
  <c r="P249" i="29"/>
  <c r="Q249" i="29"/>
  <c r="R249" i="29"/>
  <c r="S249" i="29"/>
  <c r="J250" i="29"/>
  <c r="K250" i="29"/>
  <c r="L250" i="29"/>
  <c r="M250" i="29"/>
  <c r="N250" i="29"/>
  <c r="O250" i="29"/>
  <c r="P250" i="29"/>
  <c r="Q250" i="29"/>
  <c r="R250" i="29"/>
  <c r="S250" i="29"/>
  <c r="J251" i="29"/>
  <c r="K251" i="29"/>
  <c r="L251" i="29"/>
  <c r="M251" i="29"/>
  <c r="N251" i="29"/>
  <c r="O251" i="29"/>
  <c r="P251" i="29"/>
  <c r="Q251" i="29"/>
  <c r="R251" i="29"/>
  <c r="S251" i="29"/>
  <c r="J252" i="29"/>
  <c r="K252" i="29"/>
  <c r="L252" i="29"/>
  <c r="M252" i="29"/>
  <c r="N252" i="29"/>
  <c r="O252" i="29"/>
  <c r="P252" i="29"/>
  <c r="Q252" i="29"/>
  <c r="R252" i="29"/>
  <c r="S252" i="29"/>
  <c r="J253" i="29"/>
  <c r="K253" i="29"/>
  <c r="L253" i="29"/>
  <c r="M253" i="29"/>
  <c r="N253" i="29"/>
  <c r="O253" i="29"/>
  <c r="P253" i="29"/>
  <c r="Q253" i="29"/>
  <c r="R253" i="29"/>
  <c r="S253" i="29"/>
  <c r="J254" i="29"/>
  <c r="K254" i="29"/>
  <c r="L254" i="29"/>
  <c r="M254" i="29"/>
  <c r="N254" i="29"/>
  <c r="O254" i="29"/>
  <c r="P254" i="29"/>
  <c r="Q254" i="29"/>
  <c r="R254" i="29"/>
  <c r="S254" i="29"/>
  <c r="J255" i="29"/>
  <c r="K255" i="29"/>
  <c r="L255" i="29"/>
  <c r="M255" i="29"/>
  <c r="N255" i="29"/>
  <c r="O255" i="29"/>
  <c r="P255" i="29"/>
  <c r="Q255" i="29"/>
  <c r="R255" i="29"/>
  <c r="S255" i="29"/>
  <c r="J256" i="29"/>
  <c r="K256" i="29"/>
  <c r="L256" i="29"/>
  <c r="M256" i="29"/>
  <c r="N256" i="29"/>
  <c r="O256" i="29"/>
  <c r="P256" i="29"/>
  <c r="Q256" i="29"/>
  <c r="R256" i="29"/>
  <c r="S256" i="29"/>
  <c r="J257" i="29"/>
  <c r="K257" i="29"/>
  <c r="L257" i="29"/>
  <c r="M257" i="29"/>
  <c r="N257" i="29"/>
  <c r="O257" i="29"/>
  <c r="P257" i="29"/>
  <c r="Q257" i="29"/>
  <c r="R257" i="29"/>
  <c r="S257" i="29"/>
  <c r="J258" i="29"/>
  <c r="K258" i="29"/>
  <c r="L258" i="29"/>
  <c r="M258" i="29"/>
  <c r="N258" i="29"/>
  <c r="O258" i="29"/>
  <c r="P258" i="29"/>
  <c r="Q258" i="29"/>
  <c r="R258" i="29"/>
  <c r="S258" i="29"/>
  <c r="J259" i="29"/>
  <c r="K259" i="29"/>
  <c r="L259" i="29"/>
  <c r="M259" i="29"/>
  <c r="N259" i="29"/>
  <c r="O259" i="29"/>
  <c r="P259" i="29"/>
  <c r="Q259" i="29"/>
  <c r="R259" i="29"/>
  <c r="S259" i="29"/>
  <c r="J260" i="29"/>
  <c r="K260" i="29"/>
  <c r="L260" i="29"/>
  <c r="M260" i="29"/>
  <c r="N260" i="29"/>
  <c r="O260" i="29"/>
  <c r="P260" i="29"/>
  <c r="Q260" i="29"/>
  <c r="R260" i="29"/>
  <c r="S260" i="29"/>
  <c r="J261" i="29"/>
  <c r="K261" i="29"/>
  <c r="L261" i="29"/>
  <c r="M261" i="29"/>
  <c r="N261" i="29"/>
  <c r="O261" i="29"/>
  <c r="P261" i="29"/>
  <c r="Q261" i="29"/>
  <c r="R261" i="29"/>
  <c r="S261" i="29"/>
  <c r="J262" i="29"/>
  <c r="K262" i="29"/>
  <c r="L262" i="29"/>
  <c r="M262" i="29"/>
  <c r="N262" i="29"/>
  <c r="O262" i="29"/>
  <c r="P262" i="29"/>
  <c r="Q262" i="29"/>
  <c r="R262" i="29"/>
  <c r="S262" i="29"/>
  <c r="J263" i="29"/>
  <c r="K263" i="29"/>
  <c r="L263" i="29"/>
  <c r="M263" i="29"/>
  <c r="N263" i="29"/>
  <c r="O263" i="29"/>
  <c r="P263" i="29"/>
  <c r="Q263" i="29"/>
  <c r="R263" i="29"/>
  <c r="S263" i="29"/>
  <c r="J264" i="29"/>
  <c r="K264" i="29"/>
  <c r="L264" i="29"/>
  <c r="M264" i="29"/>
  <c r="N264" i="29"/>
  <c r="O264" i="29"/>
  <c r="P264" i="29"/>
  <c r="Q264" i="29"/>
  <c r="R264" i="29"/>
  <c r="S264" i="29"/>
  <c r="J265" i="29"/>
  <c r="K265" i="29"/>
  <c r="L265" i="29"/>
  <c r="M265" i="29"/>
  <c r="N265" i="29"/>
  <c r="O265" i="29"/>
  <c r="P265" i="29"/>
  <c r="Q265" i="29"/>
  <c r="R265" i="29"/>
  <c r="S265" i="29"/>
  <c r="J266" i="29"/>
  <c r="K266" i="29"/>
  <c r="L266" i="29"/>
  <c r="M266" i="29"/>
  <c r="N266" i="29"/>
  <c r="O266" i="29"/>
  <c r="P266" i="29"/>
  <c r="Q266" i="29"/>
  <c r="R266" i="29"/>
  <c r="S266" i="29"/>
  <c r="J267" i="29"/>
  <c r="K267" i="29"/>
  <c r="L267" i="29"/>
  <c r="M267" i="29"/>
  <c r="N267" i="29"/>
  <c r="O267" i="29"/>
  <c r="P267" i="29"/>
  <c r="Q267" i="29"/>
  <c r="R267" i="29"/>
  <c r="S267" i="29"/>
  <c r="J268" i="29"/>
  <c r="K268" i="29"/>
  <c r="L268" i="29"/>
  <c r="M268" i="29"/>
  <c r="N268" i="29"/>
  <c r="O268" i="29"/>
  <c r="P268" i="29"/>
  <c r="Q268" i="29"/>
  <c r="R268" i="29"/>
  <c r="S268" i="29"/>
  <c r="J269" i="29"/>
  <c r="K269" i="29"/>
  <c r="L269" i="29"/>
  <c r="M269" i="29"/>
  <c r="N269" i="29"/>
  <c r="O269" i="29"/>
  <c r="P269" i="29"/>
  <c r="Q269" i="29"/>
  <c r="R269" i="29"/>
  <c r="S269" i="29"/>
  <c r="J270" i="29"/>
  <c r="K270" i="29"/>
  <c r="L270" i="29"/>
  <c r="M270" i="29"/>
  <c r="N270" i="29"/>
  <c r="O270" i="29"/>
  <c r="P270" i="29"/>
  <c r="Q270" i="29"/>
  <c r="R270" i="29"/>
  <c r="S270" i="29"/>
  <c r="J271" i="29"/>
  <c r="K271" i="29"/>
  <c r="L271" i="29"/>
  <c r="M271" i="29"/>
  <c r="N271" i="29"/>
  <c r="O271" i="29"/>
  <c r="P271" i="29"/>
  <c r="Q271" i="29"/>
  <c r="R271" i="29"/>
  <c r="S271" i="29"/>
  <c r="J272" i="29"/>
  <c r="K272" i="29"/>
  <c r="L272" i="29"/>
  <c r="M272" i="29"/>
  <c r="N272" i="29"/>
  <c r="O272" i="29"/>
  <c r="P272" i="29"/>
  <c r="Q272" i="29"/>
  <c r="R272" i="29"/>
  <c r="S272" i="29"/>
  <c r="J273" i="29"/>
  <c r="K273" i="29"/>
  <c r="L273" i="29"/>
  <c r="M273" i="29"/>
  <c r="N273" i="29"/>
  <c r="O273" i="29"/>
  <c r="P273" i="29"/>
  <c r="Q273" i="29"/>
  <c r="R273" i="29"/>
  <c r="S273" i="29"/>
  <c r="J274" i="29"/>
  <c r="K274" i="29"/>
  <c r="L274" i="29"/>
  <c r="M274" i="29"/>
  <c r="N274" i="29"/>
  <c r="O274" i="29"/>
  <c r="P274" i="29"/>
  <c r="Q274" i="29"/>
  <c r="R274" i="29"/>
  <c r="S274" i="29"/>
  <c r="J275" i="29"/>
  <c r="K275" i="29"/>
  <c r="L275" i="29"/>
  <c r="M275" i="29"/>
  <c r="N275" i="29"/>
  <c r="O275" i="29"/>
  <c r="P275" i="29"/>
  <c r="Q275" i="29"/>
  <c r="R275" i="29"/>
  <c r="S275" i="29"/>
  <c r="J276" i="29"/>
  <c r="K276" i="29"/>
  <c r="L276" i="29"/>
  <c r="M276" i="29"/>
  <c r="N276" i="29"/>
  <c r="O276" i="29"/>
  <c r="P276" i="29"/>
  <c r="Q276" i="29"/>
  <c r="R276" i="29"/>
  <c r="S276" i="29"/>
  <c r="J277" i="29"/>
  <c r="K277" i="29"/>
  <c r="L277" i="29"/>
  <c r="M277" i="29"/>
  <c r="N277" i="29"/>
  <c r="O277" i="29"/>
  <c r="P277" i="29"/>
  <c r="Q277" i="29"/>
  <c r="R277" i="29"/>
  <c r="S277" i="29"/>
  <c r="J278" i="29"/>
  <c r="K278" i="29"/>
  <c r="L278" i="29"/>
  <c r="M278" i="29"/>
  <c r="N278" i="29"/>
  <c r="O278" i="29"/>
  <c r="P278" i="29"/>
  <c r="Q278" i="29"/>
  <c r="R278" i="29"/>
  <c r="S278" i="29"/>
  <c r="J279" i="29"/>
  <c r="K279" i="29"/>
  <c r="L279" i="29"/>
  <c r="M279" i="29"/>
  <c r="N279" i="29"/>
  <c r="O279" i="29"/>
  <c r="P279" i="29"/>
  <c r="Q279" i="29"/>
  <c r="R279" i="29"/>
  <c r="S279" i="29"/>
  <c r="J280" i="29"/>
  <c r="K280" i="29"/>
  <c r="L280" i="29"/>
  <c r="M280" i="29"/>
  <c r="N280" i="29"/>
  <c r="O280" i="29"/>
  <c r="P280" i="29"/>
  <c r="Q280" i="29"/>
  <c r="R280" i="29"/>
  <c r="S280" i="29"/>
  <c r="J281" i="29"/>
  <c r="K281" i="29"/>
  <c r="L281" i="29"/>
  <c r="M281" i="29"/>
  <c r="N281" i="29"/>
  <c r="O281" i="29"/>
  <c r="P281" i="29"/>
  <c r="Q281" i="29"/>
  <c r="R281" i="29"/>
  <c r="S281" i="29"/>
  <c r="J282" i="29"/>
  <c r="K282" i="29"/>
  <c r="L282" i="29"/>
  <c r="M282" i="29"/>
  <c r="N282" i="29"/>
  <c r="O282" i="29"/>
  <c r="P282" i="29"/>
  <c r="Q282" i="29"/>
  <c r="R282" i="29"/>
  <c r="S282" i="29"/>
  <c r="J283" i="29"/>
  <c r="K283" i="29"/>
  <c r="L283" i="29"/>
  <c r="M283" i="29"/>
  <c r="N283" i="29"/>
  <c r="O283" i="29"/>
  <c r="P283" i="29"/>
  <c r="Q283" i="29"/>
  <c r="R283" i="29"/>
  <c r="S283" i="29"/>
  <c r="J284" i="29"/>
  <c r="K284" i="29"/>
  <c r="L284" i="29"/>
  <c r="M284" i="29"/>
  <c r="N284" i="29"/>
  <c r="O284" i="29"/>
  <c r="P284" i="29"/>
  <c r="Q284" i="29"/>
  <c r="R284" i="29"/>
  <c r="S284" i="29"/>
  <c r="J285" i="29"/>
  <c r="K285" i="29"/>
  <c r="L285" i="29"/>
  <c r="M285" i="29"/>
  <c r="N285" i="29"/>
  <c r="O285" i="29"/>
  <c r="P285" i="29"/>
  <c r="Q285" i="29"/>
  <c r="R285" i="29"/>
  <c r="S285" i="29"/>
  <c r="J286" i="29"/>
  <c r="K286" i="29"/>
  <c r="L286" i="29"/>
  <c r="M286" i="29"/>
  <c r="N286" i="29"/>
  <c r="O286" i="29"/>
  <c r="P286" i="29"/>
  <c r="Q286" i="29"/>
  <c r="R286" i="29"/>
  <c r="S286" i="29"/>
  <c r="J287" i="29"/>
  <c r="K287" i="29"/>
  <c r="L287" i="29"/>
  <c r="M287" i="29"/>
  <c r="N287" i="29"/>
  <c r="O287" i="29"/>
  <c r="P287" i="29"/>
  <c r="Q287" i="29"/>
  <c r="R287" i="29"/>
  <c r="S287" i="29"/>
  <c r="J288" i="29"/>
  <c r="K288" i="29"/>
  <c r="L288" i="29"/>
  <c r="M288" i="29"/>
  <c r="N288" i="29"/>
  <c r="O288" i="29"/>
  <c r="P288" i="29"/>
  <c r="Q288" i="29"/>
  <c r="R288" i="29"/>
  <c r="S288" i="29"/>
  <c r="J289" i="29"/>
  <c r="K289" i="29"/>
  <c r="L289" i="29"/>
  <c r="M289" i="29"/>
  <c r="N289" i="29"/>
  <c r="O289" i="29"/>
  <c r="P289" i="29"/>
  <c r="Q289" i="29"/>
  <c r="R289" i="29"/>
  <c r="S289" i="29"/>
  <c r="J290" i="29"/>
  <c r="K290" i="29"/>
  <c r="L290" i="29"/>
  <c r="M290" i="29"/>
  <c r="N290" i="29"/>
  <c r="O290" i="29"/>
  <c r="P290" i="29"/>
  <c r="Q290" i="29"/>
  <c r="R290" i="29"/>
  <c r="S290" i="29"/>
  <c r="J291" i="29"/>
  <c r="K291" i="29"/>
  <c r="L291" i="29"/>
  <c r="M291" i="29"/>
  <c r="N291" i="29"/>
  <c r="O291" i="29"/>
  <c r="P291" i="29"/>
  <c r="Q291" i="29"/>
  <c r="R291" i="29"/>
  <c r="S291" i="29"/>
  <c r="J292" i="29"/>
  <c r="K292" i="29"/>
  <c r="L292" i="29"/>
  <c r="M292" i="29"/>
  <c r="N292" i="29"/>
  <c r="O292" i="29"/>
  <c r="P292" i="29"/>
  <c r="Q292" i="29"/>
  <c r="R292" i="29"/>
  <c r="S292" i="29"/>
  <c r="J293" i="29"/>
  <c r="K293" i="29"/>
  <c r="L293" i="29"/>
  <c r="M293" i="29"/>
  <c r="N293" i="29"/>
  <c r="O293" i="29"/>
  <c r="P293" i="29"/>
  <c r="Q293" i="29"/>
  <c r="R293" i="29"/>
  <c r="S293" i="29"/>
  <c r="J294" i="29"/>
  <c r="K294" i="29"/>
  <c r="L294" i="29"/>
  <c r="M294" i="29"/>
  <c r="N294" i="29"/>
  <c r="O294" i="29"/>
  <c r="P294" i="29"/>
  <c r="Q294" i="29"/>
  <c r="R294" i="29"/>
  <c r="S294" i="29"/>
  <c r="J295" i="29"/>
  <c r="K295" i="29"/>
  <c r="L295" i="29"/>
  <c r="M295" i="29"/>
  <c r="N295" i="29"/>
  <c r="O295" i="29"/>
  <c r="P295" i="29"/>
  <c r="Q295" i="29"/>
  <c r="R295" i="29"/>
  <c r="S295" i="29"/>
  <c r="J296" i="29"/>
  <c r="K296" i="29"/>
  <c r="L296" i="29"/>
  <c r="M296" i="29"/>
  <c r="N296" i="29"/>
  <c r="O296" i="29"/>
  <c r="P296" i="29"/>
  <c r="Q296" i="29"/>
  <c r="R296" i="29"/>
  <c r="S296" i="29"/>
  <c r="J297" i="29"/>
  <c r="K297" i="29"/>
  <c r="L297" i="29"/>
  <c r="M297" i="29"/>
  <c r="N297" i="29"/>
  <c r="O297" i="29"/>
  <c r="P297" i="29"/>
  <c r="Q297" i="29"/>
  <c r="R297" i="29"/>
  <c r="S297" i="29"/>
  <c r="J298" i="29"/>
  <c r="K298" i="29"/>
  <c r="L298" i="29"/>
  <c r="M298" i="29"/>
  <c r="N298" i="29"/>
  <c r="O298" i="29"/>
  <c r="P298" i="29"/>
  <c r="Q298" i="29"/>
  <c r="R298" i="29"/>
  <c r="S298" i="29"/>
  <c r="J299" i="29"/>
  <c r="K299" i="29"/>
  <c r="L299" i="29"/>
  <c r="M299" i="29"/>
  <c r="N299" i="29"/>
  <c r="O299" i="29"/>
  <c r="P299" i="29"/>
  <c r="Q299" i="29"/>
  <c r="R299" i="29"/>
  <c r="S299" i="29"/>
  <c r="J300" i="29"/>
  <c r="K300" i="29"/>
  <c r="L300" i="29"/>
  <c r="M300" i="29"/>
  <c r="N300" i="29"/>
  <c r="O300" i="29"/>
  <c r="P300" i="29"/>
  <c r="Q300" i="29"/>
  <c r="R300" i="29"/>
  <c r="S300" i="29"/>
  <c r="J301" i="29"/>
  <c r="K301" i="29"/>
  <c r="L301" i="29"/>
  <c r="M301" i="29"/>
  <c r="N301" i="29"/>
  <c r="O301" i="29"/>
  <c r="P301" i="29"/>
  <c r="Q301" i="29"/>
  <c r="R301" i="29"/>
  <c r="S301" i="29"/>
  <c r="J302" i="29"/>
  <c r="K302" i="29"/>
  <c r="L302" i="29"/>
  <c r="M302" i="29"/>
  <c r="N302" i="29"/>
  <c r="O302" i="29"/>
  <c r="P302" i="29"/>
  <c r="Q302" i="29"/>
  <c r="R302" i="29"/>
  <c r="S302" i="29"/>
  <c r="J303" i="29"/>
  <c r="K303" i="29"/>
  <c r="L303" i="29"/>
  <c r="M303" i="29"/>
  <c r="N303" i="29"/>
  <c r="O303" i="29"/>
  <c r="P303" i="29"/>
  <c r="Q303" i="29"/>
  <c r="R303" i="29"/>
  <c r="S303" i="29"/>
  <c r="J304" i="29"/>
  <c r="K304" i="29"/>
  <c r="L304" i="29"/>
  <c r="M304" i="29"/>
  <c r="N304" i="29"/>
  <c r="O304" i="29"/>
  <c r="P304" i="29"/>
  <c r="Q304" i="29"/>
  <c r="R304" i="29"/>
  <c r="S304" i="29"/>
  <c r="J305" i="29"/>
  <c r="K305" i="29"/>
  <c r="L305" i="29"/>
  <c r="M305" i="29"/>
  <c r="N305" i="29"/>
  <c r="O305" i="29"/>
  <c r="P305" i="29"/>
  <c r="Q305" i="29"/>
  <c r="R305" i="29"/>
  <c r="S305" i="29"/>
  <c r="J306" i="29"/>
  <c r="K306" i="29"/>
  <c r="L306" i="29"/>
  <c r="M306" i="29"/>
  <c r="N306" i="29"/>
  <c r="O306" i="29"/>
  <c r="P306" i="29"/>
  <c r="Q306" i="29"/>
  <c r="R306" i="29"/>
  <c r="S306" i="29"/>
  <c r="J307" i="29"/>
  <c r="K307" i="29"/>
  <c r="L307" i="29"/>
  <c r="M307" i="29"/>
  <c r="N307" i="29"/>
  <c r="O307" i="29"/>
  <c r="P307" i="29"/>
  <c r="Q307" i="29"/>
  <c r="R307" i="29"/>
  <c r="S307" i="29"/>
  <c r="J308" i="29"/>
  <c r="K308" i="29"/>
  <c r="L308" i="29"/>
  <c r="M308" i="29"/>
  <c r="N308" i="29"/>
  <c r="O308" i="29"/>
  <c r="P308" i="29"/>
  <c r="Q308" i="29"/>
  <c r="R308" i="29"/>
  <c r="S308" i="29"/>
  <c r="J309" i="29"/>
  <c r="K309" i="29"/>
  <c r="L309" i="29"/>
  <c r="M309" i="29"/>
  <c r="N309" i="29"/>
  <c r="O309" i="29"/>
  <c r="P309" i="29"/>
  <c r="Q309" i="29"/>
  <c r="R309" i="29"/>
  <c r="S309" i="29"/>
  <c r="J310" i="29"/>
  <c r="K310" i="29"/>
  <c r="L310" i="29"/>
  <c r="M310" i="29"/>
  <c r="N310" i="29"/>
  <c r="O310" i="29"/>
  <c r="P310" i="29"/>
  <c r="Q310" i="29"/>
  <c r="R310" i="29"/>
  <c r="S310" i="29"/>
  <c r="J311" i="29"/>
  <c r="K311" i="29"/>
  <c r="L311" i="29"/>
  <c r="M311" i="29"/>
  <c r="N311" i="29"/>
  <c r="O311" i="29"/>
  <c r="P311" i="29"/>
  <c r="Q311" i="29"/>
  <c r="R311" i="29"/>
  <c r="S311" i="29"/>
  <c r="J312" i="29"/>
  <c r="K312" i="29"/>
  <c r="L312" i="29"/>
  <c r="M312" i="29"/>
  <c r="N312" i="29"/>
  <c r="O312" i="29"/>
  <c r="P312" i="29"/>
  <c r="Q312" i="29"/>
  <c r="R312" i="29"/>
  <c r="S312" i="29"/>
  <c r="J313" i="29"/>
  <c r="K313" i="29"/>
  <c r="L313" i="29"/>
  <c r="M313" i="29"/>
  <c r="N313" i="29"/>
  <c r="O313" i="29"/>
  <c r="P313" i="29"/>
  <c r="Q313" i="29"/>
  <c r="R313" i="29"/>
  <c r="S313" i="29"/>
  <c r="J314" i="29"/>
  <c r="K314" i="29"/>
  <c r="L314" i="29"/>
  <c r="M314" i="29"/>
  <c r="N314" i="29"/>
  <c r="O314" i="29"/>
  <c r="P314" i="29"/>
  <c r="Q314" i="29"/>
  <c r="R314" i="29"/>
  <c r="S314" i="29"/>
  <c r="J315" i="29"/>
  <c r="K315" i="29"/>
  <c r="L315" i="29"/>
  <c r="M315" i="29"/>
  <c r="N315" i="29"/>
  <c r="O315" i="29"/>
  <c r="P315" i="29"/>
  <c r="Q315" i="29"/>
  <c r="R315" i="29"/>
  <c r="S315" i="29"/>
  <c r="J316" i="29"/>
  <c r="K316" i="29"/>
  <c r="L316" i="29"/>
  <c r="M316" i="29"/>
  <c r="N316" i="29"/>
  <c r="O316" i="29"/>
  <c r="P316" i="29"/>
  <c r="Q316" i="29"/>
  <c r="R316" i="29"/>
  <c r="S316" i="29"/>
  <c r="J317" i="29"/>
  <c r="K317" i="29"/>
  <c r="L317" i="29"/>
  <c r="M317" i="29"/>
  <c r="N317" i="29"/>
  <c r="O317" i="29"/>
  <c r="P317" i="29"/>
  <c r="Q317" i="29"/>
  <c r="R317" i="29"/>
  <c r="S317" i="29"/>
  <c r="J318" i="29"/>
  <c r="K318" i="29"/>
  <c r="L318" i="29"/>
  <c r="M318" i="29"/>
  <c r="N318" i="29"/>
  <c r="O318" i="29"/>
  <c r="P318" i="29"/>
  <c r="Q318" i="29"/>
  <c r="R318" i="29"/>
  <c r="S318" i="29"/>
  <c r="J319" i="29"/>
  <c r="K319" i="29"/>
  <c r="L319" i="29"/>
  <c r="M319" i="29"/>
  <c r="N319" i="29"/>
  <c r="O319" i="29"/>
  <c r="P319" i="29"/>
  <c r="Q319" i="29"/>
  <c r="R319" i="29"/>
  <c r="S319" i="29"/>
  <c r="J320" i="29"/>
  <c r="K320" i="29"/>
  <c r="L320" i="29"/>
  <c r="M320" i="29"/>
  <c r="N320" i="29"/>
  <c r="O320" i="29"/>
  <c r="P320" i="29"/>
  <c r="Q320" i="29"/>
  <c r="R320" i="29"/>
  <c r="S320" i="29"/>
  <c r="J321" i="29"/>
  <c r="K321" i="29"/>
  <c r="L321" i="29"/>
  <c r="M321" i="29"/>
  <c r="N321" i="29"/>
  <c r="O321" i="29"/>
  <c r="P321" i="29"/>
  <c r="Q321" i="29"/>
  <c r="R321" i="29"/>
  <c r="S321" i="29"/>
  <c r="J322" i="29"/>
  <c r="K322" i="29"/>
  <c r="L322" i="29"/>
  <c r="M322" i="29"/>
  <c r="N322" i="29"/>
  <c r="O322" i="29"/>
  <c r="P322" i="29"/>
  <c r="Q322" i="29"/>
  <c r="R322" i="29"/>
  <c r="S322" i="29"/>
  <c r="J323" i="29"/>
  <c r="K323" i="29"/>
  <c r="L323" i="29"/>
  <c r="M323" i="29"/>
  <c r="N323" i="29"/>
  <c r="O323" i="29"/>
  <c r="P323" i="29"/>
  <c r="Q323" i="29"/>
  <c r="R323" i="29"/>
  <c r="S323" i="29"/>
  <c r="J324" i="29"/>
  <c r="K324" i="29"/>
  <c r="L324" i="29"/>
  <c r="M324" i="29"/>
  <c r="N324" i="29"/>
  <c r="O324" i="29"/>
  <c r="P324" i="29"/>
  <c r="Q324" i="29"/>
  <c r="R324" i="29"/>
  <c r="S324" i="29"/>
  <c r="J325" i="29"/>
  <c r="K325" i="29"/>
  <c r="L325" i="29"/>
  <c r="M325" i="29"/>
  <c r="N325" i="29"/>
  <c r="O325" i="29"/>
  <c r="P325" i="29"/>
  <c r="Q325" i="29"/>
  <c r="R325" i="29"/>
  <c r="S325" i="29"/>
  <c r="J326" i="29"/>
  <c r="K326" i="29"/>
  <c r="L326" i="29"/>
  <c r="M326" i="29"/>
  <c r="N326" i="29"/>
  <c r="O326" i="29"/>
  <c r="P326" i="29"/>
  <c r="Q326" i="29"/>
  <c r="R326" i="29"/>
  <c r="S326" i="29"/>
  <c r="J327" i="29"/>
  <c r="K327" i="29"/>
  <c r="L327" i="29"/>
  <c r="M327" i="29"/>
  <c r="N327" i="29"/>
  <c r="O327" i="29"/>
  <c r="P327" i="29"/>
  <c r="Q327" i="29"/>
  <c r="R327" i="29"/>
  <c r="S327" i="29"/>
  <c r="J328" i="29"/>
  <c r="K328" i="29"/>
  <c r="L328" i="29"/>
  <c r="M328" i="29"/>
  <c r="N328" i="29"/>
  <c r="O328" i="29"/>
  <c r="P328" i="29"/>
  <c r="Q328" i="29"/>
  <c r="R328" i="29"/>
  <c r="S328" i="29"/>
  <c r="J329" i="29"/>
  <c r="K329" i="29"/>
  <c r="L329" i="29"/>
  <c r="M329" i="29"/>
  <c r="N329" i="29"/>
  <c r="O329" i="29"/>
  <c r="P329" i="29"/>
  <c r="Q329" i="29"/>
  <c r="R329" i="29"/>
  <c r="S329" i="29"/>
  <c r="J330" i="29"/>
  <c r="K330" i="29"/>
  <c r="L330" i="29"/>
  <c r="M330" i="29"/>
  <c r="N330" i="29"/>
  <c r="O330" i="29"/>
  <c r="P330" i="29"/>
  <c r="Q330" i="29"/>
  <c r="R330" i="29"/>
  <c r="S330" i="29"/>
  <c r="J331" i="29"/>
  <c r="K331" i="29"/>
  <c r="L331" i="29"/>
  <c r="M331" i="29"/>
  <c r="N331" i="29"/>
  <c r="O331" i="29"/>
  <c r="P331" i="29"/>
  <c r="Q331" i="29"/>
  <c r="R331" i="29"/>
  <c r="S331" i="29"/>
  <c r="J332" i="29"/>
  <c r="K332" i="29"/>
  <c r="L332" i="29"/>
  <c r="M332" i="29"/>
  <c r="N332" i="29"/>
  <c r="O332" i="29"/>
  <c r="P332" i="29"/>
  <c r="Q332" i="29"/>
  <c r="R332" i="29"/>
  <c r="S332" i="29"/>
  <c r="J333" i="29"/>
  <c r="K333" i="29"/>
  <c r="L333" i="29"/>
  <c r="M333" i="29"/>
  <c r="N333" i="29"/>
  <c r="O333" i="29"/>
  <c r="P333" i="29"/>
  <c r="Q333" i="29"/>
  <c r="R333" i="29"/>
  <c r="S333" i="29"/>
  <c r="J334" i="29"/>
  <c r="K334" i="29"/>
  <c r="L334" i="29"/>
  <c r="M334" i="29"/>
  <c r="N334" i="29"/>
  <c r="O334" i="29"/>
  <c r="P334" i="29"/>
  <c r="Q334" i="29"/>
  <c r="R334" i="29"/>
  <c r="S334" i="29"/>
  <c r="J335" i="29"/>
  <c r="K335" i="29"/>
  <c r="L335" i="29"/>
  <c r="M335" i="29"/>
  <c r="N335" i="29"/>
  <c r="O335" i="29"/>
  <c r="P335" i="29"/>
  <c r="Q335" i="29"/>
  <c r="R335" i="29"/>
  <c r="S335" i="29"/>
  <c r="J336" i="29"/>
  <c r="K336" i="29"/>
  <c r="L336" i="29"/>
  <c r="M336" i="29"/>
  <c r="N336" i="29"/>
  <c r="O336" i="29"/>
  <c r="P336" i="29"/>
  <c r="Q336" i="29"/>
  <c r="R336" i="29"/>
  <c r="S336" i="29"/>
  <c r="J337" i="29"/>
  <c r="K337" i="29"/>
  <c r="L337" i="29"/>
  <c r="M337" i="29"/>
  <c r="N337" i="29"/>
  <c r="O337" i="29"/>
  <c r="P337" i="29"/>
  <c r="Q337" i="29"/>
  <c r="R337" i="29"/>
  <c r="S337" i="29"/>
  <c r="J338" i="29"/>
  <c r="K338" i="29"/>
  <c r="L338" i="29"/>
  <c r="M338" i="29"/>
  <c r="N338" i="29"/>
  <c r="O338" i="29"/>
  <c r="P338" i="29"/>
  <c r="Q338" i="29"/>
  <c r="R338" i="29"/>
  <c r="S338" i="29"/>
  <c r="J339" i="29"/>
  <c r="K339" i="29"/>
  <c r="L339" i="29"/>
  <c r="M339" i="29"/>
  <c r="N339" i="29"/>
  <c r="O339" i="29"/>
  <c r="P339" i="29"/>
  <c r="Q339" i="29"/>
  <c r="R339" i="29"/>
  <c r="S339" i="29"/>
  <c r="J340" i="29"/>
  <c r="K340" i="29"/>
  <c r="L340" i="29"/>
  <c r="M340" i="29"/>
  <c r="N340" i="29"/>
  <c r="O340" i="29"/>
  <c r="P340" i="29"/>
  <c r="Q340" i="29"/>
  <c r="R340" i="29"/>
  <c r="S340" i="29"/>
  <c r="J341" i="29"/>
  <c r="K341" i="29"/>
  <c r="L341" i="29"/>
  <c r="M341" i="29"/>
  <c r="N341" i="29"/>
  <c r="O341" i="29"/>
  <c r="P341" i="29"/>
  <c r="Q341" i="29"/>
  <c r="R341" i="29"/>
  <c r="S341" i="29"/>
  <c r="J342" i="29"/>
  <c r="K342" i="29"/>
  <c r="L342" i="29"/>
  <c r="M342" i="29"/>
  <c r="N342" i="29"/>
  <c r="O342" i="29"/>
  <c r="P342" i="29"/>
  <c r="Q342" i="29"/>
  <c r="R342" i="29"/>
  <c r="S342" i="29"/>
  <c r="J343" i="29"/>
  <c r="K343" i="29"/>
  <c r="L343" i="29"/>
  <c r="M343" i="29"/>
  <c r="N343" i="29"/>
  <c r="O343" i="29"/>
  <c r="P343" i="29"/>
  <c r="Q343" i="29"/>
  <c r="R343" i="29"/>
  <c r="S343" i="29"/>
  <c r="J344" i="29"/>
  <c r="K344" i="29"/>
  <c r="L344" i="29"/>
  <c r="M344" i="29"/>
  <c r="N344" i="29"/>
  <c r="O344" i="29"/>
  <c r="P344" i="29"/>
  <c r="Q344" i="29"/>
  <c r="R344" i="29"/>
  <c r="S344" i="29"/>
  <c r="J345" i="29"/>
  <c r="K345" i="29"/>
  <c r="L345" i="29"/>
  <c r="M345" i="29"/>
  <c r="N345" i="29"/>
  <c r="O345" i="29"/>
  <c r="P345" i="29"/>
  <c r="Q345" i="29"/>
  <c r="R345" i="29"/>
  <c r="S345" i="29"/>
  <c r="J346" i="29"/>
  <c r="K346" i="29"/>
  <c r="L346" i="29"/>
  <c r="M346" i="29"/>
  <c r="N346" i="29"/>
  <c r="O346" i="29"/>
  <c r="P346" i="29"/>
  <c r="Q346" i="29"/>
  <c r="R346" i="29"/>
  <c r="S346" i="29"/>
  <c r="J347" i="29"/>
  <c r="K347" i="29"/>
  <c r="L347" i="29"/>
  <c r="M347" i="29"/>
  <c r="N347" i="29"/>
  <c r="O347" i="29"/>
  <c r="P347" i="29"/>
  <c r="Q347" i="29"/>
  <c r="R347" i="29"/>
  <c r="S347" i="29"/>
  <c r="J348" i="29"/>
  <c r="K348" i="29"/>
  <c r="L348" i="29"/>
  <c r="M348" i="29"/>
  <c r="N348" i="29"/>
  <c r="O348" i="29"/>
  <c r="P348" i="29"/>
  <c r="Q348" i="29"/>
  <c r="R348" i="29"/>
  <c r="S348" i="29"/>
  <c r="J349" i="29"/>
  <c r="K349" i="29"/>
  <c r="L349" i="29"/>
  <c r="M349" i="29"/>
  <c r="N349" i="29"/>
  <c r="O349" i="29"/>
  <c r="P349" i="29"/>
  <c r="Q349" i="29"/>
  <c r="R349" i="29"/>
  <c r="S349" i="29"/>
  <c r="J350" i="29"/>
  <c r="K350" i="29"/>
  <c r="L350" i="29"/>
  <c r="M350" i="29"/>
  <c r="N350" i="29"/>
  <c r="O350" i="29"/>
  <c r="P350" i="29"/>
  <c r="Q350" i="29"/>
  <c r="R350" i="29"/>
  <c r="S350" i="29"/>
  <c r="J351" i="29"/>
  <c r="K351" i="29"/>
  <c r="L351" i="29"/>
  <c r="M351" i="29"/>
  <c r="N351" i="29"/>
  <c r="O351" i="29"/>
  <c r="P351" i="29"/>
  <c r="Q351" i="29"/>
  <c r="R351" i="29"/>
  <c r="S351" i="29"/>
  <c r="J352" i="29"/>
  <c r="K352" i="29"/>
  <c r="L352" i="29"/>
  <c r="M352" i="29"/>
  <c r="N352" i="29"/>
  <c r="O352" i="29"/>
  <c r="P352" i="29"/>
  <c r="Q352" i="29"/>
  <c r="R352" i="29"/>
  <c r="S352" i="29"/>
  <c r="J353" i="29"/>
  <c r="K353" i="29"/>
  <c r="L353" i="29"/>
  <c r="M353" i="29"/>
  <c r="N353" i="29"/>
  <c r="O353" i="29"/>
  <c r="P353" i="29"/>
  <c r="Q353" i="29"/>
  <c r="R353" i="29"/>
  <c r="S353" i="29"/>
  <c r="J354" i="29"/>
  <c r="K354" i="29"/>
  <c r="L354" i="29"/>
  <c r="M354" i="29"/>
  <c r="N354" i="29"/>
  <c r="O354" i="29"/>
  <c r="P354" i="29"/>
  <c r="Q354" i="29"/>
  <c r="R354" i="29"/>
  <c r="S354" i="29"/>
  <c r="J355" i="29"/>
  <c r="K355" i="29"/>
  <c r="L355" i="29"/>
  <c r="M355" i="29"/>
  <c r="N355" i="29"/>
  <c r="O355" i="29"/>
  <c r="P355" i="29"/>
  <c r="Q355" i="29"/>
  <c r="R355" i="29"/>
  <c r="S355" i="29"/>
  <c r="J356" i="29"/>
  <c r="K356" i="29"/>
  <c r="L356" i="29"/>
  <c r="M356" i="29"/>
  <c r="N356" i="29"/>
  <c r="O356" i="29"/>
  <c r="P356" i="29"/>
  <c r="Q356" i="29"/>
  <c r="R356" i="29"/>
  <c r="S356" i="29"/>
  <c r="J357" i="29"/>
  <c r="K357" i="29"/>
  <c r="L357" i="29"/>
  <c r="M357" i="29"/>
  <c r="N357" i="29"/>
  <c r="O357" i="29"/>
  <c r="P357" i="29"/>
  <c r="Q357" i="29"/>
  <c r="R357" i="29"/>
  <c r="S357" i="29"/>
  <c r="J358" i="29"/>
  <c r="K358" i="29"/>
  <c r="L358" i="29"/>
  <c r="M358" i="29"/>
  <c r="N358" i="29"/>
  <c r="O358" i="29"/>
  <c r="P358" i="29"/>
  <c r="Q358" i="29"/>
  <c r="R358" i="29"/>
  <c r="S358" i="29"/>
  <c r="J359" i="29"/>
  <c r="K359" i="29"/>
  <c r="L359" i="29"/>
  <c r="M359" i="29"/>
  <c r="N359" i="29"/>
  <c r="O359" i="29"/>
  <c r="P359" i="29"/>
  <c r="Q359" i="29"/>
  <c r="R359" i="29"/>
  <c r="S359" i="29"/>
  <c r="J360" i="29"/>
  <c r="K360" i="29"/>
  <c r="L360" i="29"/>
  <c r="M360" i="29"/>
  <c r="N360" i="29"/>
  <c r="O360" i="29"/>
  <c r="P360" i="29"/>
  <c r="Q360" i="29"/>
  <c r="R360" i="29"/>
  <c r="S360" i="29"/>
  <c r="J361" i="29"/>
  <c r="K361" i="29"/>
  <c r="L361" i="29"/>
  <c r="M361" i="29"/>
  <c r="N361" i="29"/>
  <c r="O361" i="29"/>
  <c r="P361" i="29"/>
  <c r="Q361" i="29"/>
  <c r="R361" i="29"/>
  <c r="S361" i="29"/>
  <c r="J362" i="29"/>
  <c r="K362" i="29"/>
  <c r="L362" i="29"/>
  <c r="M362" i="29"/>
  <c r="N362" i="29"/>
  <c r="O362" i="29"/>
  <c r="P362" i="29"/>
  <c r="Q362" i="29"/>
  <c r="R362" i="29"/>
  <c r="S362" i="29"/>
  <c r="J363" i="29"/>
  <c r="K363" i="29"/>
  <c r="L363" i="29"/>
  <c r="M363" i="29"/>
  <c r="N363" i="29"/>
  <c r="O363" i="29"/>
  <c r="P363" i="29"/>
  <c r="Q363" i="29"/>
  <c r="R363" i="29"/>
  <c r="S363" i="29"/>
  <c r="J364" i="29"/>
  <c r="K364" i="29"/>
  <c r="L364" i="29"/>
  <c r="M364" i="29"/>
  <c r="N364" i="29"/>
  <c r="O364" i="29"/>
  <c r="P364" i="29"/>
  <c r="Q364" i="29"/>
  <c r="R364" i="29"/>
  <c r="S364" i="29"/>
  <c r="J365" i="29"/>
  <c r="K365" i="29"/>
  <c r="L365" i="29"/>
  <c r="M365" i="29"/>
  <c r="N365" i="29"/>
  <c r="O365" i="29"/>
  <c r="P365" i="29"/>
  <c r="Q365" i="29"/>
  <c r="R365" i="29"/>
  <c r="S365" i="29"/>
  <c r="J366" i="29"/>
  <c r="K366" i="29"/>
  <c r="L366" i="29"/>
  <c r="M366" i="29"/>
  <c r="N366" i="29"/>
  <c r="O366" i="29"/>
  <c r="P366" i="29"/>
  <c r="Q366" i="29"/>
  <c r="R366" i="29"/>
  <c r="S366" i="29"/>
  <c r="J367" i="29"/>
  <c r="K367" i="29"/>
  <c r="L367" i="29"/>
  <c r="M367" i="29"/>
  <c r="N367" i="29"/>
  <c r="O367" i="29"/>
  <c r="P367" i="29"/>
  <c r="Q367" i="29"/>
  <c r="R367" i="29"/>
  <c r="S367" i="29"/>
  <c r="J368" i="29"/>
  <c r="K368" i="29"/>
  <c r="L368" i="29"/>
  <c r="M368" i="29"/>
  <c r="N368" i="29"/>
  <c r="O368" i="29"/>
  <c r="P368" i="29"/>
  <c r="Q368" i="29"/>
  <c r="R368" i="29"/>
  <c r="S368" i="29"/>
  <c r="J369" i="29"/>
  <c r="K369" i="29"/>
  <c r="L369" i="29"/>
  <c r="M369" i="29"/>
  <c r="N369" i="29"/>
  <c r="O369" i="29"/>
  <c r="P369" i="29"/>
  <c r="Q369" i="29"/>
  <c r="R369" i="29"/>
  <c r="S369" i="29"/>
  <c r="J370" i="29"/>
  <c r="K370" i="29"/>
  <c r="L370" i="29"/>
  <c r="M370" i="29"/>
  <c r="N370" i="29"/>
  <c r="O370" i="29"/>
  <c r="P370" i="29"/>
  <c r="Q370" i="29"/>
  <c r="R370" i="29"/>
  <c r="S370" i="29"/>
  <c r="J371" i="29"/>
  <c r="K371" i="29"/>
  <c r="L371" i="29"/>
  <c r="M371" i="29"/>
  <c r="N371" i="29"/>
  <c r="O371" i="29"/>
  <c r="P371" i="29"/>
  <c r="Q371" i="29"/>
  <c r="R371" i="29"/>
  <c r="S371" i="29"/>
  <c r="J372" i="29"/>
  <c r="K372" i="29"/>
  <c r="L372" i="29"/>
  <c r="M372" i="29"/>
  <c r="N372" i="29"/>
  <c r="O372" i="29"/>
  <c r="P372" i="29"/>
  <c r="Q372" i="29"/>
  <c r="R372" i="29"/>
  <c r="S372" i="29"/>
  <c r="J373" i="29"/>
  <c r="K373" i="29"/>
  <c r="L373" i="29"/>
  <c r="M373" i="29"/>
  <c r="N373" i="29"/>
  <c r="O373" i="29"/>
  <c r="P373" i="29"/>
  <c r="Q373" i="29"/>
  <c r="R373" i="29"/>
  <c r="S373" i="29"/>
  <c r="J374" i="29"/>
  <c r="K374" i="29"/>
  <c r="L374" i="29"/>
  <c r="M374" i="29"/>
  <c r="N374" i="29"/>
  <c r="O374" i="29"/>
  <c r="P374" i="29"/>
  <c r="Q374" i="29"/>
  <c r="R374" i="29"/>
  <c r="S374" i="29"/>
  <c r="J375" i="29"/>
  <c r="K375" i="29"/>
  <c r="L375" i="29"/>
  <c r="M375" i="29"/>
  <c r="N375" i="29"/>
  <c r="O375" i="29"/>
  <c r="P375" i="29"/>
  <c r="Q375" i="29"/>
  <c r="R375" i="29"/>
  <c r="S375" i="29"/>
  <c r="J376" i="29"/>
  <c r="K376" i="29"/>
  <c r="L376" i="29"/>
  <c r="M376" i="29"/>
  <c r="N376" i="29"/>
  <c r="O376" i="29"/>
  <c r="P376" i="29"/>
  <c r="Q376" i="29"/>
  <c r="R376" i="29"/>
  <c r="S376" i="29"/>
  <c r="J377" i="29"/>
  <c r="K377" i="29"/>
  <c r="L377" i="29"/>
  <c r="M377" i="29"/>
  <c r="N377" i="29"/>
  <c r="O377" i="29"/>
  <c r="P377" i="29"/>
  <c r="Q377" i="29"/>
  <c r="R377" i="29"/>
  <c r="S377" i="29"/>
  <c r="J378" i="29"/>
  <c r="K378" i="29"/>
  <c r="L378" i="29"/>
  <c r="M378" i="29"/>
  <c r="N378" i="29"/>
  <c r="O378" i="29"/>
  <c r="P378" i="29"/>
  <c r="Q378" i="29"/>
  <c r="R378" i="29"/>
  <c r="S378" i="29"/>
  <c r="J379" i="29"/>
  <c r="K379" i="29"/>
  <c r="L379" i="29"/>
  <c r="M379" i="29"/>
  <c r="N379" i="29"/>
  <c r="O379" i="29"/>
  <c r="P379" i="29"/>
  <c r="Q379" i="29"/>
  <c r="R379" i="29"/>
  <c r="S379" i="29"/>
  <c r="J380" i="29"/>
  <c r="K380" i="29"/>
  <c r="L380" i="29"/>
  <c r="M380" i="29"/>
  <c r="N380" i="29"/>
  <c r="O380" i="29"/>
  <c r="P380" i="29"/>
  <c r="Q380" i="29"/>
  <c r="R380" i="29"/>
  <c r="S380" i="29"/>
  <c r="J381" i="29"/>
  <c r="K381" i="29"/>
  <c r="L381" i="29"/>
  <c r="M381" i="29"/>
  <c r="N381" i="29"/>
  <c r="O381" i="29"/>
  <c r="P381" i="29"/>
  <c r="Q381" i="29"/>
  <c r="R381" i="29"/>
  <c r="S381" i="29"/>
  <c r="J382" i="29"/>
  <c r="K382" i="29"/>
  <c r="L382" i="29"/>
  <c r="M382" i="29"/>
  <c r="N382" i="29"/>
  <c r="O382" i="29"/>
  <c r="P382" i="29"/>
  <c r="Q382" i="29"/>
  <c r="R382" i="29"/>
  <c r="S382" i="29"/>
  <c r="J383" i="29"/>
  <c r="K383" i="29"/>
  <c r="L383" i="29"/>
  <c r="M383" i="29"/>
  <c r="N383" i="29"/>
  <c r="O383" i="29"/>
  <c r="P383" i="29"/>
  <c r="Q383" i="29"/>
  <c r="R383" i="29"/>
  <c r="S383" i="29"/>
  <c r="J384" i="29"/>
  <c r="K384" i="29"/>
  <c r="L384" i="29"/>
  <c r="M384" i="29"/>
  <c r="N384" i="29"/>
  <c r="O384" i="29"/>
  <c r="P384" i="29"/>
  <c r="Q384" i="29"/>
  <c r="R384" i="29"/>
  <c r="S384" i="29"/>
  <c r="J385" i="29"/>
  <c r="K385" i="29"/>
  <c r="L385" i="29"/>
  <c r="M385" i="29"/>
  <c r="N385" i="29"/>
  <c r="O385" i="29"/>
  <c r="P385" i="29"/>
  <c r="Q385" i="29"/>
  <c r="R385" i="29"/>
  <c r="S385" i="29"/>
  <c r="J386" i="29"/>
  <c r="K386" i="29"/>
  <c r="L386" i="29"/>
  <c r="M386" i="29"/>
  <c r="N386" i="29"/>
  <c r="O386" i="29"/>
  <c r="P386" i="29"/>
  <c r="Q386" i="29"/>
  <c r="R386" i="29"/>
  <c r="S386" i="29"/>
  <c r="J387" i="29"/>
  <c r="K387" i="29"/>
  <c r="L387" i="29"/>
  <c r="M387" i="29"/>
  <c r="N387" i="29"/>
  <c r="O387" i="29"/>
  <c r="P387" i="29"/>
  <c r="Q387" i="29"/>
  <c r="R387" i="29"/>
  <c r="S387" i="29"/>
  <c r="J388" i="29"/>
  <c r="K388" i="29"/>
  <c r="L388" i="29"/>
  <c r="M388" i="29"/>
  <c r="N388" i="29"/>
  <c r="O388" i="29"/>
  <c r="P388" i="29"/>
  <c r="Q388" i="29"/>
  <c r="R388" i="29"/>
  <c r="S388" i="29"/>
  <c r="J389" i="29"/>
  <c r="K389" i="29"/>
  <c r="L389" i="29"/>
  <c r="M389" i="29"/>
  <c r="N389" i="29"/>
  <c r="O389" i="29"/>
  <c r="P389" i="29"/>
  <c r="Q389" i="29"/>
  <c r="R389" i="29"/>
  <c r="S389" i="29"/>
  <c r="J390" i="29"/>
  <c r="K390" i="29"/>
  <c r="L390" i="29"/>
  <c r="M390" i="29"/>
  <c r="N390" i="29"/>
  <c r="O390" i="29"/>
  <c r="P390" i="29"/>
  <c r="Q390" i="29"/>
  <c r="R390" i="29"/>
  <c r="S390" i="29"/>
  <c r="J391" i="29"/>
  <c r="K391" i="29"/>
  <c r="L391" i="29"/>
  <c r="M391" i="29"/>
  <c r="N391" i="29"/>
  <c r="O391" i="29"/>
  <c r="P391" i="29"/>
  <c r="Q391" i="29"/>
  <c r="R391" i="29"/>
  <c r="S391" i="29"/>
  <c r="J392" i="29"/>
  <c r="K392" i="29"/>
  <c r="L392" i="29"/>
  <c r="M392" i="29"/>
  <c r="N392" i="29"/>
  <c r="O392" i="29"/>
  <c r="P392" i="29"/>
  <c r="Q392" i="29"/>
  <c r="R392" i="29"/>
  <c r="S392" i="29"/>
  <c r="J393" i="29"/>
  <c r="K393" i="29"/>
  <c r="L393" i="29"/>
  <c r="M393" i="29"/>
  <c r="N393" i="29"/>
  <c r="O393" i="29"/>
  <c r="P393" i="29"/>
  <c r="Q393" i="29"/>
  <c r="R393" i="29"/>
  <c r="S393" i="29"/>
  <c r="J394" i="29"/>
  <c r="K394" i="29"/>
  <c r="L394" i="29"/>
  <c r="M394" i="29"/>
  <c r="N394" i="29"/>
  <c r="O394" i="29"/>
  <c r="P394" i="29"/>
  <c r="Q394" i="29"/>
  <c r="R394" i="29"/>
  <c r="S394" i="29"/>
  <c r="J395" i="29"/>
  <c r="K395" i="29"/>
  <c r="L395" i="29"/>
  <c r="M395" i="29"/>
  <c r="N395" i="29"/>
  <c r="O395" i="29"/>
  <c r="P395" i="29"/>
  <c r="Q395" i="29"/>
  <c r="R395" i="29"/>
  <c r="S395" i="29"/>
  <c r="J396" i="29"/>
  <c r="K396" i="29"/>
  <c r="L396" i="29"/>
  <c r="M396" i="29"/>
  <c r="N396" i="29"/>
  <c r="O396" i="29"/>
  <c r="P396" i="29"/>
  <c r="Q396" i="29"/>
  <c r="R396" i="29"/>
  <c r="S396" i="29"/>
  <c r="J397" i="29"/>
  <c r="K397" i="29"/>
  <c r="L397" i="29"/>
  <c r="M397" i="29"/>
  <c r="N397" i="29"/>
  <c r="O397" i="29"/>
  <c r="P397" i="29"/>
  <c r="Q397" i="29"/>
  <c r="R397" i="29"/>
  <c r="S397" i="29"/>
  <c r="J398" i="29"/>
  <c r="K398" i="29"/>
  <c r="L398" i="29"/>
  <c r="M398" i="29"/>
  <c r="N398" i="29"/>
  <c r="O398" i="29"/>
  <c r="P398" i="29"/>
  <c r="Q398" i="29"/>
  <c r="R398" i="29"/>
  <c r="S398" i="29"/>
  <c r="J399" i="29"/>
  <c r="K399" i="29"/>
  <c r="L399" i="29"/>
  <c r="M399" i="29"/>
  <c r="N399" i="29"/>
  <c r="O399" i="29"/>
  <c r="P399" i="29"/>
  <c r="Q399" i="29"/>
  <c r="R399" i="29"/>
  <c r="S399" i="29"/>
  <c r="J400" i="29"/>
  <c r="K400" i="29"/>
  <c r="L400" i="29"/>
  <c r="M400" i="29"/>
  <c r="N400" i="29"/>
  <c r="O400" i="29"/>
  <c r="P400" i="29"/>
  <c r="Q400" i="29"/>
  <c r="R400" i="29"/>
  <c r="S400" i="29"/>
  <c r="J401" i="29"/>
  <c r="K401" i="29"/>
  <c r="L401" i="29"/>
  <c r="M401" i="29"/>
  <c r="N401" i="29"/>
  <c r="O401" i="29"/>
  <c r="P401" i="29"/>
  <c r="Q401" i="29"/>
  <c r="R401" i="29"/>
  <c r="S401" i="29"/>
  <c r="J402" i="29"/>
  <c r="K402" i="29"/>
  <c r="L402" i="29"/>
  <c r="M402" i="29"/>
  <c r="N402" i="29"/>
  <c r="O402" i="29"/>
  <c r="P402" i="29"/>
  <c r="Q402" i="29"/>
  <c r="R402" i="29"/>
  <c r="S402" i="29"/>
  <c r="J403" i="29"/>
  <c r="K403" i="29"/>
  <c r="L403" i="29"/>
  <c r="M403" i="29"/>
  <c r="N403" i="29"/>
  <c r="O403" i="29"/>
  <c r="P403" i="29"/>
  <c r="Q403" i="29"/>
  <c r="R403" i="29"/>
  <c r="S403" i="29"/>
  <c r="J404" i="29"/>
  <c r="K404" i="29"/>
  <c r="L404" i="29"/>
  <c r="M404" i="29"/>
  <c r="N404" i="29"/>
  <c r="O404" i="29"/>
  <c r="P404" i="29"/>
  <c r="Q404" i="29"/>
  <c r="R404" i="29"/>
  <c r="S404" i="29"/>
  <c r="J405" i="29"/>
  <c r="K405" i="29"/>
  <c r="L405" i="29"/>
  <c r="M405" i="29"/>
  <c r="N405" i="29"/>
  <c r="O405" i="29"/>
  <c r="P405" i="29"/>
  <c r="Q405" i="29"/>
  <c r="R405" i="29"/>
  <c r="S405" i="29"/>
  <c r="J406" i="29"/>
  <c r="K406" i="29"/>
  <c r="L406" i="29"/>
  <c r="M406" i="29"/>
  <c r="N406" i="29"/>
  <c r="O406" i="29"/>
  <c r="P406" i="29"/>
  <c r="Q406" i="29"/>
  <c r="R406" i="29"/>
  <c r="S406" i="29"/>
  <c r="J407" i="29"/>
  <c r="K407" i="29"/>
  <c r="L407" i="29"/>
  <c r="M407" i="29"/>
  <c r="N407" i="29"/>
  <c r="O407" i="29"/>
  <c r="P407" i="29"/>
  <c r="Q407" i="29"/>
  <c r="R407" i="29"/>
  <c r="S407" i="29"/>
  <c r="J408" i="29"/>
  <c r="K408" i="29"/>
  <c r="L408" i="29"/>
  <c r="M408" i="29"/>
  <c r="N408" i="29"/>
  <c r="O408" i="29"/>
  <c r="P408" i="29"/>
  <c r="Q408" i="29"/>
  <c r="R408" i="29"/>
  <c r="S408" i="29"/>
  <c r="J409" i="29"/>
  <c r="K409" i="29"/>
  <c r="L409" i="29"/>
  <c r="M409" i="29"/>
  <c r="N409" i="29"/>
  <c r="O409" i="29"/>
  <c r="P409" i="29"/>
  <c r="Q409" i="29"/>
  <c r="R409" i="29"/>
  <c r="S409" i="29"/>
  <c r="J410" i="29"/>
  <c r="K410" i="29"/>
  <c r="L410" i="29"/>
  <c r="M410" i="29"/>
  <c r="N410" i="29"/>
  <c r="O410" i="29"/>
  <c r="P410" i="29"/>
  <c r="Q410" i="29"/>
  <c r="R410" i="29"/>
  <c r="S410" i="29"/>
  <c r="J411" i="29"/>
  <c r="K411" i="29"/>
  <c r="L411" i="29"/>
  <c r="M411" i="29"/>
  <c r="N411" i="29"/>
  <c r="O411" i="29"/>
  <c r="P411" i="29"/>
  <c r="Q411" i="29"/>
  <c r="R411" i="29"/>
  <c r="S411" i="29"/>
  <c r="J412" i="29"/>
  <c r="K412" i="29"/>
  <c r="L412" i="29"/>
  <c r="M412" i="29"/>
  <c r="N412" i="29"/>
  <c r="O412" i="29"/>
  <c r="P412" i="29"/>
  <c r="Q412" i="29"/>
  <c r="R412" i="29"/>
  <c r="S412" i="29"/>
  <c r="J413" i="29"/>
  <c r="K413" i="29"/>
  <c r="L413" i="29"/>
  <c r="M413" i="29"/>
  <c r="N413" i="29"/>
  <c r="O413" i="29"/>
  <c r="P413" i="29"/>
  <c r="Q413" i="29"/>
  <c r="R413" i="29"/>
  <c r="S413" i="29"/>
  <c r="J414" i="29"/>
  <c r="K414" i="29"/>
  <c r="L414" i="29"/>
  <c r="M414" i="29"/>
  <c r="N414" i="29"/>
  <c r="O414" i="29"/>
  <c r="P414" i="29"/>
  <c r="Q414" i="29"/>
  <c r="R414" i="29"/>
  <c r="S414" i="29"/>
  <c r="J415" i="29"/>
  <c r="K415" i="29"/>
  <c r="L415" i="29"/>
  <c r="M415" i="29"/>
  <c r="N415" i="29"/>
  <c r="O415" i="29"/>
  <c r="P415" i="29"/>
  <c r="Q415" i="29"/>
  <c r="R415" i="29"/>
  <c r="S415" i="29"/>
  <c r="J416" i="29"/>
  <c r="K416" i="29"/>
  <c r="L416" i="29"/>
  <c r="M416" i="29"/>
  <c r="N416" i="29"/>
  <c r="O416" i="29"/>
  <c r="P416" i="29"/>
  <c r="Q416" i="29"/>
  <c r="R416" i="29"/>
  <c r="S416" i="29"/>
  <c r="J417" i="29"/>
  <c r="K417" i="29"/>
  <c r="L417" i="29"/>
  <c r="M417" i="29"/>
  <c r="N417" i="29"/>
  <c r="O417" i="29"/>
  <c r="P417" i="29"/>
  <c r="Q417" i="29"/>
  <c r="R417" i="29"/>
  <c r="S417" i="29"/>
  <c r="J418" i="29"/>
  <c r="K418" i="29"/>
  <c r="L418" i="29"/>
  <c r="M418" i="29"/>
  <c r="N418" i="29"/>
  <c r="O418" i="29"/>
  <c r="P418" i="29"/>
  <c r="Q418" i="29"/>
  <c r="R418" i="29"/>
  <c r="S418" i="29"/>
  <c r="J419" i="29"/>
  <c r="K419" i="29"/>
  <c r="L419" i="29"/>
  <c r="M419" i="29"/>
  <c r="N419" i="29"/>
  <c r="O419" i="29"/>
  <c r="P419" i="29"/>
  <c r="Q419" i="29"/>
  <c r="R419" i="29"/>
  <c r="S419" i="29"/>
  <c r="J420" i="29"/>
  <c r="K420" i="29"/>
  <c r="L420" i="29"/>
  <c r="M420" i="29"/>
  <c r="N420" i="29"/>
  <c r="O420" i="29"/>
  <c r="P420" i="29"/>
  <c r="Q420" i="29"/>
  <c r="R420" i="29"/>
  <c r="S420" i="29"/>
  <c r="J421" i="29"/>
  <c r="K421" i="29"/>
  <c r="L421" i="29"/>
  <c r="M421" i="29"/>
  <c r="N421" i="29"/>
  <c r="O421" i="29"/>
  <c r="P421" i="29"/>
  <c r="Q421" i="29"/>
  <c r="R421" i="29"/>
  <c r="S421" i="29"/>
  <c r="J422" i="29"/>
  <c r="K422" i="29"/>
  <c r="L422" i="29"/>
  <c r="M422" i="29"/>
  <c r="N422" i="29"/>
  <c r="O422" i="29"/>
  <c r="P422" i="29"/>
  <c r="Q422" i="29"/>
  <c r="R422" i="29"/>
  <c r="S422" i="29"/>
  <c r="J423" i="29"/>
  <c r="K423" i="29"/>
  <c r="L423" i="29"/>
  <c r="M423" i="29"/>
  <c r="N423" i="29"/>
  <c r="O423" i="29"/>
  <c r="P423" i="29"/>
  <c r="Q423" i="29"/>
  <c r="R423" i="29"/>
  <c r="S423" i="29"/>
  <c r="J424" i="29"/>
  <c r="K424" i="29"/>
  <c r="L424" i="29"/>
  <c r="M424" i="29"/>
  <c r="N424" i="29"/>
  <c r="O424" i="29"/>
  <c r="P424" i="29"/>
  <c r="Q424" i="29"/>
  <c r="R424" i="29"/>
  <c r="S424" i="29"/>
  <c r="J425" i="29"/>
  <c r="K425" i="29"/>
  <c r="L425" i="29"/>
  <c r="M425" i="29"/>
  <c r="N425" i="29"/>
  <c r="O425" i="29"/>
  <c r="P425" i="29"/>
  <c r="Q425" i="29"/>
  <c r="R425" i="29"/>
  <c r="S425" i="29"/>
  <c r="J426" i="29"/>
  <c r="K426" i="29"/>
  <c r="L426" i="29"/>
  <c r="M426" i="29"/>
  <c r="N426" i="29"/>
  <c r="O426" i="29"/>
  <c r="P426" i="29"/>
  <c r="Q426" i="29"/>
  <c r="R426" i="29"/>
  <c r="S426" i="29"/>
  <c r="J427" i="29"/>
  <c r="K427" i="29"/>
  <c r="L427" i="29"/>
  <c r="M427" i="29"/>
  <c r="N427" i="29"/>
  <c r="O427" i="29"/>
  <c r="P427" i="29"/>
  <c r="Q427" i="29"/>
  <c r="R427" i="29"/>
  <c r="S427" i="29"/>
  <c r="J428" i="29"/>
  <c r="K428" i="29"/>
  <c r="L428" i="29"/>
  <c r="M428" i="29"/>
  <c r="N428" i="29"/>
  <c r="O428" i="29"/>
  <c r="P428" i="29"/>
  <c r="Q428" i="29"/>
  <c r="R428" i="29"/>
  <c r="S428" i="29"/>
  <c r="J429" i="29"/>
  <c r="K429" i="29"/>
  <c r="L429" i="29"/>
  <c r="M429" i="29"/>
  <c r="N429" i="29"/>
  <c r="O429" i="29"/>
  <c r="P429" i="29"/>
  <c r="Q429" i="29"/>
  <c r="R429" i="29"/>
  <c r="S429" i="29"/>
  <c r="J430" i="29"/>
  <c r="K430" i="29"/>
  <c r="L430" i="29"/>
  <c r="M430" i="29"/>
  <c r="N430" i="29"/>
  <c r="O430" i="29"/>
  <c r="P430" i="29"/>
  <c r="Q430" i="29"/>
  <c r="R430" i="29"/>
  <c r="S430" i="29"/>
  <c r="J431" i="29"/>
  <c r="K431" i="29"/>
  <c r="L431" i="29"/>
  <c r="M431" i="29"/>
  <c r="N431" i="29"/>
  <c r="O431" i="29"/>
  <c r="P431" i="29"/>
  <c r="Q431" i="29"/>
  <c r="R431" i="29"/>
  <c r="S431" i="29"/>
  <c r="J432" i="29"/>
  <c r="K432" i="29"/>
  <c r="L432" i="29"/>
  <c r="M432" i="29"/>
  <c r="N432" i="29"/>
  <c r="O432" i="29"/>
  <c r="P432" i="29"/>
  <c r="Q432" i="29"/>
  <c r="R432" i="29"/>
  <c r="S432" i="29"/>
  <c r="J433" i="29"/>
  <c r="K433" i="29"/>
  <c r="L433" i="29"/>
  <c r="M433" i="29"/>
  <c r="N433" i="29"/>
  <c r="O433" i="29"/>
  <c r="P433" i="29"/>
  <c r="Q433" i="29"/>
  <c r="R433" i="29"/>
  <c r="S433" i="29"/>
  <c r="J434" i="29"/>
  <c r="K434" i="29"/>
  <c r="L434" i="29"/>
  <c r="M434" i="29"/>
  <c r="N434" i="29"/>
  <c r="O434" i="29"/>
  <c r="P434" i="29"/>
  <c r="Q434" i="29"/>
  <c r="R434" i="29"/>
  <c r="S434" i="29"/>
  <c r="J435" i="29"/>
  <c r="K435" i="29"/>
  <c r="L435" i="29"/>
  <c r="M435" i="29"/>
  <c r="N435" i="29"/>
  <c r="O435" i="29"/>
  <c r="P435" i="29"/>
  <c r="Q435" i="29"/>
  <c r="R435" i="29"/>
  <c r="S435" i="29"/>
  <c r="J436" i="29"/>
  <c r="K436" i="29"/>
  <c r="L436" i="29"/>
  <c r="M436" i="29"/>
  <c r="N436" i="29"/>
  <c r="O436" i="29"/>
  <c r="P436" i="29"/>
  <c r="Q436" i="29"/>
  <c r="R436" i="29"/>
  <c r="S436" i="29"/>
  <c r="J437" i="29"/>
  <c r="K437" i="29"/>
  <c r="L437" i="29"/>
  <c r="M437" i="29"/>
  <c r="N437" i="29"/>
  <c r="O437" i="29"/>
  <c r="P437" i="29"/>
  <c r="Q437" i="29"/>
  <c r="R437" i="29"/>
  <c r="S437" i="29"/>
  <c r="J438" i="29"/>
  <c r="K438" i="29"/>
  <c r="L438" i="29"/>
  <c r="M438" i="29"/>
  <c r="N438" i="29"/>
  <c r="O438" i="29"/>
  <c r="P438" i="29"/>
  <c r="Q438" i="29"/>
  <c r="R438" i="29"/>
  <c r="S438" i="29"/>
  <c r="J439" i="29"/>
  <c r="K439" i="29"/>
  <c r="L439" i="29"/>
  <c r="M439" i="29"/>
  <c r="N439" i="29"/>
  <c r="O439" i="29"/>
  <c r="P439" i="29"/>
  <c r="Q439" i="29"/>
  <c r="R439" i="29"/>
  <c r="S439" i="29"/>
  <c r="J440" i="29"/>
  <c r="K440" i="29"/>
  <c r="L440" i="29"/>
  <c r="M440" i="29"/>
  <c r="N440" i="29"/>
  <c r="O440" i="29"/>
  <c r="P440" i="29"/>
  <c r="Q440" i="29"/>
  <c r="R440" i="29"/>
  <c r="S440" i="29"/>
  <c r="J441" i="29"/>
  <c r="K441" i="29"/>
  <c r="L441" i="29"/>
  <c r="M441" i="29"/>
  <c r="N441" i="29"/>
  <c r="O441" i="29"/>
  <c r="P441" i="29"/>
  <c r="Q441" i="29"/>
  <c r="R441" i="29"/>
  <c r="S441" i="29"/>
  <c r="J442" i="29"/>
  <c r="K442" i="29"/>
  <c r="L442" i="29"/>
  <c r="M442" i="29"/>
  <c r="N442" i="29"/>
  <c r="O442" i="29"/>
  <c r="P442" i="29"/>
  <c r="Q442" i="29"/>
  <c r="R442" i="29"/>
  <c r="S442" i="29"/>
  <c r="J443" i="29"/>
  <c r="K443" i="29"/>
  <c r="L443" i="29"/>
  <c r="M443" i="29"/>
  <c r="N443" i="29"/>
  <c r="O443" i="29"/>
  <c r="P443" i="29"/>
  <c r="Q443" i="29"/>
  <c r="R443" i="29"/>
  <c r="S443" i="29"/>
  <c r="J444" i="29"/>
  <c r="K444" i="29"/>
  <c r="L444" i="29"/>
  <c r="M444" i="29"/>
  <c r="N444" i="29"/>
  <c r="O444" i="29"/>
  <c r="P444" i="29"/>
  <c r="Q444" i="29"/>
  <c r="R444" i="29"/>
  <c r="S444" i="29"/>
  <c r="J445" i="29"/>
  <c r="K445" i="29"/>
  <c r="L445" i="29"/>
  <c r="M445" i="29"/>
  <c r="N445" i="29"/>
  <c r="O445" i="29"/>
  <c r="P445" i="29"/>
  <c r="Q445" i="29"/>
  <c r="R445" i="29"/>
  <c r="S445" i="29"/>
  <c r="J446" i="29"/>
  <c r="K446" i="29"/>
  <c r="L446" i="29"/>
  <c r="M446" i="29"/>
  <c r="N446" i="29"/>
  <c r="O446" i="29"/>
  <c r="P446" i="29"/>
  <c r="Q446" i="29"/>
  <c r="R446" i="29"/>
  <c r="S446" i="29"/>
  <c r="J447" i="29"/>
  <c r="K447" i="29"/>
  <c r="L447" i="29"/>
  <c r="M447" i="29"/>
  <c r="N447" i="29"/>
  <c r="O447" i="29"/>
  <c r="P447" i="29"/>
  <c r="Q447" i="29"/>
  <c r="R447" i="29"/>
  <c r="S447" i="29"/>
  <c r="J448" i="29"/>
  <c r="K448" i="29"/>
  <c r="L448" i="29"/>
  <c r="M448" i="29"/>
  <c r="N448" i="29"/>
  <c r="O448" i="29"/>
  <c r="P448" i="29"/>
  <c r="Q448" i="29"/>
  <c r="R448" i="29"/>
  <c r="S448" i="29"/>
  <c r="J449" i="29"/>
  <c r="K449" i="29"/>
  <c r="L449" i="29"/>
  <c r="M449" i="29"/>
  <c r="N449" i="29"/>
  <c r="O449" i="29"/>
  <c r="P449" i="29"/>
  <c r="Q449" i="29"/>
  <c r="R449" i="29"/>
  <c r="S449" i="29"/>
  <c r="J450" i="29"/>
  <c r="K450" i="29"/>
  <c r="L450" i="29"/>
  <c r="M450" i="29"/>
  <c r="N450" i="29"/>
  <c r="O450" i="29"/>
  <c r="P450" i="29"/>
  <c r="Q450" i="29"/>
  <c r="R450" i="29"/>
  <c r="S450" i="29"/>
  <c r="J451" i="29"/>
  <c r="K451" i="29"/>
  <c r="L451" i="29"/>
  <c r="M451" i="29"/>
  <c r="N451" i="29"/>
  <c r="O451" i="29"/>
  <c r="P451" i="29"/>
  <c r="Q451" i="29"/>
  <c r="R451" i="29"/>
  <c r="S451" i="29"/>
  <c r="J452" i="29"/>
  <c r="K452" i="29"/>
  <c r="L452" i="29"/>
  <c r="M452" i="29"/>
  <c r="N452" i="29"/>
  <c r="O452" i="29"/>
  <c r="P452" i="29"/>
  <c r="Q452" i="29"/>
  <c r="R452" i="29"/>
  <c r="S452" i="29"/>
  <c r="J453" i="29"/>
  <c r="K453" i="29"/>
  <c r="L453" i="29"/>
  <c r="M453" i="29"/>
  <c r="N453" i="29"/>
  <c r="O453" i="29"/>
  <c r="P453" i="29"/>
  <c r="Q453" i="29"/>
  <c r="R453" i="29"/>
  <c r="S453" i="29"/>
  <c r="J454" i="29"/>
  <c r="K454" i="29"/>
  <c r="L454" i="29"/>
  <c r="M454" i="29"/>
  <c r="N454" i="29"/>
  <c r="O454" i="29"/>
  <c r="P454" i="29"/>
  <c r="Q454" i="29"/>
  <c r="R454" i="29"/>
  <c r="S454" i="29"/>
  <c r="J455" i="29"/>
  <c r="K455" i="29"/>
  <c r="L455" i="29"/>
  <c r="M455" i="29"/>
  <c r="N455" i="29"/>
  <c r="O455" i="29"/>
  <c r="P455" i="29"/>
  <c r="Q455" i="29"/>
  <c r="R455" i="29"/>
  <c r="S455" i="29"/>
  <c r="J456" i="29"/>
  <c r="K456" i="29"/>
  <c r="L456" i="29"/>
  <c r="M456" i="29"/>
  <c r="N456" i="29"/>
  <c r="O456" i="29"/>
  <c r="P456" i="29"/>
  <c r="Q456" i="29"/>
  <c r="R456" i="29"/>
  <c r="S456" i="29"/>
  <c r="J457" i="29"/>
  <c r="K457" i="29"/>
  <c r="L457" i="29"/>
  <c r="M457" i="29"/>
  <c r="N457" i="29"/>
  <c r="O457" i="29"/>
  <c r="P457" i="29"/>
  <c r="Q457" i="29"/>
  <c r="R457" i="29"/>
  <c r="S457" i="29"/>
  <c r="J458" i="29"/>
  <c r="K458" i="29"/>
  <c r="L458" i="29"/>
  <c r="M458" i="29"/>
  <c r="N458" i="29"/>
  <c r="O458" i="29"/>
  <c r="P458" i="29"/>
  <c r="Q458" i="29"/>
  <c r="R458" i="29"/>
  <c r="S458" i="29"/>
  <c r="J459" i="29"/>
  <c r="K459" i="29"/>
  <c r="L459" i="29"/>
  <c r="M459" i="29"/>
  <c r="N459" i="29"/>
  <c r="O459" i="29"/>
  <c r="P459" i="29"/>
  <c r="Q459" i="29"/>
  <c r="R459" i="29"/>
  <c r="S459" i="29"/>
  <c r="J460" i="29"/>
  <c r="K460" i="29"/>
  <c r="L460" i="29"/>
  <c r="M460" i="29"/>
  <c r="N460" i="29"/>
  <c r="O460" i="29"/>
  <c r="P460" i="29"/>
  <c r="Q460" i="29"/>
  <c r="R460" i="29"/>
  <c r="S460" i="29"/>
  <c r="J461" i="29"/>
  <c r="K461" i="29"/>
  <c r="L461" i="29"/>
  <c r="M461" i="29"/>
  <c r="N461" i="29"/>
  <c r="O461" i="29"/>
  <c r="P461" i="29"/>
  <c r="Q461" i="29"/>
  <c r="R461" i="29"/>
  <c r="S461" i="29"/>
  <c r="J462" i="29"/>
  <c r="K462" i="29"/>
  <c r="L462" i="29"/>
  <c r="M462" i="29"/>
  <c r="N462" i="29"/>
  <c r="O462" i="29"/>
  <c r="P462" i="29"/>
  <c r="Q462" i="29"/>
  <c r="R462" i="29"/>
  <c r="S462" i="29"/>
  <c r="J463" i="29"/>
  <c r="K463" i="29"/>
  <c r="L463" i="29"/>
  <c r="M463" i="29"/>
  <c r="N463" i="29"/>
  <c r="O463" i="29"/>
  <c r="P463" i="29"/>
  <c r="Q463" i="29"/>
  <c r="R463" i="29"/>
  <c r="S463" i="29"/>
  <c r="J464" i="29"/>
  <c r="K464" i="29"/>
  <c r="L464" i="29"/>
  <c r="M464" i="29"/>
  <c r="N464" i="29"/>
  <c r="O464" i="29"/>
  <c r="P464" i="29"/>
  <c r="Q464" i="29"/>
  <c r="R464" i="29"/>
  <c r="S464" i="29"/>
  <c r="J465" i="29"/>
  <c r="K465" i="29"/>
  <c r="L465" i="29"/>
  <c r="M465" i="29"/>
  <c r="N465" i="29"/>
  <c r="O465" i="29"/>
  <c r="P465" i="29"/>
  <c r="Q465" i="29"/>
  <c r="R465" i="29"/>
  <c r="S465" i="29"/>
  <c r="J466" i="29"/>
  <c r="K466" i="29"/>
  <c r="L466" i="29"/>
  <c r="M466" i="29"/>
  <c r="N466" i="29"/>
  <c r="O466" i="29"/>
  <c r="P466" i="29"/>
  <c r="Q466" i="29"/>
  <c r="R466" i="29"/>
  <c r="S466" i="29"/>
  <c r="J467" i="29"/>
  <c r="K467" i="29"/>
  <c r="L467" i="29"/>
  <c r="M467" i="29"/>
  <c r="N467" i="29"/>
  <c r="O467" i="29"/>
  <c r="P467" i="29"/>
  <c r="Q467" i="29"/>
  <c r="R467" i="29"/>
  <c r="S467" i="29"/>
  <c r="J468" i="29"/>
  <c r="K468" i="29"/>
  <c r="L468" i="29"/>
  <c r="M468" i="29"/>
  <c r="N468" i="29"/>
  <c r="O468" i="29"/>
  <c r="P468" i="29"/>
  <c r="Q468" i="29"/>
  <c r="R468" i="29"/>
  <c r="S468" i="29"/>
  <c r="J469" i="29"/>
  <c r="K469" i="29"/>
  <c r="L469" i="29"/>
  <c r="M469" i="29"/>
  <c r="N469" i="29"/>
  <c r="O469" i="29"/>
  <c r="P469" i="29"/>
  <c r="Q469" i="29"/>
  <c r="R469" i="29"/>
  <c r="S469" i="29"/>
  <c r="J470" i="29"/>
  <c r="K470" i="29"/>
  <c r="L470" i="29"/>
  <c r="M470" i="29"/>
  <c r="N470" i="29"/>
  <c r="O470" i="29"/>
  <c r="P470" i="29"/>
  <c r="Q470" i="29"/>
  <c r="R470" i="29"/>
  <c r="S470" i="29"/>
  <c r="J471" i="29"/>
  <c r="K471" i="29"/>
  <c r="L471" i="29"/>
  <c r="M471" i="29"/>
  <c r="N471" i="29"/>
  <c r="O471" i="29"/>
  <c r="P471" i="29"/>
  <c r="Q471" i="29"/>
  <c r="R471" i="29"/>
  <c r="S471" i="29"/>
  <c r="J472" i="29"/>
  <c r="K472" i="29"/>
  <c r="L472" i="29"/>
  <c r="M472" i="29"/>
  <c r="N472" i="29"/>
  <c r="O472" i="29"/>
  <c r="P472" i="29"/>
  <c r="Q472" i="29"/>
  <c r="R472" i="29"/>
  <c r="S472" i="29"/>
  <c r="J473" i="29"/>
  <c r="K473" i="29"/>
  <c r="L473" i="29"/>
  <c r="M473" i="29"/>
  <c r="N473" i="29"/>
  <c r="O473" i="29"/>
  <c r="P473" i="29"/>
  <c r="Q473" i="29"/>
  <c r="R473" i="29"/>
  <c r="S473" i="29"/>
  <c r="J474" i="29"/>
  <c r="K474" i="29"/>
  <c r="L474" i="29"/>
  <c r="M474" i="29"/>
  <c r="N474" i="29"/>
  <c r="O474" i="29"/>
  <c r="P474" i="29"/>
  <c r="Q474" i="29"/>
  <c r="R474" i="29"/>
  <c r="S474" i="29"/>
  <c r="J475" i="29"/>
  <c r="K475" i="29"/>
  <c r="L475" i="29"/>
  <c r="M475" i="29"/>
  <c r="N475" i="29"/>
  <c r="O475" i="29"/>
  <c r="P475" i="29"/>
  <c r="Q475" i="29"/>
  <c r="R475" i="29"/>
  <c r="S475" i="29"/>
  <c r="J476" i="29"/>
  <c r="K476" i="29"/>
  <c r="L476" i="29"/>
  <c r="M476" i="29"/>
  <c r="N476" i="29"/>
  <c r="O476" i="29"/>
  <c r="P476" i="29"/>
  <c r="Q476" i="29"/>
  <c r="R476" i="29"/>
  <c r="S476" i="29"/>
  <c r="J477" i="29"/>
  <c r="K477" i="29"/>
  <c r="L477" i="29"/>
  <c r="M477" i="29"/>
  <c r="N477" i="29"/>
  <c r="O477" i="29"/>
  <c r="P477" i="29"/>
  <c r="Q477" i="29"/>
  <c r="R477" i="29"/>
  <c r="S477" i="29"/>
  <c r="J478" i="29"/>
  <c r="K478" i="29"/>
  <c r="L478" i="29"/>
  <c r="M478" i="29"/>
  <c r="N478" i="29"/>
  <c r="O478" i="29"/>
  <c r="P478" i="29"/>
  <c r="Q478" i="29"/>
  <c r="R478" i="29"/>
  <c r="S478" i="29"/>
  <c r="J479" i="29"/>
  <c r="K479" i="29"/>
  <c r="L479" i="29"/>
  <c r="M479" i="29"/>
  <c r="N479" i="29"/>
  <c r="O479" i="29"/>
  <c r="P479" i="29"/>
  <c r="Q479" i="29"/>
  <c r="R479" i="29"/>
  <c r="S479" i="29"/>
  <c r="J480" i="29"/>
  <c r="K480" i="29"/>
  <c r="L480" i="29"/>
  <c r="M480" i="29"/>
  <c r="N480" i="29"/>
  <c r="O480" i="29"/>
  <c r="P480" i="29"/>
  <c r="Q480" i="29"/>
  <c r="R480" i="29"/>
  <c r="S480" i="29"/>
  <c r="J481" i="29"/>
  <c r="K481" i="29"/>
  <c r="L481" i="29"/>
  <c r="M481" i="29"/>
  <c r="N481" i="29"/>
  <c r="O481" i="29"/>
  <c r="P481" i="29"/>
  <c r="Q481" i="29"/>
  <c r="R481" i="29"/>
  <c r="S481" i="29"/>
  <c r="J482" i="29"/>
  <c r="K482" i="29"/>
  <c r="L482" i="29"/>
  <c r="M482" i="29"/>
  <c r="N482" i="29"/>
  <c r="O482" i="29"/>
  <c r="P482" i="29"/>
  <c r="Q482" i="29"/>
  <c r="R482" i="29"/>
  <c r="S482" i="29"/>
  <c r="J483" i="29"/>
  <c r="K483" i="29"/>
  <c r="L483" i="29"/>
  <c r="M483" i="29"/>
  <c r="N483" i="29"/>
  <c r="O483" i="29"/>
  <c r="P483" i="29"/>
  <c r="Q483" i="29"/>
  <c r="R483" i="29"/>
  <c r="S483" i="29"/>
  <c r="J484" i="29"/>
  <c r="K484" i="29"/>
  <c r="L484" i="29"/>
  <c r="M484" i="29"/>
  <c r="N484" i="29"/>
  <c r="O484" i="29"/>
  <c r="P484" i="29"/>
  <c r="Q484" i="29"/>
  <c r="R484" i="29"/>
  <c r="S484" i="29"/>
  <c r="J485" i="29"/>
  <c r="K485" i="29"/>
  <c r="L485" i="29"/>
  <c r="M485" i="29"/>
  <c r="N485" i="29"/>
  <c r="O485" i="29"/>
  <c r="P485" i="29"/>
  <c r="Q485" i="29"/>
  <c r="R485" i="29"/>
  <c r="S485" i="29"/>
  <c r="J486" i="29"/>
  <c r="K486" i="29"/>
  <c r="L486" i="29"/>
  <c r="M486" i="29"/>
  <c r="N486" i="29"/>
  <c r="O486" i="29"/>
  <c r="P486" i="29"/>
  <c r="Q486" i="29"/>
  <c r="R486" i="29"/>
  <c r="S486" i="29"/>
  <c r="J487" i="29"/>
  <c r="K487" i="29"/>
  <c r="L487" i="29"/>
  <c r="M487" i="29"/>
  <c r="N487" i="29"/>
  <c r="O487" i="29"/>
  <c r="P487" i="29"/>
  <c r="Q487" i="29"/>
  <c r="R487" i="29"/>
  <c r="S487" i="29"/>
  <c r="J488" i="29"/>
  <c r="K488" i="29"/>
  <c r="L488" i="29"/>
  <c r="M488" i="29"/>
  <c r="N488" i="29"/>
  <c r="O488" i="29"/>
  <c r="P488" i="29"/>
  <c r="Q488" i="29"/>
  <c r="R488" i="29"/>
  <c r="S488" i="29"/>
  <c r="J489" i="29"/>
  <c r="K489" i="29"/>
  <c r="L489" i="29"/>
  <c r="M489" i="29"/>
  <c r="N489" i="29"/>
  <c r="O489" i="29"/>
  <c r="P489" i="29"/>
  <c r="Q489" i="29"/>
  <c r="R489" i="29"/>
  <c r="S489" i="29"/>
  <c r="J490" i="29"/>
  <c r="K490" i="29"/>
  <c r="L490" i="29"/>
  <c r="M490" i="29"/>
  <c r="N490" i="29"/>
  <c r="O490" i="29"/>
  <c r="P490" i="29"/>
  <c r="Q490" i="29"/>
  <c r="R490" i="29"/>
  <c r="S490" i="29"/>
  <c r="J491" i="29"/>
  <c r="K491" i="29"/>
  <c r="L491" i="29"/>
  <c r="M491" i="29"/>
  <c r="N491" i="29"/>
  <c r="O491" i="29"/>
  <c r="P491" i="29"/>
  <c r="Q491" i="29"/>
  <c r="R491" i="29"/>
  <c r="S491" i="29"/>
  <c r="J492" i="29"/>
  <c r="K492" i="29"/>
  <c r="L492" i="29"/>
  <c r="M492" i="29"/>
  <c r="N492" i="29"/>
  <c r="O492" i="29"/>
  <c r="P492" i="29"/>
  <c r="Q492" i="29"/>
  <c r="R492" i="29"/>
  <c r="S492" i="29"/>
  <c r="J493" i="29"/>
  <c r="K493" i="29"/>
  <c r="L493" i="29"/>
  <c r="M493" i="29"/>
  <c r="N493" i="29"/>
  <c r="O493" i="29"/>
  <c r="P493" i="29"/>
  <c r="Q493" i="29"/>
  <c r="R493" i="29"/>
  <c r="S493" i="29"/>
  <c r="J494" i="29"/>
  <c r="K494" i="29"/>
  <c r="L494" i="29"/>
  <c r="M494" i="29"/>
  <c r="N494" i="29"/>
  <c r="O494" i="29"/>
  <c r="P494" i="29"/>
  <c r="Q494" i="29"/>
  <c r="R494" i="29"/>
  <c r="S494" i="29"/>
  <c r="J495" i="29"/>
  <c r="K495" i="29"/>
  <c r="L495" i="29"/>
  <c r="M495" i="29"/>
  <c r="N495" i="29"/>
  <c r="O495" i="29"/>
  <c r="P495" i="29"/>
  <c r="Q495" i="29"/>
  <c r="R495" i="29"/>
  <c r="S495" i="29"/>
  <c r="J496" i="29"/>
  <c r="K496" i="29"/>
  <c r="L496" i="29"/>
  <c r="M496" i="29"/>
  <c r="N496" i="29"/>
  <c r="O496" i="29"/>
  <c r="P496" i="29"/>
  <c r="Q496" i="29"/>
  <c r="R496" i="29"/>
  <c r="S496" i="29"/>
  <c r="J497" i="29"/>
  <c r="K497" i="29"/>
  <c r="L497" i="29"/>
  <c r="M497" i="29"/>
  <c r="N497" i="29"/>
  <c r="O497" i="29"/>
  <c r="P497" i="29"/>
  <c r="Q497" i="29"/>
  <c r="R497" i="29"/>
  <c r="S497" i="29"/>
  <c r="J498" i="29"/>
  <c r="K498" i="29"/>
  <c r="L498" i="29"/>
  <c r="M498" i="29"/>
  <c r="N498" i="29"/>
  <c r="O498" i="29"/>
  <c r="P498" i="29"/>
  <c r="Q498" i="29"/>
  <c r="R498" i="29"/>
  <c r="S498" i="29"/>
  <c r="J499" i="29"/>
  <c r="K499" i="29"/>
  <c r="L499" i="29"/>
  <c r="M499" i="29"/>
  <c r="N499" i="29"/>
  <c r="O499" i="29"/>
  <c r="P499" i="29"/>
  <c r="Q499" i="29"/>
  <c r="R499" i="29"/>
  <c r="S499" i="29"/>
  <c r="J500" i="29"/>
  <c r="K500" i="29"/>
  <c r="L500" i="29"/>
  <c r="M500" i="29"/>
  <c r="N500" i="29"/>
  <c r="O500" i="29"/>
  <c r="P500" i="29"/>
  <c r="Q500" i="29"/>
  <c r="R500" i="29"/>
  <c r="S500" i="29"/>
  <c r="J501" i="29"/>
  <c r="K501" i="29"/>
  <c r="L501" i="29"/>
  <c r="M501" i="29"/>
  <c r="N501" i="29"/>
  <c r="O501" i="29"/>
  <c r="P501" i="29"/>
  <c r="Q501" i="29"/>
  <c r="R501" i="29"/>
  <c r="S501" i="29"/>
  <c r="J502" i="29"/>
  <c r="K502" i="29"/>
  <c r="L502" i="29"/>
  <c r="M502" i="29"/>
  <c r="N502" i="29"/>
  <c r="O502" i="29"/>
  <c r="P502" i="29"/>
  <c r="Q502" i="29"/>
  <c r="R502" i="29"/>
  <c r="S502" i="29"/>
  <c r="J503" i="29"/>
  <c r="K503" i="29"/>
  <c r="L503" i="29"/>
  <c r="M503" i="29"/>
  <c r="N503" i="29"/>
  <c r="O503" i="29"/>
  <c r="P503" i="29"/>
  <c r="Q503" i="29"/>
  <c r="R503" i="29"/>
  <c r="S503" i="29"/>
  <c r="J504" i="29"/>
  <c r="K504" i="29"/>
  <c r="L504" i="29"/>
  <c r="M504" i="29"/>
  <c r="N504" i="29"/>
  <c r="O504" i="29"/>
  <c r="P504" i="29"/>
  <c r="Q504" i="29"/>
  <c r="R504" i="29"/>
  <c r="S504" i="29"/>
  <c r="J505" i="29"/>
  <c r="K505" i="29"/>
  <c r="L505" i="29"/>
  <c r="M505" i="29"/>
  <c r="N505" i="29"/>
  <c r="O505" i="29"/>
  <c r="P505" i="29"/>
  <c r="Q505" i="29"/>
  <c r="R505" i="29"/>
  <c r="S505" i="29"/>
  <c r="J506" i="29"/>
  <c r="K506" i="29"/>
  <c r="L506" i="29"/>
  <c r="M506" i="29"/>
  <c r="N506" i="29"/>
  <c r="O506" i="29"/>
  <c r="P506" i="29"/>
  <c r="Q506" i="29"/>
  <c r="R506" i="29"/>
  <c r="S506" i="29"/>
  <c r="J507" i="29"/>
  <c r="K507" i="29"/>
  <c r="L507" i="29"/>
  <c r="M507" i="29"/>
  <c r="N507" i="29"/>
  <c r="O507" i="29"/>
  <c r="P507" i="29"/>
  <c r="Q507" i="29"/>
  <c r="R507" i="29"/>
  <c r="S507" i="29"/>
  <c r="J508" i="29"/>
  <c r="K508" i="29"/>
  <c r="L508" i="29"/>
  <c r="M508" i="29"/>
  <c r="N508" i="29"/>
  <c r="O508" i="29"/>
  <c r="P508" i="29"/>
  <c r="Q508" i="29"/>
  <c r="R508" i="29"/>
  <c r="S508" i="29"/>
  <c r="J509" i="29"/>
  <c r="K509" i="29"/>
  <c r="L509" i="29"/>
  <c r="M509" i="29"/>
  <c r="N509" i="29"/>
  <c r="O509" i="29"/>
  <c r="P509" i="29"/>
  <c r="Q509" i="29"/>
  <c r="R509" i="29"/>
  <c r="S509" i="29"/>
  <c r="J510" i="29"/>
  <c r="K510" i="29"/>
  <c r="L510" i="29"/>
  <c r="M510" i="29"/>
  <c r="N510" i="29"/>
  <c r="O510" i="29"/>
  <c r="P510" i="29"/>
  <c r="Q510" i="29"/>
  <c r="R510" i="29"/>
  <c r="S510" i="29"/>
  <c r="J511" i="29"/>
  <c r="K511" i="29"/>
  <c r="L511" i="29"/>
  <c r="M511" i="29"/>
  <c r="N511" i="29"/>
  <c r="O511" i="29"/>
  <c r="P511" i="29"/>
  <c r="Q511" i="29"/>
  <c r="R511" i="29"/>
  <c r="S511" i="29"/>
  <c r="J512" i="29"/>
  <c r="K512" i="29"/>
  <c r="L512" i="29"/>
  <c r="M512" i="29"/>
  <c r="N512" i="29"/>
  <c r="O512" i="29"/>
  <c r="P512" i="29"/>
  <c r="Q512" i="29"/>
  <c r="R512" i="29"/>
  <c r="S512" i="29"/>
  <c r="J513" i="29"/>
  <c r="K513" i="29"/>
  <c r="L513" i="29"/>
  <c r="M513" i="29"/>
  <c r="N513" i="29"/>
  <c r="O513" i="29"/>
  <c r="P513" i="29"/>
  <c r="Q513" i="29"/>
  <c r="R513" i="29"/>
  <c r="S513" i="29"/>
  <c r="J514" i="29"/>
  <c r="K514" i="29"/>
  <c r="L514" i="29"/>
  <c r="M514" i="29"/>
  <c r="N514" i="29"/>
  <c r="O514" i="29"/>
  <c r="P514" i="29"/>
  <c r="Q514" i="29"/>
  <c r="R514" i="29"/>
  <c r="S514" i="29"/>
  <c r="J515" i="29"/>
  <c r="K515" i="29"/>
  <c r="L515" i="29"/>
  <c r="M515" i="29"/>
  <c r="N515" i="29"/>
  <c r="O515" i="29"/>
  <c r="P515" i="29"/>
  <c r="Q515" i="29"/>
  <c r="R515" i="29"/>
  <c r="S515" i="29"/>
  <c r="J516" i="29"/>
  <c r="K516" i="29"/>
  <c r="L516" i="29"/>
  <c r="M516" i="29"/>
  <c r="N516" i="29"/>
  <c r="O516" i="29"/>
  <c r="P516" i="29"/>
  <c r="Q516" i="29"/>
  <c r="R516" i="29"/>
  <c r="S516" i="29"/>
  <c r="J517" i="29"/>
  <c r="K517" i="29"/>
  <c r="L517" i="29"/>
  <c r="M517" i="29"/>
  <c r="N517" i="29"/>
  <c r="O517" i="29"/>
  <c r="P517" i="29"/>
  <c r="Q517" i="29"/>
  <c r="R517" i="29"/>
  <c r="S517" i="29"/>
  <c r="J518" i="29"/>
  <c r="K518" i="29"/>
  <c r="L518" i="29"/>
  <c r="M518" i="29"/>
  <c r="N518" i="29"/>
  <c r="O518" i="29"/>
  <c r="P518" i="29"/>
  <c r="Q518" i="29"/>
  <c r="R518" i="29"/>
  <c r="S518" i="29"/>
  <c r="J519" i="29"/>
  <c r="K519" i="29"/>
  <c r="L519" i="29"/>
  <c r="M519" i="29"/>
  <c r="N519" i="29"/>
  <c r="O519" i="29"/>
  <c r="P519" i="29"/>
  <c r="Q519" i="29"/>
  <c r="R519" i="29"/>
  <c r="S519" i="29"/>
  <c r="J520" i="29"/>
  <c r="K520" i="29"/>
  <c r="L520" i="29"/>
  <c r="M520" i="29"/>
  <c r="N520" i="29"/>
  <c r="O520" i="29"/>
  <c r="P520" i="29"/>
  <c r="Q520" i="29"/>
  <c r="R520" i="29"/>
  <c r="S520" i="29"/>
  <c r="J521" i="29"/>
  <c r="K521" i="29"/>
  <c r="L521" i="29"/>
  <c r="M521" i="29"/>
  <c r="N521" i="29"/>
  <c r="O521" i="29"/>
  <c r="P521" i="29"/>
  <c r="Q521" i="29"/>
  <c r="R521" i="29"/>
  <c r="S521" i="29"/>
  <c r="A6" i="24"/>
  <c r="D6" i="24"/>
  <c r="J6" i="24"/>
  <c r="G6" i="24"/>
  <c r="C50" i="25" a="1"/>
  <c r="C50" i="25"/>
  <c r="D50" i="25" a="1"/>
  <c r="D50" i="25"/>
  <c r="E50" i="25" a="1"/>
  <c r="E50" i="25"/>
  <c r="C51" i="25" a="1"/>
  <c r="C51" i="25"/>
  <c r="D51" i="25" a="1"/>
  <c r="D51" i="25"/>
  <c r="E51" i="25" a="1"/>
  <c r="E51" i="25"/>
  <c r="F51" i="25" s="1" a="1"/>
  <c r="F51" i="25" s="1"/>
  <c r="C52" i="25" a="1"/>
  <c r="C52" i="25"/>
  <c r="D52" i="25" a="1"/>
  <c r="D52" i="25"/>
  <c r="E52" i="25" a="1"/>
  <c r="E52" i="25"/>
  <c r="F52" i="25" s="1" a="1"/>
  <c r="F52" i="25" s="1"/>
  <c r="C53" i="25" a="1"/>
  <c r="C53" i="25"/>
  <c r="D53" i="25" a="1"/>
  <c r="D53" i="25"/>
  <c r="E53" i="25" a="1"/>
  <c r="E53" i="25"/>
  <c r="F53" i="25" s="1" a="1"/>
  <c r="F53" i="25" s="1"/>
  <c r="C54" i="25" a="1"/>
  <c r="C54" i="25"/>
  <c r="D54" i="25" a="1"/>
  <c r="D54" i="25"/>
  <c r="E54" i="25" a="1"/>
  <c r="E54" i="25"/>
  <c r="F54" i="25" s="1" a="1"/>
  <c r="F54" i="25" s="1"/>
  <c r="C55" i="25" a="1"/>
  <c r="C55" i="25"/>
  <c r="D55" i="25" a="1"/>
  <c r="D55" i="25"/>
  <c r="E55" i="25" a="1"/>
  <c r="E55" i="25"/>
  <c r="F55" i="25" s="1" a="1"/>
  <c r="F55" i="25" s="1"/>
  <c r="C56" i="25" a="1"/>
  <c r="C56" i="25"/>
  <c r="D56" i="25" a="1"/>
  <c r="D56" i="25"/>
  <c r="E56" i="25" a="1"/>
  <c r="E56" i="25"/>
  <c r="F56" i="25" s="1" a="1"/>
  <c r="F56" i="25" s="1"/>
  <c r="C57" i="25" a="1"/>
  <c r="C57" i="25"/>
  <c r="D57" i="25" a="1"/>
  <c r="D57" i="25"/>
  <c r="E57" i="25" a="1"/>
  <c r="E57" i="25"/>
  <c r="F57" i="25" s="1" a="1"/>
  <c r="F57" i="25" s="1"/>
  <c r="C58" i="25" a="1"/>
  <c r="C58" i="25"/>
  <c r="D58" i="25" a="1"/>
  <c r="D58" i="25"/>
  <c r="E58" i="25" a="1"/>
  <c r="E58" i="25"/>
  <c r="F58" i="25" s="1" a="1"/>
  <c r="F58" i="25" s="1"/>
  <c r="C59" i="25" a="1"/>
  <c r="C59" i="25"/>
  <c r="D59" i="25" a="1"/>
  <c r="D59" i="25"/>
  <c r="E59" i="25" a="1"/>
  <c r="E59" i="25"/>
  <c r="F59" i="25" s="1" a="1"/>
  <c r="F59" i="25" s="1"/>
  <c r="C60" i="25" a="1"/>
  <c r="C60" i="25"/>
  <c r="D60" i="25" a="1"/>
  <c r="D60" i="25"/>
  <c r="E60" i="25" a="1"/>
  <c r="E60" i="25"/>
  <c r="F60" i="25" s="1" a="1"/>
  <c r="F60" i="25" s="1"/>
  <c r="C61" i="25" a="1"/>
  <c r="C61" i="25"/>
  <c r="D61" i="25" a="1"/>
  <c r="D61" i="25"/>
  <c r="E61" i="25" a="1"/>
  <c r="E61" i="25"/>
  <c r="F61" i="25" s="1" a="1"/>
  <c r="F61" i="25" s="1"/>
  <c r="C62" i="25" a="1"/>
  <c r="C62" i="25"/>
  <c r="D62" i="25" a="1"/>
  <c r="D62" i="25"/>
  <c r="E62" i="25" a="1"/>
  <c r="E62" i="25"/>
  <c r="F62" i="25" s="1" a="1"/>
  <c r="F62" i="25" s="1"/>
  <c r="C63" i="25" a="1"/>
  <c r="C63" i="25"/>
  <c r="D63" i="25" a="1"/>
  <c r="D63" i="25"/>
  <c r="E63" i="25" a="1"/>
  <c r="E63" i="25"/>
  <c r="F63" i="25" s="1" a="1"/>
  <c r="F63" i="25" s="1"/>
  <c r="C64" i="25" a="1"/>
  <c r="C64" i="25"/>
  <c r="D64" i="25" a="1"/>
  <c r="D64" i="25"/>
  <c r="E64" i="25" a="1"/>
  <c r="E64" i="25"/>
  <c r="F64" i="25" s="1" a="1"/>
  <c r="F64" i="25" s="1"/>
  <c r="C65" i="25" a="1"/>
  <c r="C65" i="25"/>
  <c r="D65" i="25" a="1"/>
  <c r="D65" i="25"/>
  <c r="E65" i="25" a="1"/>
  <c r="E65" i="25"/>
  <c r="F65" i="25" s="1" a="1"/>
  <c r="F65" i="25" s="1"/>
  <c r="C66" i="25" a="1"/>
  <c r="C66" i="25"/>
  <c r="D66" i="25" a="1"/>
  <c r="D66" i="25"/>
  <c r="E66" i="25" a="1"/>
  <c r="E66" i="25"/>
  <c r="F66" i="25" s="1" a="1"/>
  <c r="F66" i="25" s="1"/>
  <c r="C67" i="25" a="1"/>
  <c r="C67" i="25"/>
  <c r="D67" i="25" a="1"/>
  <c r="D67" i="25"/>
  <c r="E67" i="25" a="1"/>
  <c r="E67" i="25"/>
  <c r="F67" i="25" s="1" a="1"/>
  <c r="F67" i="25" s="1"/>
  <c r="C68" i="25" a="1"/>
  <c r="C68" i="25"/>
  <c r="D68" i="25" a="1"/>
  <c r="D68" i="25"/>
  <c r="E68" i="25" a="1"/>
  <c r="E68" i="25"/>
  <c r="F68" i="25" s="1" a="1"/>
  <c r="F68" i="25" s="1"/>
  <c r="C69" i="25" a="1"/>
  <c r="C69" i="25"/>
  <c r="D69" i="25" a="1"/>
  <c r="D69" i="25"/>
  <c r="E69" i="25" a="1"/>
  <c r="E69" i="25"/>
  <c r="F69" i="25" s="1" a="1"/>
  <c r="F69" i="25" s="1"/>
  <c r="A40" i="25"/>
  <c r="B40" i="25"/>
  <c r="A41" i="25"/>
  <c r="B41" i="25"/>
  <c r="A42" i="25"/>
  <c r="B42" i="25"/>
  <c r="A43" i="25"/>
  <c r="B43" i="25"/>
  <c r="B30" i="25" a="1"/>
  <c r="B30" i="25"/>
  <c r="B31" i="25" a="1"/>
  <c r="B31" i="25"/>
  <c r="B32" i="25" a="1"/>
  <c r="B32" i="25"/>
  <c r="B33" i="25" a="1"/>
  <c r="B33" i="25"/>
  <c r="B34" i="25" a="1"/>
  <c r="B34" i="25"/>
  <c r="B22" i="25" a="1"/>
  <c r="B22" i="25"/>
  <c r="B23" i="25" a="1"/>
  <c r="B23" i="25"/>
  <c r="B24" i="25" a="1"/>
  <c r="B24" i="25"/>
  <c r="B12" i="25"/>
  <c r="C12" i="25"/>
  <c r="D12" i="25"/>
  <c r="E12" i="25"/>
  <c r="B13" i="25"/>
  <c r="C13" i="25"/>
  <c r="D13" i="25"/>
  <c r="E13" i="25"/>
  <c r="B14" i="25"/>
  <c r="C14" i="25"/>
  <c r="D14" i="25"/>
  <c r="E14" i="25"/>
  <c r="B15" i="25"/>
  <c r="C15" i="25"/>
  <c r="D15" i="25"/>
  <c r="E15" i="25"/>
  <c r="B16" i="25"/>
  <c r="C16" i="25"/>
  <c r="D16" i="25"/>
  <c r="E16" i="25"/>
  <c r="D13" i="21"/>
  <c r="D14" i="21"/>
  <c r="D15" i="21"/>
  <c r="D16" i="21"/>
  <c r="D12" i="21"/>
  <c r="P3" i="12"/>
  <c r="R1" i="12"/>
  <c r="P1" i="12"/>
  <c r="F50" i="25" l="1" a="1"/>
  <c r="F50" i="25" s="1"/>
  <c r="H50" i="25" s="1" a="1"/>
  <c r="H50" i="25" s="1"/>
  <c r="P5" i="12"/>
  <c r="Q5" i="12"/>
  <c r="P2" i="12"/>
  <c r="A46" i="24" l="1"/>
  <c r="B46" i="24"/>
  <c r="C46" i="24"/>
  <c r="D46" i="24"/>
  <c r="E46" i="24"/>
  <c r="F46" i="24"/>
  <c r="A47" i="24"/>
  <c r="B47" i="24"/>
  <c r="C47" i="24"/>
  <c r="D47" i="24"/>
  <c r="E47" i="24"/>
  <c r="F47" i="24"/>
  <c r="A48" i="24"/>
  <c r="B48" i="24"/>
  <c r="C48" i="24"/>
  <c r="D48" i="24"/>
  <c r="E48" i="24"/>
  <c r="F48" i="24"/>
  <c r="A49" i="24"/>
  <c r="B49" i="24"/>
  <c r="C49" i="24"/>
  <c r="D49" i="24"/>
  <c r="E49" i="24"/>
  <c r="F49" i="24"/>
  <c r="A50" i="24"/>
  <c r="B50" i="24"/>
  <c r="C50" i="24"/>
  <c r="D50" i="24"/>
  <c r="E50" i="24"/>
  <c r="F50" i="24"/>
  <c r="A51" i="24"/>
  <c r="B51" i="24"/>
  <c r="C51" i="24"/>
  <c r="D51" i="24"/>
  <c r="E51" i="24"/>
  <c r="F51"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302924-4BAA-4BAC-99E8-16024C84C5A5}" keepAlive="1" name="ModelConnection_ExternalData_1" description="Data Model" type="5" refreshedVersion="8" minRefreshableVersion="5" saveData="1">
    <dbPr connection="Data Model Connection" command="Indian_Employee_Data" commandType="3"/>
    <extLst>
      <ext xmlns:x15="http://schemas.microsoft.com/office/spreadsheetml/2010/11/main" uri="{DE250136-89BD-433C-8126-D09CA5730AF9}">
        <x15:connection id="" model="1"/>
      </ext>
    </extLst>
  </connection>
  <connection id="2" xr16:uid="{F6DECF77-1E91-459D-8EEB-5D0BFDA729F4}" keepAlive="1" name="ModelConnection_ExternalData_5" description="Data Model" type="5" refreshedVersion="8" minRefreshableVersion="5" saveData="1">
    <dbPr connection="Data Model Connection" command="Query_Audit_Exceptions 1" commandType="3"/>
    <extLst>
      <ext xmlns:x15="http://schemas.microsoft.com/office/spreadsheetml/2010/11/main" uri="{DE250136-89BD-433C-8126-D09CA5730AF9}">
        <x15:connection id="" model="1"/>
      </ext>
    </extLst>
  </connection>
  <connection id="3" xr16:uid="{489F1930-29A6-4DEC-A8C1-4195A17DBB9B}" name="Query - Indian_Employee_Data" description="Connection to the 'Indian_Employee_Data' query in the workbook." type="100" refreshedVersion="8" minRefreshableVersion="5">
    <extLst>
      <ext xmlns:x15="http://schemas.microsoft.com/office/spreadsheetml/2010/11/main" uri="{DE250136-89BD-433C-8126-D09CA5730AF9}">
        <x15:connection id="140e2675-7aa2-495e-9cf1-d797b4d074f1"/>
      </ext>
    </extLst>
  </connection>
  <connection id="4" xr16:uid="{90D3AEDE-092C-4E40-B664-A803341AB888}" name="Query - Query_Audit_Exceptions" description="Connection to the 'Query_Audit_Exceptions' query in the workbook." type="100" refreshedVersion="8" minRefreshableVersion="5">
    <extLst>
      <ext xmlns:x15="http://schemas.microsoft.com/office/spreadsheetml/2010/11/main" uri="{DE250136-89BD-433C-8126-D09CA5730AF9}">
        <x15:connection id="e6d8be16-4581-4a1b-aa6f-64679a36459f"/>
      </ext>
    </extLst>
  </connection>
  <connection id="5" xr16:uid="{CCC2AA69-43EE-40F7-9500-31095209648E}" name="Query - Query_Audit_Exceptions(1)" description="Connection to the 'Query_Audit_Exceptions' query in the workbook." type="100" refreshedVersion="8" minRefreshableVersion="5">
    <extLst>
      <ext xmlns:x15="http://schemas.microsoft.com/office/spreadsheetml/2010/11/main" uri="{DE250136-89BD-433C-8126-D09CA5730AF9}">
        <x15:connection id="808506f9-94ea-44be-aa3b-f6aa2ad4da8f"/>
      </ext>
    </extLst>
  </connection>
  <connection id="6" xr16:uid="{9C4EC7A1-6C29-4AE0-8DC4-102F611A1BE0}" keepAlive="1" name="Query - Vendor Map" description="Connection to the 'Vendor Map' query in the workbook." type="5" refreshedVersion="8" background="1" saveData="1">
    <dbPr connection="Provider=Microsoft.Mashup.OleDb.1;Data Source=$Workbook$;Location=&quot;Vendor Map&quot;;Extended Properties=&quot;&quot;" command="SELECT * FROM [Vendor Map]"/>
  </connection>
  <connection id="7" xr16:uid="{FAE41626-A714-438E-91A8-AC73B495B3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500">
    <s v="ThisWorkbookDataModel"/>
    <s v="&quot;₹&quot; #,0.00;#,0.00 -&quot;₹&quot;;&quot;₹&quot; #,0.00"/>
    <s v="{[Indian_Employee_Data].[Department].[All]}"/>
    <s v="[Indian_Employee_Data].[Employee ID].&amp;[Emp1499]"/>
    <s v="[Indian_Employee_Data].[Insurance tier].&amp;[Gold]"/>
    <s v="[Indian_Employee_Data].[Employee ID].&amp;[Emp1498]"/>
    <s v="[Indian_Employee_Data].[Employee ID].&amp;[Emp1497]"/>
    <s v="[Indian_Employee_Data].[Insurance tier].&amp;[Bronze]"/>
    <s v="[Indian_Employee_Data].[Employee ID].&amp;[Emp1496]"/>
    <s v="[Indian_Employee_Data].[Employee ID].&amp;[Emp1495]"/>
    <s v="[Indian_Employee_Data].[Insurance tier].&amp;[Silver]"/>
    <s v="[Indian_Employee_Data].[Employee ID].&amp;[Emp1494]"/>
    <s v="[Indian_Employee_Data].[Employee ID].&amp;[Emp1493]"/>
    <s v="[Indian_Employee_Data].[Employee ID].&amp;[Emp1492]"/>
    <s v="[Indian_Employee_Data].[Employee ID].&amp;[Emp1491]"/>
    <s v="[Indian_Employee_Data].[Employee ID].&amp;[Emp1490]"/>
    <s v="[Indian_Employee_Data].[Employee ID].&amp;[Emp1489]"/>
    <s v="[Indian_Employee_Data].[Employee ID].&amp;[Emp1488]"/>
    <s v="[Indian_Employee_Data].[Employee ID].&amp;[Emp1487]"/>
    <s v="[Indian_Employee_Data].[Employee ID].&amp;[Emp1486]"/>
    <s v="[Indian_Employee_Data].[Employee ID].&amp;[Emp1485]"/>
    <s v="[Indian_Employee_Data].[Employee ID].&amp;[Emp1484]"/>
    <s v="[Indian_Employee_Data].[Employee ID].&amp;[Emp1483]"/>
    <s v="[Indian_Employee_Data].[Employee ID].&amp;[Emp1482]"/>
    <s v="[Indian_Employee_Data].[Employee ID].&amp;[Emp1481]"/>
    <s v="[Indian_Employee_Data].[Employee ID].&amp;[Emp1480]"/>
    <s v="[Indian_Employee_Data].[Employee ID].&amp;[Emp1479]"/>
    <s v="[Indian_Employee_Data].[Employee ID].&amp;[Emp1478]"/>
    <s v="[Indian_Employee_Data].[Employee ID].&amp;[Emp1477]"/>
    <s v="[Indian_Employee_Data].[Employee ID].&amp;[Emp1476]"/>
    <s v="[Indian_Employee_Data].[Employee ID].&amp;[Emp1475]"/>
    <s v="[Indian_Employee_Data].[Employee ID].&amp;[Emp1474]"/>
    <s v="[Indian_Employee_Data].[Employee ID].&amp;[Emp1473]"/>
    <s v="[Indian_Employee_Data].[Employee ID].&amp;[Emp1472]"/>
    <s v="[Indian_Employee_Data].[Employee ID].&amp;[Emp1471]"/>
    <s v="[Indian_Employee_Data].[Employee ID].&amp;[Emp1470]"/>
    <s v="[Indian_Employee_Data].[Employee ID].&amp;[Emp1469]"/>
    <s v="[Indian_Employee_Data].[Employee ID].&amp;[Emp1468]"/>
    <s v="[Indian_Employee_Data].[Employee ID].&amp;[Emp1467]"/>
    <s v="[Indian_Employee_Data].[Employee ID].&amp;[Emp1466]"/>
    <s v="[Indian_Employee_Data].[Employee ID].&amp;[Emp1465]"/>
    <s v="[Indian_Employee_Data].[Employee ID].&amp;[Emp1464]"/>
    <s v="[Indian_Employee_Data].[Employee ID].&amp;[Emp1463]"/>
    <s v="[Indian_Employee_Data].[Employee ID].&amp;[Emp1462]"/>
    <s v="[Indian_Employee_Data].[Employee ID].&amp;[Emp1461]"/>
    <s v="[Indian_Employee_Data].[Employee ID].&amp;[Emp1460]"/>
    <s v="[Indian_Employee_Data].[Employee ID].&amp;[Emp1459]"/>
    <s v="[Indian_Employee_Data].[Employee ID].&amp;[Emp1458]"/>
    <s v="[Indian_Employee_Data].[Employee ID].&amp;[Emp1457]"/>
    <s v="[Indian_Employee_Data].[Employee ID].&amp;[Emp1456]"/>
    <s v="[Indian_Employee_Data].[Employee ID].&amp;[Emp1455]"/>
    <s v="[Indian_Employee_Data].[Employee ID].&amp;[Emp1454]"/>
    <s v="[Indian_Employee_Data].[Employee ID].&amp;[Emp1453]"/>
    <s v="[Indian_Employee_Data].[Employee ID].&amp;[Emp1452]"/>
    <s v="[Indian_Employee_Data].[Employee ID].&amp;[Emp1451]"/>
    <s v="[Indian_Employee_Data].[Employee ID].&amp;[Emp1450]"/>
    <s v="[Indian_Employee_Data].[Employee ID].&amp;[Emp1449]"/>
    <s v="[Indian_Employee_Data].[Employee ID].&amp;[Emp1448]"/>
    <s v="[Indian_Employee_Data].[Employee ID].&amp;[Emp1447]"/>
    <s v="[Indian_Employee_Data].[Employee ID].&amp;[Emp1446]"/>
    <s v="[Indian_Employee_Data].[Employee ID].&amp;[Emp1445]"/>
    <s v="[Indian_Employee_Data].[Employee ID].&amp;[Emp1444]"/>
    <s v="[Indian_Employee_Data].[Employee ID].&amp;[Emp1443]"/>
    <s v="[Indian_Employee_Data].[Employee ID].&amp;[Emp1442]"/>
    <s v="[Indian_Employee_Data].[Employee ID].&amp;[Emp1441]"/>
    <s v="[Indian_Employee_Data].[Employee ID].&amp;[Emp1440]"/>
    <s v="[Indian_Employee_Data].[Employee ID].&amp;[Emp1439]"/>
    <s v="[Indian_Employee_Data].[Employee ID].&amp;[Emp1438]"/>
    <s v="[Indian_Employee_Data].[Employee ID].&amp;[Emp1437]"/>
    <s v="[Indian_Employee_Data].[Employee ID].&amp;[Emp1436]"/>
    <s v="[Indian_Employee_Data].[Employee ID].&amp;[Emp1435]"/>
    <s v="[Indian_Employee_Data].[Employee ID].&amp;[Emp1434]"/>
    <s v="[Indian_Employee_Data].[Employee ID].&amp;[Emp1433]"/>
    <s v="[Indian_Employee_Data].[Employee ID].&amp;[Emp1432]"/>
    <s v="[Indian_Employee_Data].[Employee ID].&amp;[Emp1431]"/>
    <s v="[Indian_Employee_Data].[Employee ID].&amp;[Emp1430]"/>
    <s v="[Indian_Employee_Data].[Employee ID].&amp;[Emp1429]"/>
    <s v="[Indian_Employee_Data].[Employee ID].&amp;[Emp1428]"/>
    <s v="[Indian_Employee_Data].[Employee ID].&amp;[Emp1427]"/>
    <s v="[Indian_Employee_Data].[Employee ID].&amp;[Emp1426]"/>
    <s v="[Indian_Employee_Data].[Employee ID].&amp;[Emp1425]"/>
    <s v="[Indian_Employee_Data].[Employee ID].&amp;[Emp1424]"/>
    <s v="[Indian_Employee_Data].[Employee ID].&amp;[Emp1423]"/>
    <s v="[Indian_Employee_Data].[Employee ID].&amp;[Emp1422]"/>
    <s v="[Indian_Employee_Data].[Employee ID].&amp;[Emp1421]"/>
    <s v="[Indian_Employee_Data].[Employee ID].&amp;[Emp1420]"/>
    <s v="[Indian_Employee_Data].[Employee ID].&amp;[Emp1419]"/>
    <s v="[Indian_Employee_Data].[Employee ID].&amp;[Emp1418]"/>
    <s v="[Indian_Employee_Data].[Employee ID].&amp;[Emp1417]"/>
    <s v="[Indian_Employee_Data].[Employee ID].&amp;[Emp1416]"/>
    <s v="[Indian_Employee_Data].[Employee ID].&amp;[Emp1415]"/>
    <s v="[Indian_Employee_Data].[Employee ID].&amp;[Emp1414]"/>
    <s v="[Indian_Employee_Data].[Employee ID].&amp;[Emp1413]"/>
    <s v="[Indian_Employee_Data].[Employee ID].&amp;[Emp1412]"/>
    <s v="[Indian_Employee_Data].[Employee ID].&amp;[Emp1411]"/>
    <s v="[Indian_Employee_Data].[Employee ID].&amp;[Emp1410]"/>
    <s v="[Indian_Employee_Data].[Employee ID].&amp;[Emp1409]"/>
    <s v="[Indian_Employee_Data].[Employee ID].&amp;[Emp1408]"/>
    <s v="[Indian_Employee_Data].[Employee ID].&amp;[Emp1407]"/>
    <s v="[Indian_Employee_Data].[Employee ID].&amp;[Emp1406]"/>
    <s v="[Indian_Employee_Data].[Employee ID].&amp;[Emp1405]"/>
    <s v="[Indian_Employee_Data].[Employee ID].&amp;[Emp1404]"/>
    <s v="[Indian_Employee_Data].[Employee ID].&amp;[Emp1403]"/>
    <s v="[Indian_Employee_Data].[Employee ID].&amp;[Emp1402]"/>
    <s v="[Indian_Employee_Data].[Employee ID].&amp;[Emp1401]"/>
    <s v="[Indian_Employee_Data].[Employee ID].&amp;[Emp1400]"/>
    <s v="[Indian_Employee_Data].[Employee ID].&amp;[Emp1399]"/>
    <s v="[Indian_Employee_Data].[Employee ID].&amp;[Emp1398]"/>
    <s v="[Indian_Employee_Data].[Employee ID].&amp;[Emp1397]"/>
    <s v="[Indian_Employee_Data].[Employee ID].&amp;[Emp1396]"/>
    <s v="[Indian_Employee_Data].[Employee ID].&amp;[Emp1395]"/>
    <s v="[Indian_Employee_Data].[Employee ID].&amp;[Emp1394]"/>
    <s v="[Indian_Employee_Data].[Employee ID].&amp;[Emp1393]"/>
    <s v="[Indian_Employee_Data].[Employee ID].&amp;[Emp1392]"/>
    <s v="[Indian_Employee_Data].[Employee ID].&amp;[Emp1391]"/>
    <s v="[Indian_Employee_Data].[Employee ID].&amp;[Emp1390]"/>
    <s v="[Indian_Employee_Data].[Employee ID].&amp;[Emp1389]"/>
    <s v="[Indian_Employee_Data].[Employee ID].&amp;[Emp1388]"/>
    <s v="[Indian_Employee_Data].[Employee ID].&amp;[Emp1387]"/>
    <s v="[Indian_Employee_Data].[Employee ID].&amp;[Emp1386]"/>
    <s v="[Indian_Employee_Data].[Employee ID].&amp;[Emp1385]"/>
    <s v="[Indian_Employee_Data].[Employee ID].&amp;[Emp1384]"/>
    <s v="[Indian_Employee_Data].[Employee ID].&amp;[Emp1383]"/>
    <s v="[Indian_Employee_Data].[Employee ID].&amp;[Emp1382]"/>
    <s v="[Indian_Employee_Data].[Employee ID].&amp;[Emp1381]"/>
    <s v="[Indian_Employee_Data].[Employee ID].&amp;[Emp1380]"/>
    <s v="[Indian_Employee_Data].[Employee ID].&amp;[Emp1379]"/>
    <s v="[Indian_Employee_Data].[Employee ID].&amp;[Emp1378]"/>
    <s v="[Indian_Employee_Data].[Employee ID].&amp;[Emp1377]"/>
    <s v="[Indian_Employee_Data].[Employee ID].&amp;[Emp1376]"/>
    <s v="[Indian_Employee_Data].[Employee ID].&amp;[Emp1375]"/>
    <s v="[Indian_Employee_Data].[Employee ID].&amp;[Emp1374]"/>
    <s v="[Indian_Employee_Data].[Employee ID].&amp;[Emp1373]"/>
    <s v="[Indian_Employee_Data].[Employee ID].&amp;[Emp1372]"/>
    <s v="[Indian_Employee_Data].[Employee ID].&amp;[Emp1371]"/>
    <s v="[Indian_Employee_Data].[Employee ID].&amp;[Emp1370]"/>
    <s v="[Indian_Employee_Data].[Employee ID].&amp;[Emp1369]"/>
    <s v="[Indian_Employee_Data].[Employee ID].&amp;[Emp1368]"/>
    <s v="[Indian_Employee_Data].[Employee ID].&amp;[Emp1367]"/>
    <s v="[Indian_Employee_Data].[Employee ID].&amp;[Emp1366]"/>
    <s v="[Indian_Employee_Data].[Employee ID].&amp;[Emp1365]"/>
    <s v="[Indian_Employee_Data].[Employee ID].&amp;[Emp1364]"/>
    <s v="[Indian_Employee_Data].[Employee ID].&amp;[Emp1363]"/>
    <s v="[Indian_Employee_Data].[Employee ID].&amp;[Emp1362]"/>
    <s v="[Indian_Employee_Data].[Employee ID].&amp;[Emp1361]"/>
    <s v="[Indian_Employee_Data].[Employee ID].&amp;[Emp1360]"/>
    <s v="[Indian_Employee_Data].[Employee ID].&amp;[Emp1359]"/>
    <s v="[Indian_Employee_Data].[Employee ID].&amp;[Emp1358]"/>
    <s v="[Indian_Employee_Data].[Employee ID].&amp;[Emp1357]"/>
    <s v="[Indian_Employee_Data].[Employee ID].&amp;[Emp1356]"/>
    <s v="[Indian_Employee_Data].[Employee ID].&amp;[Emp1355]"/>
    <s v="[Indian_Employee_Data].[Employee ID].&amp;[Emp1354]"/>
    <s v="[Indian_Employee_Data].[Employee ID].&amp;[Emp1353]"/>
    <s v="[Indian_Employee_Data].[Employee ID].&amp;[Emp1352]"/>
    <s v="[Indian_Employee_Data].[Employee ID].&amp;[Emp1351]"/>
    <s v="[Indian_Employee_Data].[Employee ID].&amp;[Emp1350]"/>
    <s v="[Indian_Employee_Data].[Employee ID].&amp;[Emp1348]"/>
    <s v="[Indian_Employee_Data].[Employee ID].&amp;[Emp1347]"/>
    <s v="[Indian_Employee_Data].[Employee ID].&amp;[Emp1346]"/>
    <s v="[Indian_Employee_Data].[Employee ID].&amp;[Emp1345]"/>
    <s v="[Indian_Employee_Data].[Employee ID].&amp;[Emp1344]"/>
    <s v="[Indian_Employee_Data].[Employee ID].&amp;[Emp1343]"/>
    <s v="[Indian_Employee_Data].[Employee ID].&amp;[Emp1342]"/>
    <s v="[Indian_Employee_Data].[Employee ID].&amp;[Emp1341]"/>
    <s v="[Indian_Employee_Data].[Employee ID].&amp;[Emp1340]"/>
    <s v="[Indian_Employee_Data].[Employee ID].&amp;[Emp1339]"/>
    <s v="[Indian_Employee_Data].[Employee ID].&amp;[Emp1338]"/>
    <s v="[Indian_Employee_Data].[Employee ID].&amp;[Emp1337]"/>
    <s v="[Indian_Employee_Data].[Employee ID].&amp;[Emp1336]"/>
    <s v="[Indian_Employee_Data].[Employee ID].&amp;[Emp1335]"/>
    <s v="[Indian_Employee_Data].[Employee ID].&amp;[Emp1334]"/>
    <s v="[Indian_Employee_Data].[Employee ID].&amp;[Emp1333]"/>
    <s v="[Indian_Employee_Data].[Employee ID].&amp;[Emp1332]"/>
    <s v="[Indian_Employee_Data].[Employee ID].&amp;[Emp1331]"/>
    <s v="[Indian_Employee_Data].[Employee ID].&amp;[Emp1330]"/>
    <s v="[Indian_Employee_Data].[Employee ID].&amp;[Emp1329]"/>
    <s v="[Indian_Employee_Data].[Employee ID].&amp;[Emp1328]"/>
    <s v="[Indian_Employee_Data].[Employee ID].&amp;[Emp1327]"/>
    <s v="[Indian_Employee_Data].[Employee ID].&amp;[Emp1326]"/>
    <s v="[Indian_Employee_Data].[Employee ID].&amp;[Emp1325]"/>
    <s v="[Indian_Employee_Data].[Employee ID].&amp;[Emp1324]"/>
    <s v="[Indian_Employee_Data].[Employee ID].&amp;[Emp1323]"/>
    <s v="[Indian_Employee_Data].[Employee ID].&amp;[Emp1322]"/>
    <s v="[Indian_Employee_Data].[Employee ID].&amp;[Emp1321]"/>
    <s v="[Indian_Employee_Data].[Employee ID].&amp;[Emp1320]"/>
    <s v="[Indian_Employee_Data].[Employee ID].&amp;[Emp1319]"/>
    <s v="[Indian_Employee_Data].[Employee ID].&amp;[Emp1318]"/>
    <s v="[Indian_Employee_Data].[Employee ID].&amp;[Emp1317]"/>
    <s v="[Indian_Employee_Data].[Employee ID].&amp;[Emp1316]"/>
    <s v="[Indian_Employee_Data].[Employee ID].&amp;[Emp1315]"/>
    <s v="[Indian_Employee_Data].[Employee ID].&amp;[Emp1314]"/>
    <s v="[Indian_Employee_Data].[Employee ID].&amp;[Emp1313]"/>
    <s v="[Indian_Employee_Data].[Employee ID].&amp;[Emp1312]"/>
    <s v="[Indian_Employee_Data].[Employee ID].&amp;[Emp1311]"/>
    <s v="[Indian_Employee_Data].[Employee ID].&amp;[Emp1310]"/>
    <s v="[Indian_Employee_Data].[Employee ID].&amp;[Emp1309]"/>
    <s v="[Indian_Employee_Data].[Employee ID].&amp;[Emp1308]"/>
    <s v="[Indian_Employee_Data].[Employee ID].&amp;[Emp1307]"/>
    <s v="[Indian_Employee_Data].[Employee ID].&amp;[Emp1306]"/>
    <s v="[Indian_Employee_Data].[Employee ID].&amp;[Emp1305]"/>
    <s v="[Indian_Employee_Data].[Employee ID].&amp;[Emp1304]"/>
    <s v="[Indian_Employee_Data].[Employee ID].&amp;[Emp1303]"/>
    <s v="[Indian_Employee_Data].[Employee ID].&amp;[Emp1302]"/>
    <s v="[Indian_Employee_Data].[Employee ID].&amp;[Emp1301]"/>
    <s v="[Indian_Employee_Data].[Employee ID].&amp;[Emp1300]"/>
    <s v="[Indian_Employee_Data].[Employee ID].&amp;[Emp1299]"/>
    <s v="[Indian_Employee_Data].[Employee ID].&amp;[Emp1298]"/>
    <s v="[Indian_Employee_Data].[Employee ID].&amp;[Emp1297]"/>
    <s v="[Indian_Employee_Data].[Employee ID].&amp;[Emp1296]"/>
    <s v="[Indian_Employee_Data].[Employee ID].&amp;[Emp1295]"/>
    <s v="[Indian_Employee_Data].[Employee ID].&amp;[Emp1294]"/>
    <s v="[Indian_Employee_Data].[Employee ID].&amp;[Emp1293]"/>
    <s v="[Indian_Employee_Data].[Employee ID].&amp;[Emp1292]"/>
    <s v="[Indian_Employee_Data].[Employee ID].&amp;[Emp1291]"/>
    <s v="[Indian_Employee_Data].[Employee ID].&amp;[Emp1290]"/>
    <s v="[Indian_Employee_Data].[Employee ID].&amp;[Emp1289]"/>
    <s v="[Indian_Employee_Data].[Employee ID].&amp;[Emp1288]"/>
    <s v="[Indian_Employee_Data].[Employee ID].&amp;[Emp1287]"/>
    <s v="[Indian_Employee_Data].[Employee ID].&amp;[Emp1286]"/>
    <s v="[Indian_Employee_Data].[Employee ID].&amp;[Emp1285]"/>
    <s v="[Indian_Employee_Data].[Employee ID].&amp;[Emp1284]"/>
    <s v="[Indian_Employee_Data].[Employee ID].&amp;[Emp1283]"/>
    <s v="[Indian_Employee_Data].[Employee ID].&amp;[Emp1282]"/>
    <s v="[Indian_Employee_Data].[Employee ID].&amp;[Emp1281]"/>
    <s v="[Indian_Employee_Data].[Employee ID].&amp;[Emp1280]"/>
    <s v="[Indian_Employee_Data].[Employee ID].&amp;[Emp1279]"/>
    <s v="[Indian_Employee_Data].[Employee ID].&amp;[Emp1278]"/>
    <s v="[Indian_Employee_Data].[Employee ID].&amp;[Emp1277]"/>
    <s v="[Indian_Employee_Data].[Employee ID].&amp;[Emp1276]"/>
    <s v="[Indian_Employee_Data].[Employee ID].&amp;[Emp1275]"/>
    <s v="[Indian_Employee_Data].[Employee ID].&amp;[Emp1274]"/>
    <s v="[Indian_Employee_Data].[Employee ID].&amp;[Emp1273]"/>
    <s v="[Indian_Employee_Data].[Employee ID].&amp;[Emp1272]"/>
    <s v="[Indian_Employee_Data].[Employee ID].&amp;[Emp1271]"/>
    <s v="[Indian_Employee_Data].[Employee ID].&amp;[Emp1270]"/>
    <s v="[Indian_Employee_Data].[Employee ID].&amp;[Emp1269]"/>
    <s v="[Indian_Employee_Data].[Employee ID].&amp;[Emp1268]"/>
    <s v="[Indian_Employee_Data].[Employee ID].&amp;[Emp1267]"/>
    <s v="[Indian_Employee_Data].[Employee ID].&amp;[Emp1266]"/>
    <s v="[Indian_Employee_Data].[Employee ID].&amp;[Emp1265]"/>
    <s v="[Indian_Employee_Data].[Employee ID].&amp;[Emp1264]"/>
    <s v="[Indian_Employee_Data].[Employee ID].&amp;[Emp1263]"/>
    <s v="[Indian_Employee_Data].[Employee ID].&amp;[Emp1262]"/>
    <s v="[Indian_Employee_Data].[Employee ID].&amp;[Emp1261]"/>
    <s v="[Indian_Employee_Data].[Employee ID].&amp;[Emp1260]"/>
    <s v="[Indian_Employee_Data].[Employee ID].&amp;[Emp1259]"/>
    <s v="[Indian_Employee_Data].[Employee ID].&amp;[Emp1258]"/>
    <s v="[Indian_Employee_Data].[Employee ID].&amp;[Emp1257]"/>
    <s v="[Indian_Employee_Data].[Employee ID].&amp;[Emp1256]"/>
    <s v="[Indian_Employee_Data].[Employee ID].&amp;[Emp1255]"/>
    <s v="[Indian_Employee_Data].[Employee ID].&amp;[Emp1254]"/>
    <s v="[Indian_Employee_Data].[Employee ID].&amp;[Emp1253]"/>
    <s v="[Indian_Employee_Data].[Employee ID].&amp;[Emp1252]"/>
    <s v="[Indian_Employee_Data].[Employee ID].&amp;[Emp1251]"/>
    <s v="[Indian_Employee_Data].[Employee ID].&amp;[Emp1250]"/>
    <s v="[Indian_Employee_Data].[Employee ID].&amp;[Emp1249]"/>
    <s v="[Indian_Employee_Data].[Employee ID].&amp;[Emp1248]"/>
    <s v="[Indian_Employee_Data].[Employee ID].&amp;[Emp1247]"/>
    <s v="[Indian_Employee_Data].[Employee ID].&amp;[Emp1246]"/>
    <s v="[Indian_Employee_Data].[Employee ID].&amp;[Emp1245]"/>
    <s v="[Indian_Employee_Data].[Employee ID].&amp;[Emp1244]"/>
    <s v="[Indian_Employee_Data].[Employee ID].&amp;[Emp1243]"/>
    <s v="[Indian_Employee_Data].[Employee ID].&amp;[Emp1242]"/>
    <s v="[Indian_Employee_Data].[Employee ID].&amp;[Emp1241]"/>
    <s v="[Indian_Employee_Data].[Employee ID].&amp;[Emp1240]"/>
    <s v="[Indian_Employee_Data].[Employee ID].&amp;[Emp1239]"/>
    <s v="[Indian_Employee_Data].[Employee ID].&amp;[Emp1238]"/>
    <s v="[Indian_Employee_Data].[Employee ID].&amp;[Emp1237]"/>
    <s v="[Indian_Employee_Data].[Employee ID].&amp;[Emp1236]"/>
    <s v="[Indian_Employee_Data].[Employee ID].&amp;[Emp1235]"/>
    <s v="[Indian_Employee_Data].[Employee ID].&amp;[Emp1234]"/>
    <s v="[Indian_Employee_Data].[Employee ID].&amp;[Emp1233]"/>
    <s v="[Indian_Employee_Data].[Employee ID].&amp;[Emp1232]"/>
    <s v="[Indian_Employee_Data].[Employee ID].&amp;[Emp1231]"/>
    <s v="[Indian_Employee_Data].[Employee ID].&amp;[Emp1230]"/>
    <s v="[Indian_Employee_Data].[Employee ID].&amp;[Emp1228]"/>
    <s v="[Indian_Employee_Data].[Employee ID].&amp;[Emp1227]"/>
    <s v="[Indian_Employee_Data].[Employee ID].&amp;[Emp1226]"/>
    <s v="[Indian_Employee_Data].[Employee ID].&amp;[Emp1225]"/>
    <s v="[Indian_Employee_Data].[Employee ID].&amp;[Emp1224]"/>
    <s v="[Indian_Employee_Data].[Employee ID].&amp;[Emp1223]"/>
    <s v="[Indian_Employee_Data].[Employee ID].&amp;[Emp1222]"/>
    <s v="[Indian_Employee_Data].[Employee ID].&amp;[Emp1221]"/>
    <s v="[Indian_Employee_Data].[Employee ID].&amp;[Emp1220]"/>
    <s v="[Indian_Employee_Data].[Employee ID].&amp;[Emp1219]"/>
    <s v="[Indian_Employee_Data].[Employee ID].&amp;[Emp1218]"/>
    <s v="[Indian_Employee_Data].[Employee ID].&amp;[Emp1217]"/>
    <s v="[Indian_Employee_Data].[Employee ID].&amp;[Emp1216]"/>
    <s v="[Indian_Employee_Data].[Employee ID].&amp;[Emp1215]"/>
    <s v="[Indian_Employee_Data].[Employee ID].&amp;[Emp1214]"/>
    <s v="[Indian_Employee_Data].[Employee ID].&amp;[Emp1213]"/>
    <s v="[Indian_Employee_Data].[Employee ID].&amp;[Emp1212]"/>
    <s v="[Indian_Employee_Data].[Employee ID].&amp;[Emp1211]"/>
    <s v="[Indian_Employee_Data].[Employee ID].&amp;[Emp1210]"/>
    <s v="[Indian_Employee_Data].[Employee ID].&amp;[Emp1209]"/>
    <s v="[Indian_Employee_Data].[Employee ID].&amp;[Emp1208]"/>
    <s v="[Indian_Employee_Data].[Employee ID].&amp;[Emp1207]"/>
    <s v="[Indian_Employee_Data].[Employee ID].&amp;[Emp1206]"/>
    <s v="[Indian_Employee_Data].[Employee ID].&amp;[Emp1204]"/>
    <s v="[Indian_Employee_Data].[Employee ID].&amp;[Emp1203]"/>
    <s v="[Indian_Employee_Data].[Employee ID].&amp;[Emp1202]"/>
    <s v="[Indian_Employee_Data].[Employee ID].&amp;[Emp1201]"/>
    <s v="[Indian_Employee_Data].[Employee ID].&amp;[Emp1200]"/>
    <s v="[Indian_Employee_Data].[Employee ID].&amp;[Emp1199]"/>
    <s v="[Indian_Employee_Data].[Employee ID].&amp;[Emp1198]"/>
    <s v="[Indian_Employee_Data].[Employee ID].&amp;[Emp1197]"/>
    <s v="[Indian_Employee_Data].[Employee ID].&amp;[Emp1196]"/>
    <s v="[Indian_Employee_Data].[Employee ID].&amp;[Emp1195]"/>
    <s v="[Indian_Employee_Data].[Employee ID].&amp;[Emp1194]"/>
    <s v="[Indian_Employee_Data].[Employee ID].&amp;[Emp1193]"/>
    <s v="[Indian_Employee_Data].[Employee ID].&amp;[Emp1192]"/>
    <s v="[Indian_Employee_Data].[Employee ID].&amp;[Emp1191]"/>
    <s v="[Indian_Employee_Data].[Employee ID].&amp;[Emp1190]"/>
    <s v="[Indian_Employee_Data].[Employee ID].&amp;[Emp1189]"/>
    <s v="[Indian_Employee_Data].[Employee ID].&amp;[Emp1188]"/>
    <s v="[Indian_Employee_Data].[Employee ID].&amp;[Emp1187]"/>
    <s v="[Indian_Employee_Data].[Employee ID].&amp;[Emp1186]"/>
    <s v="[Indian_Employee_Data].[Employee ID].&amp;[Emp1185]"/>
    <s v="[Indian_Employee_Data].[Employee ID].&amp;[Emp1184]"/>
    <s v="[Indian_Employee_Data].[Employee ID].&amp;[Emp1183]"/>
    <s v="[Indian_Employee_Data].[Employee ID].&amp;[Emp1182]"/>
    <s v="[Indian_Employee_Data].[Employee ID].&amp;[Emp1181]"/>
    <s v="[Indian_Employee_Data].[Employee ID].&amp;[Emp1180]"/>
    <s v="[Indian_Employee_Data].[Employee ID].&amp;[Emp1179]"/>
    <s v="[Indian_Employee_Data].[Employee ID].&amp;[Emp1178]"/>
    <s v="[Indian_Employee_Data].[Employee ID].&amp;[Emp1177]"/>
    <s v="[Indian_Employee_Data].[Employee ID].&amp;[Emp1176]"/>
    <s v="[Indian_Employee_Data].[Employee ID].&amp;[Emp1175]"/>
    <s v="[Indian_Employee_Data].[Employee ID].&amp;[Emp1174]"/>
    <s v="[Indian_Employee_Data].[Employee ID].&amp;[Emp1173]"/>
    <s v="[Indian_Employee_Data].[Employee ID].&amp;[Emp1172]"/>
    <s v="[Indian_Employee_Data].[Employee ID].&amp;[Emp1171]"/>
    <s v="[Indian_Employee_Data].[Employee ID].&amp;[Emp1170]"/>
    <s v="[Indian_Employee_Data].[Employee ID].&amp;[Emp1169]"/>
    <s v="[Indian_Employee_Data].[Employee ID].&amp;[Emp1168]"/>
    <s v="[Indian_Employee_Data].[Employee ID].&amp;[Emp1167]"/>
    <s v="[Indian_Employee_Data].[Employee ID].&amp;[Emp1166]"/>
    <s v="[Indian_Employee_Data].[Employee ID].&amp;[Emp1165]"/>
    <s v="[Indian_Employee_Data].[Employee ID].&amp;[Emp1164]"/>
    <s v="[Indian_Employee_Data].[Employee ID].&amp;[Emp1163]"/>
    <s v="[Indian_Employee_Data].[Employee ID].&amp;[Emp1162]"/>
    <s v="[Indian_Employee_Data].[Employee ID].&amp;[Emp1161]"/>
    <s v="[Indian_Employee_Data].[Employee ID].&amp;[Emp1160]"/>
    <s v="[Indian_Employee_Data].[Employee ID].&amp;[Emp1159]"/>
    <s v="[Indian_Employee_Data].[Employee ID].&amp;[Emp1158]"/>
    <s v="[Indian_Employee_Data].[Employee ID].&amp;[Emp1157]"/>
    <s v="[Indian_Employee_Data].[Employee ID].&amp;[Emp1156]"/>
    <s v="[Indian_Employee_Data].[Employee ID].&amp;[Emp1155]"/>
    <s v="[Indian_Employee_Data].[Employee ID].&amp;[Emp1154]"/>
    <s v="[Indian_Employee_Data].[Employee ID].&amp;[Emp1153]"/>
    <s v="[Indian_Employee_Data].[Employee ID].&amp;[Emp1152]"/>
    <s v="[Indian_Employee_Data].[Employee ID].&amp;[Emp1151]"/>
    <s v="[Indian_Employee_Data].[Employee ID].&amp;[Emp1150]"/>
    <s v="[Indian_Employee_Data].[Employee ID].&amp;[Emp1149]"/>
    <s v="[Indian_Employee_Data].[Employee ID].&amp;[Emp1148]"/>
    <s v="[Indian_Employee_Data].[Employee ID].&amp;[Emp1147]"/>
    <s v="[Indian_Employee_Data].[Employee ID].&amp;[Emp1146]"/>
    <s v="[Indian_Employee_Data].[Employee ID].&amp;[Emp1145]"/>
    <s v="[Indian_Employee_Data].[Employee ID].&amp;[Emp1143]"/>
    <s v="[Indian_Employee_Data].[Employee ID].&amp;[Emp1142]"/>
    <s v="[Indian_Employee_Data].[Employee ID].&amp;[Emp1141]"/>
    <s v="[Indian_Employee_Data].[Employee ID].&amp;[Emp1140]"/>
    <s v="[Indian_Employee_Data].[Employee ID].&amp;[Emp1139]"/>
    <s v="[Indian_Employee_Data].[Employee ID].&amp;[Emp1138]"/>
    <s v="[Indian_Employee_Data].[Employee ID].&amp;[Emp1137]"/>
    <s v="[Indian_Employee_Data].[Employee ID].&amp;[Emp1136]"/>
    <s v="[Indian_Employee_Data].[Employee ID].&amp;[Emp1135]"/>
    <s v="[Indian_Employee_Data].[Employee ID].&amp;[Emp1134]"/>
    <s v="[Indian_Employee_Data].[Employee ID].&amp;[Emp1133]"/>
    <s v="[Indian_Employee_Data].[Employee ID].&amp;[Emp1132]"/>
    <s v="[Indian_Employee_Data].[Employee ID].&amp;[Emp1131]"/>
    <s v="[Indian_Employee_Data].[Employee ID].&amp;[Emp1130]"/>
    <s v="[Indian_Employee_Data].[Employee ID].&amp;[Emp1129]"/>
    <s v="[Indian_Employee_Data].[Employee ID].&amp;[Emp1128]"/>
    <s v="[Indian_Employee_Data].[Employee ID].&amp;[Emp1127]"/>
    <s v="[Indian_Employee_Data].[Employee ID].&amp;[Emp1126]"/>
    <s v="[Indian_Employee_Data].[Employee ID].&amp;[Emp1125]"/>
    <s v="[Indian_Employee_Data].[Employee ID].&amp;[Emp1124]"/>
    <s v="[Indian_Employee_Data].[Employee ID].&amp;[Emp1123]"/>
    <s v="[Indian_Employee_Data].[Employee ID].&amp;[Emp1122]"/>
    <s v="[Indian_Employee_Data].[Employee ID].&amp;[Emp1121]"/>
    <s v="[Indian_Employee_Data].[Employee ID].&amp;[Emp1120]"/>
    <s v="[Indian_Employee_Data].[Employee ID].&amp;[Emp1119]"/>
    <s v="[Indian_Employee_Data].[Employee ID].&amp;[Emp1118]"/>
    <s v="[Indian_Employee_Data].[Employee ID].&amp;[Emp1117]"/>
    <s v="[Indian_Employee_Data].[Employee ID].&amp;[Emp1116]"/>
    <s v="[Indian_Employee_Data].[Employee ID].&amp;[Emp1115]"/>
    <s v="[Indian_Employee_Data].[Employee ID].&amp;[Emp1114]"/>
    <s v="[Indian_Employee_Data].[Employee ID].&amp;[Emp1113]"/>
    <s v="[Indian_Employee_Data].[Employee ID].&amp;[Emp1112]"/>
    <s v="[Indian_Employee_Data].[Employee ID].&amp;[Emp1111]"/>
    <s v="[Indian_Employee_Data].[Employee ID].&amp;[Emp1110]"/>
    <s v="[Indian_Employee_Data].[Employee ID].&amp;[Emp1109]"/>
    <s v="[Indian_Employee_Data].[Employee ID].&amp;[Emp1108]"/>
    <s v="[Indian_Employee_Data].[Employee ID].&amp;[Emp1107]"/>
    <s v="[Indian_Employee_Data].[Employee ID].&amp;[Emp1106]"/>
    <s v="[Indian_Employee_Data].[Employee ID].&amp;[Emp1105]"/>
    <s v="[Indian_Employee_Data].[Employee ID].&amp;[Emp1104]"/>
    <s v="[Indian_Employee_Data].[Employee ID].&amp;[Emp1103]"/>
    <s v="[Indian_Employee_Data].[Employee ID].&amp;[Emp1102]"/>
    <s v="[Indian_Employee_Data].[Employee ID].&amp;[Emp1101]"/>
    <s v="[Indian_Employee_Data].[Employee ID].&amp;[Emp1100]"/>
    <s v="[Indian_Employee_Data].[Employee ID].&amp;[Emp1099]"/>
    <s v="[Indian_Employee_Data].[Employee ID].&amp;[Emp1098]"/>
    <s v="[Indian_Employee_Data].[Employee ID].&amp;[Emp1097]"/>
    <s v="[Indian_Employee_Data].[Employee ID].&amp;[Emp1096]"/>
    <s v="[Indian_Employee_Data].[Employee ID].&amp;[Emp1095]"/>
    <s v="[Indian_Employee_Data].[Employee ID].&amp;[Emp1094]"/>
    <s v="[Indian_Employee_Data].[Employee ID].&amp;[Emp1093]"/>
    <s v="[Indian_Employee_Data].[Employee ID].&amp;[Emp1091]"/>
    <s v="[Indian_Employee_Data].[Employee ID].&amp;[Emp1090]"/>
    <s v="[Indian_Employee_Data].[Employee ID].&amp;[Emp1088]"/>
    <s v="[Indian_Employee_Data].[Employee ID].&amp;[Emp1087]"/>
    <s v="[Indian_Employee_Data].[Employee ID].&amp;[Emp1086]"/>
    <s v="[Indian_Employee_Data].[Employee ID].&amp;[Emp1085]"/>
    <s v="[Indian_Employee_Data].[Employee ID].&amp;[Emp1084]"/>
    <s v="[Indian_Employee_Data].[Employee ID].&amp;[Emp1083]"/>
    <s v="[Indian_Employee_Data].[Employee ID].&amp;[Emp1082]"/>
    <s v="[Indian_Employee_Data].[Employee ID].&amp;[Emp1081]"/>
    <s v="[Indian_Employee_Data].[Employee ID].&amp;[Emp1080]"/>
    <s v="[Indian_Employee_Data].[Employee ID].&amp;[Emp1079]"/>
    <s v="[Indian_Employee_Data].[Employee ID].&amp;[Emp1078]"/>
    <s v="[Indian_Employee_Data].[Employee ID].&amp;[Emp1076]"/>
    <s v="[Indian_Employee_Data].[Employee ID].&amp;[Emp1075]"/>
    <s v="[Indian_Employee_Data].[Employee ID].&amp;[Emp1074]"/>
    <s v="[Indian_Employee_Data].[Employee ID].&amp;[Emp1073]"/>
    <s v="[Indian_Employee_Data].[Employee ID].&amp;[Emp1072]"/>
    <s v="[Indian_Employee_Data].[Employee ID].&amp;[Emp1071]"/>
    <s v="[Indian_Employee_Data].[Employee ID].&amp;[Emp1070]"/>
    <s v="[Indian_Employee_Data].[Employee ID].&amp;[Emp1069]"/>
    <s v="[Indian_Employee_Data].[Employee ID].&amp;[Emp1068]"/>
    <s v="[Indian_Employee_Data].[Employee ID].&amp;[Emp1067]"/>
    <s v="[Indian_Employee_Data].[Employee ID].&amp;[Emp1066]"/>
    <s v="[Indian_Employee_Data].[Employee ID].&amp;[Emp1065]"/>
    <s v="[Indian_Employee_Data].[Employee ID].&amp;[Emp1064]"/>
    <s v="[Indian_Employee_Data].[Employee ID].&amp;[Emp1063]"/>
    <s v="[Indian_Employee_Data].[Employee ID].&amp;[Emp1062]"/>
    <s v="[Indian_Employee_Data].[Employee ID].&amp;[Emp1061]"/>
    <s v="[Indian_Employee_Data].[Employee ID].&amp;[Emp1060]"/>
    <s v="[Indian_Employee_Data].[Employee ID].&amp;[Emp1059]"/>
    <s v="[Indian_Employee_Data].[Employee ID].&amp;[Emp1058]"/>
    <s v="[Indian_Employee_Data].[Employee ID].&amp;[Emp1057]"/>
    <s v="[Indian_Employee_Data].[Employee ID].&amp;[Emp1056]"/>
    <s v="[Indian_Employee_Data].[Employee ID].&amp;[Emp1055]"/>
    <s v="[Indian_Employee_Data].[Employee ID].&amp;[Emp1054]"/>
    <s v="[Indian_Employee_Data].[Employee ID].&amp;[Emp1053]"/>
    <s v="[Indian_Employee_Data].[Employee ID].&amp;[Emp1052]"/>
    <s v="[Indian_Employee_Data].[Employee ID].&amp;[Emp1051]"/>
    <s v="[Indian_Employee_Data].[Employee ID].&amp;[Emp1050]"/>
    <s v="[Indian_Employee_Data].[Employee ID].&amp;[Emp1049]"/>
    <s v="[Indian_Employee_Data].[Employee ID].&amp;[Emp1048]"/>
    <s v="[Indian_Employee_Data].[Employee ID].&amp;[Emp1046]"/>
    <s v="[Indian_Employee_Data].[Employee ID].&amp;[Emp1045]"/>
    <s v="[Indian_Employee_Data].[Employee ID].&amp;[Emp1044]"/>
    <s v="[Indian_Employee_Data].[Employee ID].&amp;[Emp1043]"/>
    <s v="[Indian_Employee_Data].[Employee ID].&amp;[Emp1042]"/>
    <s v="[Indian_Employee_Data].[Employee ID].&amp;[Emp1041]"/>
    <s v="[Indian_Employee_Data].[Employee ID].&amp;[Emp1040]"/>
    <s v="[Indian_Employee_Data].[Employee ID].&amp;[Emp1039]"/>
    <s v="[Indian_Employee_Data].[Employee ID].&amp;[Emp1038]"/>
    <s v="[Indian_Employee_Data].[Employee ID].&amp;[Emp1037]"/>
    <s v="[Indian_Employee_Data].[Employee ID].&amp;[Emp1036]"/>
    <s v="[Indian_Employee_Data].[Employee ID].&amp;[Emp1035]"/>
    <s v="[Indian_Employee_Data].[Employee ID].&amp;[Emp1034]"/>
    <s v="[Indian_Employee_Data].[Employee ID].&amp;[Emp1033]"/>
    <s v="[Indian_Employee_Data].[Employee ID].&amp;[Emp1032]"/>
    <s v="[Indian_Employee_Data].[Employee ID].&amp;[Emp1031]"/>
    <s v="[Indian_Employee_Data].[Employee ID].&amp;[Emp1030]"/>
    <s v="[Indian_Employee_Data].[Employee ID].&amp;[Emp1029]"/>
    <s v="[Indian_Employee_Data].[Employee ID].&amp;[Emp1028]"/>
    <s v="[Indian_Employee_Data].[Employee ID].&amp;[Emp1027]"/>
    <s v="[Indian_Employee_Data].[Employee ID].&amp;[Emp1026]"/>
    <s v="[Indian_Employee_Data].[Employee ID].&amp;[Emp1025]"/>
    <s v="[Indian_Employee_Data].[Employee ID].&amp;[Emp1024]"/>
    <s v="[Indian_Employee_Data].[Employee ID].&amp;[Emp1023]"/>
    <s v="[Indian_Employee_Data].[Employee ID].&amp;[Emp1022]"/>
    <s v="[Indian_Employee_Data].[Employee ID].&amp;[Emp1021]"/>
    <s v="[Indian_Employee_Data].[Employee ID].&amp;[Emp1020]"/>
    <s v="[Indian_Employee_Data].[Employee ID].&amp;[Emp1019]"/>
    <s v="[Indian_Employee_Data].[Employee ID].&amp;[Emp1018]"/>
    <s v="[Indian_Employee_Data].[Employee ID].&amp;[Emp1017]"/>
    <s v="[Indian_Employee_Data].[Employee ID].&amp;[Emp1016]"/>
    <s v="[Indian_Employee_Data].[Employee ID].&amp;[Emp1015]"/>
    <s v="[Indian_Employee_Data].[Employee ID].&amp;[Emp1014]"/>
    <s v="[Indian_Employee_Data].[Employee ID].&amp;[Emp1013]"/>
    <s v="[Indian_Employee_Data].[Employee ID].&amp;[Emp1012]"/>
    <s v="[Indian_Employee_Data].[Employee ID].&amp;[Emp1011]"/>
    <s v="[Indian_Employee_Data].[Employee ID].&amp;[Emp1010]"/>
    <s v="[Indian_Employee_Data].[Employee ID].&amp;[Emp1009]"/>
    <s v="[Indian_Employee_Data].[Employee ID].&amp;[Emp1008]"/>
    <s v="[Indian_Employee_Data].[Employee ID].&amp;[Emp1007]"/>
    <s v="[Indian_Employee_Data].[Employee ID].&amp;[Emp1006]"/>
    <s v="[Indian_Employee_Data].[Employee ID].&amp;[Emp1005]"/>
    <s v="[Indian_Employee_Data].[Employee ID].&amp;[Emp1004]"/>
    <s v="[Indian_Employee_Data].[Employee ID].&amp;[Emp1003]"/>
    <s v="[Indian_Employee_Data].[Employee ID].&amp;[Emp1002]"/>
    <s v="[Indian_Employee_Data].[Employee ID].&amp;[Emp1001]"/>
    <s v="[Indian_Employee_Data].[Employee ID].&amp;[Emp1000]"/>
    <s v="[Measures].[Sum of Monthly Premiums]"/>
    <s v="[Measures].[Sum of Monthly Base Salary (INR)]"/>
  </metadataStrings>
  <mdxMetadata count="1970">
    <mdx n="0" f="m">
      <t c="2">
        <n x="3"/>
        <n x="4"/>
      </t>
    </mdx>
    <mdx n="0" f="m">
      <t c="1">
        <n x="3"/>
      </t>
    </mdx>
    <mdx n="0" f="m">
      <t c="2">
        <n x="5"/>
        <n x="4"/>
      </t>
    </mdx>
    <mdx n="0" f="m">
      <t c="1">
        <n x="5"/>
      </t>
    </mdx>
    <mdx n="0" f="m">
      <t c="2">
        <n x="6"/>
        <n x="7"/>
      </t>
    </mdx>
    <mdx n="0" f="m">
      <t c="1">
        <n x="6"/>
      </t>
    </mdx>
    <mdx n="0" f="m">
      <t c="2">
        <n x="8"/>
        <n x="4"/>
      </t>
    </mdx>
    <mdx n="0" f="m">
      <t c="1">
        <n x="8"/>
      </t>
    </mdx>
    <mdx n="0" f="m">
      <t c="2">
        <n x="9"/>
        <n x="10"/>
      </t>
    </mdx>
    <mdx n="0" f="m">
      <t c="1">
        <n x="9"/>
      </t>
    </mdx>
    <mdx n="0" f="m">
      <t c="2">
        <n x="11"/>
        <n x="10"/>
      </t>
    </mdx>
    <mdx n="0" f="m">
      <t c="1">
        <n x="11"/>
      </t>
    </mdx>
    <mdx n="0" f="m">
      <t c="2">
        <n x="12"/>
        <n x="10"/>
      </t>
    </mdx>
    <mdx n="0" f="m">
      <t c="1">
        <n x="12"/>
      </t>
    </mdx>
    <mdx n="0" f="m">
      <t c="2">
        <n x="13"/>
        <n x="10"/>
      </t>
    </mdx>
    <mdx n="0" f="m">
      <t c="1">
        <n x="13"/>
      </t>
    </mdx>
    <mdx n="0" f="m">
      <t c="2">
        <n x="14"/>
        <n x="4"/>
      </t>
    </mdx>
    <mdx n="0" f="m">
      <t c="1">
        <n x="14"/>
      </t>
    </mdx>
    <mdx n="0" f="m">
      <t c="2">
        <n x="15"/>
        <n x="10"/>
      </t>
    </mdx>
    <mdx n="0" f="m">
      <t c="1">
        <n x="15"/>
      </t>
    </mdx>
    <mdx n="0" f="m">
      <t c="2">
        <n x="16"/>
        <n x="4"/>
      </t>
    </mdx>
    <mdx n="0" f="m">
      <t c="1">
        <n x="16"/>
      </t>
    </mdx>
    <mdx n="0" f="m">
      <t c="2">
        <n x="17"/>
        <n x="4"/>
      </t>
    </mdx>
    <mdx n="0" f="m">
      <t c="1">
        <n x="17"/>
      </t>
    </mdx>
    <mdx n="0" f="m">
      <t c="2">
        <n x="18"/>
        <n x="10"/>
      </t>
    </mdx>
    <mdx n="0" f="m">
      <t c="1">
        <n x="18"/>
      </t>
    </mdx>
    <mdx n="0" f="m">
      <t c="2">
        <n x="19"/>
        <n x="7"/>
      </t>
    </mdx>
    <mdx n="0" f="m">
      <t c="1">
        <n x="19"/>
      </t>
    </mdx>
    <mdx n="0" f="m">
      <t c="2">
        <n x="20"/>
        <n x="4"/>
      </t>
    </mdx>
    <mdx n="0" f="m">
      <t c="1">
        <n x="20"/>
      </t>
    </mdx>
    <mdx n="0" f="m">
      <t c="2">
        <n x="21"/>
        <n x="4"/>
      </t>
    </mdx>
    <mdx n="0" f="m">
      <t c="1">
        <n x="21"/>
      </t>
    </mdx>
    <mdx n="0" f="m">
      <t c="2">
        <n x="22"/>
        <n x="4"/>
      </t>
    </mdx>
    <mdx n="0" f="m">
      <t c="1">
        <n x="22"/>
      </t>
    </mdx>
    <mdx n="0" f="m">
      <t c="2">
        <n x="23"/>
        <n x="10"/>
      </t>
    </mdx>
    <mdx n="0" f="m">
      <t c="1">
        <n x="23"/>
      </t>
    </mdx>
    <mdx n="0" f="m">
      <t c="2">
        <n x="24"/>
        <n x="4"/>
      </t>
    </mdx>
    <mdx n="0" f="m">
      <t c="1">
        <n x="24"/>
      </t>
    </mdx>
    <mdx n="0" f="m">
      <t c="2">
        <n x="25"/>
        <n x="4"/>
      </t>
    </mdx>
    <mdx n="0" f="m">
      <t c="1">
        <n x="25"/>
      </t>
    </mdx>
    <mdx n="0" f="m">
      <t c="2">
        <n x="26"/>
        <n x="10"/>
      </t>
    </mdx>
    <mdx n="0" f="m">
      <t c="1">
        <n x="26"/>
      </t>
    </mdx>
    <mdx n="0" f="m">
      <t c="2">
        <n x="27"/>
        <n x="4"/>
      </t>
    </mdx>
    <mdx n="0" f="m">
      <t c="1">
        <n x="27"/>
      </t>
    </mdx>
    <mdx n="0" f="m">
      <t c="2">
        <n x="28"/>
        <n x="10"/>
      </t>
    </mdx>
    <mdx n="0" f="m">
      <t c="1">
        <n x="28"/>
      </t>
    </mdx>
    <mdx n="0" f="m">
      <t c="2">
        <n x="29"/>
        <n x="7"/>
      </t>
    </mdx>
    <mdx n="0" f="m">
      <t c="1">
        <n x="29"/>
      </t>
    </mdx>
    <mdx n="0" f="m">
      <t c="2">
        <n x="30"/>
        <n x="4"/>
      </t>
    </mdx>
    <mdx n="0" f="m">
      <t c="1">
        <n x="30"/>
      </t>
    </mdx>
    <mdx n="0" f="m">
      <t c="2">
        <n x="31"/>
        <n x="10"/>
      </t>
    </mdx>
    <mdx n="0" f="m">
      <t c="1">
        <n x="31"/>
      </t>
    </mdx>
    <mdx n="0" f="m">
      <t c="2">
        <n x="32"/>
        <n x="4"/>
      </t>
    </mdx>
    <mdx n="0" f="m">
      <t c="1">
        <n x="32"/>
      </t>
    </mdx>
    <mdx n="0" f="m">
      <t c="2">
        <n x="33"/>
        <n x="7"/>
      </t>
    </mdx>
    <mdx n="0" f="m">
      <t c="1">
        <n x="33"/>
      </t>
    </mdx>
    <mdx n="0" f="m">
      <t c="2">
        <n x="34"/>
        <n x="4"/>
      </t>
    </mdx>
    <mdx n="0" f="m">
      <t c="1">
        <n x="34"/>
      </t>
    </mdx>
    <mdx n="0" f="m">
      <t c="2">
        <n x="35"/>
        <n x="7"/>
      </t>
    </mdx>
    <mdx n="0" f="m">
      <t c="1">
        <n x="35"/>
      </t>
    </mdx>
    <mdx n="0" f="m">
      <t c="2">
        <n x="36"/>
        <n x="4"/>
      </t>
    </mdx>
    <mdx n="0" f="m">
      <t c="1">
        <n x="36"/>
      </t>
    </mdx>
    <mdx n="0" f="m">
      <t c="2">
        <n x="37"/>
        <n x="10"/>
      </t>
    </mdx>
    <mdx n="0" f="m">
      <t c="1">
        <n x="37"/>
      </t>
    </mdx>
    <mdx n="0" f="m">
      <t c="2">
        <n x="38"/>
        <n x="4"/>
      </t>
    </mdx>
    <mdx n="0" f="m">
      <t c="1">
        <n x="38"/>
      </t>
    </mdx>
    <mdx n="0" f="m">
      <t c="2">
        <n x="39"/>
        <n x="10"/>
      </t>
    </mdx>
    <mdx n="0" f="m">
      <t c="1">
        <n x="39"/>
      </t>
    </mdx>
    <mdx n="0" f="m">
      <t c="2">
        <n x="40"/>
        <n x="10"/>
      </t>
    </mdx>
    <mdx n="0" f="m">
      <t c="1">
        <n x="40"/>
      </t>
    </mdx>
    <mdx n="0" f="m">
      <t c="2">
        <n x="41"/>
        <n x="4"/>
      </t>
    </mdx>
    <mdx n="0" f="m">
      <t c="1">
        <n x="41"/>
      </t>
    </mdx>
    <mdx n="0" f="m">
      <t c="2">
        <n x="42"/>
        <n x="4"/>
      </t>
    </mdx>
    <mdx n="0" f="m">
      <t c="1">
        <n x="42"/>
      </t>
    </mdx>
    <mdx n="0" f="m">
      <t c="2">
        <n x="43"/>
        <n x="7"/>
      </t>
    </mdx>
    <mdx n="0" f="m">
      <t c="1">
        <n x="43"/>
      </t>
    </mdx>
    <mdx n="0" f="m">
      <t c="2">
        <n x="44"/>
        <n x="4"/>
      </t>
    </mdx>
    <mdx n="0" f="m">
      <t c="1">
        <n x="44"/>
      </t>
    </mdx>
    <mdx n="0" f="m">
      <t c="2">
        <n x="45"/>
        <n x="10"/>
      </t>
    </mdx>
    <mdx n="0" f="m">
      <t c="1">
        <n x="45"/>
      </t>
    </mdx>
    <mdx n="0" f="m">
      <t c="2">
        <n x="46"/>
        <n x="10"/>
      </t>
    </mdx>
    <mdx n="0" f="m">
      <t c="1">
        <n x="46"/>
      </t>
    </mdx>
    <mdx n="0" f="m">
      <t c="2">
        <n x="47"/>
        <n x="7"/>
      </t>
    </mdx>
    <mdx n="0" f="m">
      <t c="1">
        <n x="47"/>
      </t>
    </mdx>
    <mdx n="0" f="m">
      <t c="2">
        <n x="48"/>
        <n x="10"/>
      </t>
    </mdx>
    <mdx n="0" f="m">
      <t c="1">
        <n x="48"/>
      </t>
    </mdx>
    <mdx n="0" f="m">
      <t c="2">
        <n x="49"/>
        <n x="7"/>
      </t>
    </mdx>
    <mdx n="0" f="m">
      <t c="1">
        <n x="49"/>
      </t>
    </mdx>
    <mdx n="0" f="m">
      <t c="2">
        <n x="50"/>
        <n x="10"/>
      </t>
    </mdx>
    <mdx n="0" f="m">
      <t c="1">
        <n x="50"/>
      </t>
    </mdx>
    <mdx n="0" f="m">
      <t c="2">
        <n x="51"/>
        <n x="10"/>
      </t>
    </mdx>
    <mdx n="0" f="m">
      <t c="1">
        <n x="51"/>
      </t>
    </mdx>
    <mdx n="0" f="m">
      <t c="2">
        <n x="52"/>
        <n x="4"/>
      </t>
    </mdx>
    <mdx n="0" f="m">
      <t c="1">
        <n x="52"/>
      </t>
    </mdx>
    <mdx n="0" f="m">
      <t c="2">
        <n x="53"/>
        <n x="10"/>
      </t>
    </mdx>
    <mdx n="0" f="m">
      <t c="1">
        <n x="53"/>
      </t>
    </mdx>
    <mdx n="0" f="m">
      <t c="2">
        <n x="54"/>
        <n x="10"/>
      </t>
    </mdx>
    <mdx n="0" f="m">
      <t c="1">
        <n x="54"/>
      </t>
    </mdx>
    <mdx n="0" f="m">
      <t c="2">
        <n x="55"/>
        <n x="4"/>
      </t>
    </mdx>
    <mdx n="0" f="m">
      <t c="1">
        <n x="55"/>
      </t>
    </mdx>
    <mdx n="0" f="m">
      <t c="2">
        <n x="56"/>
        <n x="7"/>
      </t>
    </mdx>
    <mdx n="0" f="m">
      <t c="1">
        <n x="56"/>
      </t>
    </mdx>
    <mdx n="0" f="m">
      <t c="2">
        <n x="57"/>
        <n x="10"/>
      </t>
    </mdx>
    <mdx n="0" f="m">
      <t c="1">
        <n x="57"/>
      </t>
    </mdx>
    <mdx n="0" f="m">
      <t c="2">
        <n x="58"/>
        <n x="4"/>
      </t>
    </mdx>
    <mdx n="0" f="m">
      <t c="1">
        <n x="58"/>
      </t>
    </mdx>
    <mdx n="0" f="m">
      <t c="2">
        <n x="59"/>
        <n x="4"/>
      </t>
    </mdx>
    <mdx n="0" f="m">
      <t c="1">
        <n x="59"/>
      </t>
    </mdx>
    <mdx n="0" f="m">
      <t c="2">
        <n x="60"/>
        <n x="4"/>
      </t>
    </mdx>
    <mdx n="0" f="m">
      <t c="1">
        <n x="60"/>
      </t>
    </mdx>
    <mdx n="0" f="m">
      <t c="2">
        <n x="61"/>
        <n x="4"/>
      </t>
    </mdx>
    <mdx n="0" f="m">
      <t c="1">
        <n x="61"/>
      </t>
    </mdx>
    <mdx n="0" f="m">
      <t c="2">
        <n x="62"/>
        <n x="10"/>
      </t>
    </mdx>
    <mdx n="0" f="m">
      <t c="1">
        <n x="62"/>
      </t>
    </mdx>
    <mdx n="0" f="m">
      <t c="2">
        <n x="63"/>
        <n x="10"/>
      </t>
    </mdx>
    <mdx n="0" f="m">
      <t c="1">
        <n x="63"/>
      </t>
    </mdx>
    <mdx n="0" f="m">
      <t c="2">
        <n x="64"/>
        <n x="4"/>
      </t>
    </mdx>
    <mdx n="0" f="m">
      <t c="1">
        <n x="64"/>
      </t>
    </mdx>
    <mdx n="0" f="m">
      <t c="2">
        <n x="65"/>
        <n x="7"/>
      </t>
    </mdx>
    <mdx n="0" f="m">
      <t c="1">
        <n x="65"/>
      </t>
    </mdx>
    <mdx n="0" f="m">
      <t c="2">
        <n x="66"/>
        <n x="7"/>
      </t>
    </mdx>
    <mdx n="0" f="m">
      <t c="1">
        <n x="66"/>
      </t>
    </mdx>
    <mdx n="0" f="m">
      <t c="2">
        <n x="67"/>
        <n x="4"/>
      </t>
    </mdx>
    <mdx n="0" f="m">
      <t c="1">
        <n x="67"/>
      </t>
    </mdx>
    <mdx n="0" f="m">
      <t c="2">
        <n x="68"/>
        <n x="4"/>
      </t>
    </mdx>
    <mdx n="0" f="m">
      <t c="1">
        <n x="68"/>
      </t>
    </mdx>
    <mdx n="0" f="m">
      <t c="2">
        <n x="69"/>
        <n x="7"/>
      </t>
    </mdx>
    <mdx n="0" f="m">
      <t c="1">
        <n x="69"/>
      </t>
    </mdx>
    <mdx n="0" f="m">
      <t c="2">
        <n x="70"/>
        <n x="4"/>
      </t>
    </mdx>
    <mdx n="0" f="m">
      <t c="1">
        <n x="70"/>
      </t>
    </mdx>
    <mdx n="0" f="m">
      <t c="2">
        <n x="71"/>
        <n x="7"/>
      </t>
    </mdx>
    <mdx n="0" f="m">
      <t c="1">
        <n x="71"/>
      </t>
    </mdx>
    <mdx n="0" f="m">
      <t c="2">
        <n x="72"/>
        <n x="10"/>
      </t>
    </mdx>
    <mdx n="0" f="m">
      <t c="1">
        <n x="72"/>
      </t>
    </mdx>
    <mdx n="0" f="m">
      <t c="2">
        <n x="73"/>
        <n x="4"/>
      </t>
    </mdx>
    <mdx n="0" f="m">
      <t c="1">
        <n x="73"/>
      </t>
    </mdx>
    <mdx n="0" f="m">
      <t c="2">
        <n x="74"/>
        <n x="4"/>
      </t>
    </mdx>
    <mdx n="0" f="m">
      <t c="1">
        <n x="74"/>
      </t>
    </mdx>
    <mdx n="0" f="m">
      <t c="2">
        <n x="75"/>
        <n x="10"/>
      </t>
    </mdx>
    <mdx n="0" f="m">
      <t c="1">
        <n x="75"/>
      </t>
    </mdx>
    <mdx n="0" f="m">
      <t c="2">
        <n x="76"/>
        <n x="10"/>
      </t>
    </mdx>
    <mdx n="0" f="m">
      <t c="1">
        <n x="76"/>
      </t>
    </mdx>
    <mdx n="0" f="m">
      <t c="2">
        <n x="77"/>
        <n x="10"/>
      </t>
    </mdx>
    <mdx n="0" f="m">
      <t c="1">
        <n x="77"/>
      </t>
    </mdx>
    <mdx n="0" f="m">
      <t c="2">
        <n x="78"/>
        <n x="4"/>
      </t>
    </mdx>
    <mdx n="0" f="m">
      <t c="1">
        <n x="78"/>
      </t>
    </mdx>
    <mdx n="0" f="m">
      <t c="2">
        <n x="79"/>
        <n x="10"/>
      </t>
    </mdx>
    <mdx n="0" f="m">
      <t c="1">
        <n x="79"/>
      </t>
    </mdx>
    <mdx n="0" f="m">
      <t c="2">
        <n x="80"/>
        <n x="10"/>
      </t>
    </mdx>
    <mdx n="0" f="m">
      <t c="1">
        <n x="80"/>
      </t>
    </mdx>
    <mdx n="0" f="m">
      <t c="2">
        <n x="81"/>
        <n x="7"/>
      </t>
    </mdx>
    <mdx n="0" f="m">
      <t c="1">
        <n x="81"/>
      </t>
    </mdx>
    <mdx n="0" f="m">
      <t c="2">
        <n x="82"/>
        <n x="10"/>
      </t>
    </mdx>
    <mdx n="0" f="m">
      <t c="1">
        <n x="82"/>
      </t>
    </mdx>
    <mdx n="0" f="m">
      <t c="2">
        <n x="83"/>
        <n x="10"/>
      </t>
    </mdx>
    <mdx n="0" f="m">
      <t c="1">
        <n x="83"/>
      </t>
    </mdx>
    <mdx n="0" f="m">
      <t c="2">
        <n x="84"/>
        <n x="4"/>
      </t>
    </mdx>
    <mdx n="0" f="m">
      <t c="1">
        <n x="84"/>
      </t>
    </mdx>
    <mdx n="0" f="m">
      <t c="2">
        <n x="85"/>
        <n x="4"/>
      </t>
    </mdx>
    <mdx n="0" f="m">
      <t c="1">
        <n x="85"/>
      </t>
    </mdx>
    <mdx n="0" f="m">
      <t c="2">
        <n x="86"/>
        <n x="4"/>
      </t>
    </mdx>
    <mdx n="0" f="m">
      <t c="1">
        <n x="86"/>
      </t>
    </mdx>
    <mdx n="0" f="m">
      <t c="2">
        <n x="87"/>
        <n x="4"/>
      </t>
    </mdx>
    <mdx n="0" f="m">
      <t c="1">
        <n x="87"/>
      </t>
    </mdx>
    <mdx n="0" f="m">
      <t c="2">
        <n x="88"/>
        <n x="10"/>
      </t>
    </mdx>
    <mdx n="0" f="m">
      <t c="1">
        <n x="88"/>
      </t>
    </mdx>
    <mdx n="0" f="m">
      <t c="2">
        <n x="89"/>
        <n x="10"/>
      </t>
    </mdx>
    <mdx n="0" f="m">
      <t c="1">
        <n x="89"/>
      </t>
    </mdx>
    <mdx n="0" f="m">
      <t c="2">
        <n x="90"/>
        <n x="10"/>
      </t>
    </mdx>
    <mdx n="0" f="m">
      <t c="1">
        <n x="90"/>
      </t>
    </mdx>
    <mdx n="0" f="m">
      <t c="2">
        <n x="91"/>
        <n x="4"/>
      </t>
    </mdx>
    <mdx n="0" f="m">
      <t c="1">
        <n x="91"/>
      </t>
    </mdx>
    <mdx n="0" f="m">
      <t c="2">
        <n x="92"/>
        <n x="4"/>
      </t>
    </mdx>
    <mdx n="0" f="m">
      <t c="1">
        <n x="92"/>
      </t>
    </mdx>
    <mdx n="0" f="m">
      <t c="2">
        <n x="93"/>
        <n x="4"/>
      </t>
    </mdx>
    <mdx n="0" f="m">
      <t c="1">
        <n x="93"/>
      </t>
    </mdx>
    <mdx n="0" f="m">
      <t c="2">
        <n x="94"/>
        <n x="4"/>
      </t>
    </mdx>
    <mdx n="0" f="m">
      <t c="1">
        <n x="94"/>
      </t>
    </mdx>
    <mdx n="0" f="m">
      <t c="2">
        <n x="95"/>
        <n x="10"/>
      </t>
    </mdx>
    <mdx n="0" f="m">
      <t c="1">
        <n x="95"/>
      </t>
    </mdx>
    <mdx n="0" f="m">
      <t c="2">
        <n x="96"/>
        <n x="10"/>
      </t>
    </mdx>
    <mdx n="0" f="m">
      <t c="1">
        <n x="96"/>
      </t>
    </mdx>
    <mdx n="0" f="m">
      <t c="2">
        <n x="97"/>
        <n x="4"/>
      </t>
    </mdx>
    <mdx n="0" f="m">
      <t c="1">
        <n x="97"/>
      </t>
    </mdx>
    <mdx n="0" f="m">
      <t c="2">
        <n x="98"/>
        <n x="7"/>
      </t>
    </mdx>
    <mdx n="0" f="m">
      <t c="1">
        <n x="98"/>
      </t>
    </mdx>
    <mdx n="0" f="m">
      <t c="2">
        <n x="99"/>
        <n x="10"/>
      </t>
    </mdx>
    <mdx n="0" f="m">
      <t c="1">
        <n x="99"/>
      </t>
    </mdx>
    <mdx n="0" f="m">
      <t c="2">
        <n x="100"/>
        <n x="4"/>
      </t>
    </mdx>
    <mdx n="0" f="m">
      <t c="1">
        <n x="100"/>
      </t>
    </mdx>
    <mdx n="0" f="m">
      <t c="2">
        <n x="101"/>
        <n x="10"/>
      </t>
    </mdx>
    <mdx n="0" f="m">
      <t c="1">
        <n x="101"/>
      </t>
    </mdx>
    <mdx n="0" f="m">
      <t c="2">
        <n x="102"/>
        <n x="4"/>
      </t>
    </mdx>
    <mdx n="0" f="m">
      <t c="1">
        <n x="102"/>
      </t>
    </mdx>
    <mdx n="0" f="m">
      <t c="2">
        <n x="103"/>
        <n x="10"/>
      </t>
    </mdx>
    <mdx n="0" f="m">
      <t c="1">
        <n x="103"/>
      </t>
    </mdx>
    <mdx n="0" f="m">
      <t c="2">
        <n x="104"/>
        <n x="4"/>
      </t>
    </mdx>
    <mdx n="0" f="m">
      <t c="1">
        <n x="104"/>
      </t>
    </mdx>
    <mdx n="0" f="m">
      <t c="2">
        <n x="105"/>
        <n x="10"/>
      </t>
    </mdx>
    <mdx n="0" f="m">
      <t c="1">
        <n x="105"/>
      </t>
    </mdx>
    <mdx n="0" f="m">
      <t c="2">
        <n x="106"/>
        <n x="4"/>
      </t>
    </mdx>
    <mdx n="0" f="m">
      <t c="1">
        <n x="106"/>
      </t>
    </mdx>
    <mdx n="0" f="m">
      <t c="2">
        <n x="107"/>
        <n x="4"/>
      </t>
    </mdx>
    <mdx n="0" f="m">
      <t c="1">
        <n x="107"/>
      </t>
    </mdx>
    <mdx n="0" f="m">
      <t c="2">
        <n x="108"/>
        <n x="10"/>
      </t>
    </mdx>
    <mdx n="0" f="m">
      <t c="1">
        <n x="108"/>
      </t>
    </mdx>
    <mdx n="0" f="m">
      <t c="2">
        <n x="109"/>
        <n x="4"/>
      </t>
    </mdx>
    <mdx n="0" f="m">
      <t c="1">
        <n x="109"/>
      </t>
    </mdx>
    <mdx n="0" f="m">
      <t c="2">
        <n x="110"/>
        <n x="4"/>
      </t>
    </mdx>
    <mdx n="0" f="m">
      <t c="1">
        <n x="110"/>
      </t>
    </mdx>
    <mdx n="0" f="m">
      <t c="2">
        <n x="111"/>
        <n x="10"/>
      </t>
    </mdx>
    <mdx n="0" f="m">
      <t c="1">
        <n x="111"/>
      </t>
    </mdx>
    <mdx n="0" f="m">
      <t c="2">
        <n x="112"/>
        <n x="4"/>
      </t>
    </mdx>
    <mdx n="0" f="m">
      <t c="1">
        <n x="112"/>
      </t>
    </mdx>
    <mdx n="0" f="m">
      <t c="2">
        <n x="113"/>
        <n x="10"/>
      </t>
    </mdx>
    <mdx n="0" f="m">
      <t c="1">
        <n x="113"/>
      </t>
    </mdx>
    <mdx n="0" f="m">
      <t c="2">
        <n x="114"/>
        <n x="10"/>
      </t>
    </mdx>
    <mdx n="0" f="m">
      <t c="1">
        <n x="114"/>
      </t>
    </mdx>
    <mdx n="0" f="m">
      <t c="2">
        <n x="115"/>
        <n x="4"/>
      </t>
    </mdx>
    <mdx n="0" f="m">
      <t c="1">
        <n x="115"/>
      </t>
    </mdx>
    <mdx n="0" f="m">
      <t c="2">
        <n x="116"/>
        <n x="4"/>
      </t>
    </mdx>
    <mdx n="0" f="m">
      <t c="1">
        <n x="116"/>
      </t>
    </mdx>
    <mdx n="0" f="m">
      <t c="2">
        <n x="117"/>
        <n x="4"/>
      </t>
    </mdx>
    <mdx n="0" f="m">
      <t c="1">
        <n x="117"/>
      </t>
    </mdx>
    <mdx n="0" f="m">
      <t c="2">
        <n x="118"/>
        <n x="10"/>
      </t>
    </mdx>
    <mdx n="0" f="m">
      <t c="1">
        <n x="118"/>
      </t>
    </mdx>
    <mdx n="0" f="m">
      <t c="2">
        <n x="119"/>
        <n x="10"/>
      </t>
    </mdx>
    <mdx n="0" f="m">
      <t c="1">
        <n x="119"/>
      </t>
    </mdx>
    <mdx n="0" f="m">
      <t c="2">
        <n x="120"/>
        <n x="4"/>
      </t>
    </mdx>
    <mdx n="0" f="m">
      <t c="1">
        <n x="120"/>
      </t>
    </mdx>
    <mdx n="0" f="m">
      <t c="2">
        <n x="121"/>
        <n x="4"/>
      </t>
    </mdx>
    <mdx n="0" f="m">
      <t c="1">
        <n x="121"/>
      </t>
    </mdx>
    <mdx n="0" f="m">
      <t c="2">
        <n x="122"/>
        <n x="4"/>
      </t>
    </mdx>
    <mdx n="0" f="m">
      <t c="1">
        <n x="122"/>
      </t>
    </mdx>
    <mdx n="0" f="m">
      <t c="2">
        <n x="123"/>
        <n x="4"/>
      </t>
    </mdx>
    <mdx n="0" f="m">
      <t c="1">
        <n x="123"/>
      </t>
    </mdx>
    <mdx n="0" f="m">
      <t c="2">
        <n x="124"/>
        <n x="4"/>
      </t>
    </mdx>
    <mdx n="0" f="m">
      <t c="1">
        <n x="124"/>
      </t>
    </mdx>
    <mdx n="0" f="m">
      <t c="2">
        <n x="125"/>
        <n x="10"/>
      </t>
    </mdx>
    <mdx n="0" f="m">
      <t c="1">
        <n x="125"/>
      </t>
    </mdx>
    <mdx n="0" f="m">
      <t c="2">
        <n x="126"/>
        <n x="10"/>
      </t>
    </mdx>
    <mdx n="0" f="m">
      <t c="1">
        <n x="126"/>
      </t>
    </mdx>
    <mdx n="0" f="m">
      <t c="2">
        <n x="127"/>
        <n x="4"/>
      </t>
    </mdx>
    <mdx n="0" f="m">
      <t c="1">
        <n x="127"/>
      </t>
    </mdx>
    <mdx n="0" f="m">
      <t c="2">
        <n x="128"/>
        <n x="7"/>
      </t>
    </mdx>
    <mdx n="0" f="m">
      <t c="1">
        <n x="128"/>
      </t>
    </mdx>
    <mdx n="0" f="m">
      <t c="2">
        <n x="129"/>
        <n x="4"/>
      </t>
    </mdx>
    <mdx n="0" f="m">
      <t c="1">
        <n x="129"/>
      </t>
    </mdx>
    <mdx n="0" f="m">
      <t c="2">
        <n x="130"/>
        <n x="10"/>
      </t>
    </mdx>
    <mdx n="0" f="m">
      <t c="1">
        <n x="130"/>
      </t>
    </mdx>
    <mdx n="0" f="m">
      <t c="2">
        <n x="131"/>
        <n x="7"/>
      </t>
    </mdx>
    <mdx n="0" f="m">
      <t c="1">
        <n x="131"/>
      </t>
    </mdx>
    <mdx n="0" f="m">
      <t c="2">
        <n x="132"/>
        <n x="4"/>
      </t>
    </mdx>
    <mdx n="0" f="m">
      <t c="1">
        <n x="132"/>
      </t>
    </mdx>
    <mdx n="0" f="m">
      <t c="2">
        <n x="133"/>
        <n x="10"/>
      </t>
    </mdx>
    <mdx n="0" f="m">
      <t c="1">
        <n x="133"/>
      </t>
    </mdx>
    <mdx n="0" f="m">
      <t c="2">
        <n x="134"/>
        <n x="7"/>
      </t>
    </mdx>
    <mdx n="0" f="m">
      <t c="1">
        <n x="134"/>
      </t>
    </mdx>
    <mdx n="0" f="m">
      <t c="2">
        <n x="135"/>
        <n x="10"/>
      </t>
    </mdx>
    <mdx n="0" f="m">
      <t c="1">
        <n x="135"/>
      </t>
    </mdx>
    <mdx n="0" f="m">
      <t c="2">
        <n x="136"/>
        <n x="7"/>
      </t>
    </mdx>
    <mdx n="0" f="m">
      <t c="1">
        <n x="136"/>
      </t>
    </mdx>
    <mdx n="0" f="m">
      <t c="2">
        <n x="137"/>
        <n x="10"/>
      </t>
    </mdx>
    <mdx n="0" f="m">
      <t c="1">
        <n x="137"/>
      </t>
    </mdx>
    <mdx n="0" f="m">
      <t c="2">
        <n x="138"/>
        <n x="4"/>
      </t>
    </mdx>
    <mdx n="0" f="m">
      <t c="1">
        <n x="138"/>
      </t>
    </mdx>
    <mdx n="0" f="m">
      <t c="2">
        <n x="139"/>
        <n x="4"/>
      </t>
    </mdx>
    <mdx n="0" f="m">
      <t c="1">
        <n x="139"/>
      </t>
    </mdx>
    <mdx n="0" f="m">
      <t c="2">
        <n x="140"/>
        <n x="10"/>
      </t>
    </mdx>
    <mdx n="0" f="m">
      <t c="1">
        <n x="140"/>
      </t>
    </mdx>
    <mdx n="0" f="m">
      <t c="2">
        <n x="141"/>
        <n x="4"/>
      </t>
    </mdx>
    <mdx n="0" f="m">
      <t c="1">
        <n x="141"/>
      </t>
    </mdx>
    <mdx n="0" f="m">
      <t c="2">
        <n x="142"/>
        <n x="10"/>
      </t>
    </mdx>
    <mdx n="0" f="m">
      <t c="1">
        <n x="142"/>
      </t>
    </mdx>
    <mdx n="0" f="m">
      <t c="2">
        <n x="143"/>
        <n x="10"/>
      </t>
    </mdx>
    <mdx n="0" f="m">
      <t c="1">
        <n x="143"/>
      </t>
    </mdx>
    <mdx n="0" f="m">
      <t c="2">
        <n x="144"/>
        <n x="4"/>
      </t>
    </mdx>
    <mdx n="0" f="m">
      <t c="1">
        <n x="144"/>
      </t>
    </mdx>
    <mdx n="0" f="m">
      <t c="2">
        <n x="145"/>
        <n x="10"/>
      </t>
    </mdx>
    <mdx n="0" f="m">
      <t c="1">
        <n x="145"/>
      </t>
    </mdx>
    <mdx n="0" f="m">
      <t c="2">
        <n x="146"/>
        <n x="4"/>
      </t>
    </mdx>
    <mdx n="0" f="m">
      <t c="1">
        <n x="146"/>
      </t>
    </mdx>
    <mdx n="0" f="m">
      <t c="2">
        <n x="147"/>
        <n x="4"/>
      </t>
    </mdx>
    <mdx n="0" f="m">
      <t c="1">
        <n x="147"/>
      </t>
    </mdx>
    <mdx n="0" f="m">
      <t c="2">
        <n x="148"/>
        <n x="4"/>
      </t>
    </mdx>
    <mdx n="0" f="m">
      <t c="1">
        <n x="148"/>
      </t>
    </mdx>
    <mdx n="0" f="m">
      <t c="2">
        <n x="149"/>
        <n x="7"/>
      </t>
    </mdx>
    <mdx n="0" f="m">
      <t c="1">
        <n x="149"/>
      </t>
    </mdx>
    <mdx n="0" f="m">
      <t c="2">
        <n x="150"/>
        <n x="4"/>
      </t>
    </mdx>
    <mdx n="0" f="m">
      <t c="1">
        <n x="150"/>
      </t>
    </mdx>
    <mdx n="0" f="m">
      <t c="2">
        <n x="151"/>
        <n x="7"/>
      </t>
    </mdx>
    <mdx n="0" f="m">
      <t c="1">
        <n x="151"/>
      </t>
    </mdx>
    <mdx n="0" f="m">
      <t c="2">
        <n x="152"/>
        <n x="10"/>
      </t>
    </mdx>
    <mdx n="0" f="m">
      <t c="1">
        <n x="152"/>
      </t>
    </mdx>
    <mdx n="0" f="m">
      <t c="2">
        <n x="153"/>
        <n x="4"/>
      </t>
    </mdx>
    <mdx n="0" f="m">
      <t c="1">
        <n x="153"/>
      </t>
    </mdx>
    <mdx n="0" f="m">
      <t c="2">
        <n x="154"/>
        <n x="4"/>
      </t>
    </mdx>
    <mdx n="0" f="m">
      <t c="1">
        <n x="154"/>
      </t>
    </mdx>
    <mdx n="0" f="m">
      <t c="2">
        <n x="155"/>
        <n x="10"/>
      </t>
    </mdx>
    <mdx n="0" f="m">
      <t c="1">
        <n x="155"/>
      </t>
    </mdx>
    <mdx n="0" f="m">
      <t c="2">
        <n x="156"/>
        <n x="10"/>
      </t>
    </mdx>
    <mdx n="0" f="m">
      <t c="1">
        <n x="156"/>
      </t>
    </mdx>
    <mdx n="0" f="m">
      <t c="2">
        <n x="157"/>
        <n x="7"/>
      </t>
    </mdx>
    <mdx n="0" f="m">
      <t c="1">
        <n x="157"/>
      </t>
    </mdx>
    <mdx n="0" f="m">
      <t c="2">
        <n x="158"/>
        <n x="4"/>
      </t>
    </mdx>
    <mdx n="0" f="m">
      <t c="1">
        <n x="158"/>
      </t>
    </mdx>
    <mdx n="0" f="m">
      <t c="2">
        <n x="159"/>
        <n x="4"/>
      </t>
    </mdx>
    <mdx n="0" f="m">
      <t c="1">
        <n x="159"/>
      </t>
    </mdx>
    <mdx n="0" f="m">
      <t c="2">
        <n x="160"/>
        <n x="10"/>
      </t>
    </mdx>
    <mdx n="0" f="m">
      <t c="1">
        <n x="160"/>
      </t>
    </mdx>
    <mdx n="0" f="m">
      <t c="2">
        <n x="161"/>
        <n x="10"/>
      </t>
    </mdx>
    <mdx n="0" f="m">
      <t c="1">
        <n x="161"/>
      </t>
    </mdx>
    <mdx n="0" f="m">
      <t c="2">
        <n x="162"/>
        <n x="10"/>
      </t>
    </mdx>
    <mdx n="0" f="m">
      <t c="1">
        <n x="162"/>
      </t>
    </mdx>
    <mdx n="0" f="m">
      <t c="2">
        <n x="163"/>
        <n x="10"/>
      </t>
    </mdx>
    <mdx n="0" f="m">
      <t c="1">
        <n x="163"/>
      </t>
    </mdx>
    <mdx n="0" f="m">
      <t c="2">
        <n x="164"/>
        <n x="10"/>
      </t>
    </mdx>
    <mdx n="0" f="m">
      <t c="1">
        <n x="164"/>
      </t>
    </mdx>
    <mdx n="0" f="m">
      <t c="2">
        <n x="165"/>
        <n x="10"/>
      </t>
    </mdx>
    <mdx n="0" f="m">
      <t c="1">
        <n x="165"/>
      </t>
    </mdx>
    <mdx n="0" f="m">
      <t c="2">
        <n x="166"/>
        <n x="10"/>
      </t>
    </mdx>
    <mdx n="0" f="m">
      <t c="1">
        <n x="166"/>
      </t>
    </mdx>
    <mdx n="0" f="m">
      <t c="2">
        <n x="167"/>
        <n x="4"/>
      </t>
    </mdx>
    <mdx n="0" f="m">
      <t c="1">
        <n x="167"/>
      </t>
    </mdx>
    <mdx n="0" f="m">
      <t c="2">
        <n x="168"/>
        <n x="4"/>
      </t>
    </mdx>
    <mdx n="0" f="m">
      <t c="1">
        <n x="168"/>
      </t>
    </mdx>
    <mdx n="0" f="m">
      <t c="2">
        <n x="169"/>
        <n x="7"/>
      </t>
    </mdx>
    <mdx n="0" f="m">
      <t c="1">
        <n x="169"/>
      </t>
    </mdx>
    <mdx n="0" f="m">
      <t c="2">
        <n x="170"/>
        <n x="7"/>
      </t>
    </mdx>
    <mdx n="0" f="m">
      <t c="1">
        <n x="170"/>
      </t>
    </mdx>
    <mdx n="0" f="m">
      <t c="2">
        <n x="171"/>
        <n x="10"/>
      </t>
    </mdx>
    <mdx n="0" f="m">
      <t c="1">
        <n x="171"/>
      </t>
    </mdx>
    <mdx n="0" f="m">
      <t c="2">
        <n x="172"/>
        <n x="7"/>
      </t>
    </mdx>
    <mdx n="0" f="m">
      <t c="1">
        <n x="172"/>
      </t>
    </mdx>
    <mdx n="0" f="m">
      <t c="2">
        <n x="173"/>
        <n x="4"/>
      </t>
    </mdx>
    <mdx n="0" f="m">
      <t c="1">
        <n x="173"/>
      </t>
    </mdx>
    <mdx n="0" f="m">
      <t c="2">
        <n x="174"/>
        <n x="10"/>
      </t>
    </mdx>
    <mdx n="0" f="m">
      <t c="1">
        <n x="174"/>
      </t>
    </mdx>
    <mdx n="0" f="m">
      <t c="2">
        <n x="175"/>
        <n x="10"/>
      </t>
    </mdx>
    <mdx n="0" f="m">
      <t c="1">
        <n x="175"/>
      </t>
    </mdx>
    <mdx n="0" f="m">
      <t c="2">
        <n x="176"/>
        <n x="10"/>
      </t>
    </mdx>
    <mdx n="0" f="m">
      <t c="1">
        <n x="176"/>
      </t>
    </mdx>
    <mdx n="0" f="m">
      <t c="2">
        <n x="177"/>
        <n x="7"/>
      </t>
    </mdx>
    <mdx n="0" f="m">
      <t c="1">
        <n x="177"/>
      </t>
    </mdx>
    <mdx n="0" f="m">
      <t c="2">
        <n x="178"/>
        <n x="10"/>
      </t>
    </mdx>
    <mdx n="0" f="m">
      <t c="1">
        <n x="178"/>
      </t>
    </mdx>
    <mdx n="0" f="m">
      <t c="2">
        <n x="179"/>
        <n x="4"/>
      </t>
    </mdx>
    <mdx n="0" f="m">
      <t c="1">
        <n x="179"/>
      </t>
    </mdx>
    <mdx n="0" f="m">
      <t c="2">
        <n x="180"/>
        <n x="4"/>
      </t>
    </mdx>
    <mdx n="0" f="m">
      <t c="1">
        <n x="180"/>
      </t>
    </mdx>
    <mdx n="0" f="m">
      <t c="2">
        <n x="181"/>
        <n x="10"/>
      </t>
    </mdx>
    <mdx n="0" f="m">
      <t c="1">
        <n x="181"/>
      </t>
    </mdx>
    <mdx n="0" f="m">
      <t c="2">
        <n x="182"/>
        <n x="4"/>
      </t>
    </mdx>
    <mdx n="0" f="m">
      <t c="1">
        <n x="182"/>
      </t>
    </mdx>
    <mdx n="0" f="m">
      <t c="2">
        <n x="183"/>
        <n x="4"/>
      </t>
    </mdx>
    <mdx n="0" f="m">
      <t c="1">
        <n x="183"/>
      </t>
    </mdx>
    <mdx n="0" f="m">
      <t c="2">
        <n x="184"/>
        <n x="10"/>
      </t>
    </mdx>
    <mdx n="0" f="m">
      <t c="1">
        <n x="184"/>
      </t>
    </mdx>
    <mdx n="0" f="m">
      <t c="2">
        <n x="185"/>
        <n x="10"/>
      </t>
    </mdx>
    <mdx n="0" f="m">
      <t c="1">
        <n x="185"/>
      </t>
    </mdx>
    <mdx n="0" f="m">
      <t c="2">
        <n x="186"/>
        <n x="10"/>
      </t>
    </mdx>
    <mdx n="0" f="m">
      <t c="1">
        <n x="186"/>
      </t>
    </mdx>
    <mdx n="0" f="m">
      <t c="2">
        <n x="187"/>
        <n x="10"/>
      </t>
    </mdx>
    <mdx n="0" f="m">
      <t c="1">
        <n x="187"/>
      </t>
    </mdx>
    <mdx n="0" f="m">
      <t c="2">
        <n x="188"/>
        <n x="10"/>
      </t>
    </mdx>
    <mdx n="0" f="m">
      <t c="1">
        <n x="188"/>
      </t>
    </mdx>
    <mdx n="0" f="m">
      <t c="2">
        <n x="189"/>
        <n x="4"/>
      </t>
    </mdx>
    <mdx n="0" f="m">
      <t c="1">
        <n x="189"/>
      </t>
    </mdx>
    <mdx n="0" f="m">
      <t c="2">
        <n x="190"/>
        <n x="4"/>
      </t>
    </mdx>
    <mdx n="0" f="m">
      <t c="1">
        <n x="190"/>
      </t>
    </mdx>
    <mdx n="0" f="m">
      <t c="2">
        <n x="191"/>
        <n x="4"/>
      </t>
    </mdx>
    <mdx n="0" f="m">
      <t c="1">
        <n x="191"/>
      </t>
    </mdx>
    <mdx n="0" f="m">
      <t c="2">
        <n x="192"/>
        <n x="7"/>
      </t>
    </mdx>
    <mdx n="0" f="m">
      <t c="1">
        <n x="192"/>
      </t>
    </mdx>
    <mdx n="0" f="m">
      <t c="2">
        <n x="193"/>
        <n x="7"/>
      </t>
    </mdx>
    <mdx n="0" f="m">
      <t c="1">
        <n x="193"/>
      </t>
    </mdx>
    <mdx n="0" f="m">
      <t c="2">
        <n x="194"/>
        <n x="10"/>
      </t>
    </mdx>
    <mdx n="0" f="m">
      <t c="1">
        <n x="194"/>
      </t>
    </mdx>
    <mdx n="0" f="m">
      <t c="2">
        <n x="195"/>
        <n x="10"/>
      </t>
    </mdx>
    <mdx n="0" f="m">
      <t c="1">
        <n x="195"/>
      </t>
    </mdx>
    <mdx n="0" f="m">
      <t c="2">
        <n x="196"/>
        <n x="4"/>
      </t>
    </mdx>
    <mdx n="0" f="m">
      <t c="1">
        <n x="196"/>
      </t>
    </mdx>
    <mdx n="0" f="m">
      <t c="2">
        <n x="197"/>
        <n x="10"/>
      </t>
    </mdx>
    <mdx n="0" f="m">
      <t c="1">
        <n x="197"/>
      </t>
    </mdx>
    <mdx n="0" f="m">
      <t c="2">
        <n x="198"/>
        <n x="10"/>
      </t>
    </mdx>
    <mdx n="0" f="m">
      <t c="1">
        <n x="198"/>
      </t>
    </mdx>
    <mdx n="0" f="m">
      <t c="2">
        <n x="199"/>
        <n x="4"/>
      </t>
    </mdx>
    <mdx n="0" f="m">
      <t c="1">
        <n x="199"/>
      </t>
    </mdx>
    <mdx n="0" f="m">
      <t c="2">
        <n x="200"/>
        <n x="4"/>
      </t>
    </mdx>
    <mdx n="0" f="m">
      <t c="1">
        <n x="200"/>
      </t>
    </mdx>
    <mdx n="0" f="m">
      <t c="2">
        <n x="201"/>
        <n x="4"/>
      </t>
    </mdx>
    <mdx n="0" f="m">
      <t c="1">
        <n x="201"/>
      </t>
    </mdx>
    <mdx n="0" f="m">
      <t c="2">
        <n x="202"/>
        <n x="10"/>
      </t>
    </mdx>
    <mdx n="0" f="m">
      <t c="1">
        <n x="202"/>
      </t>
    </mdx>
    <mdx n="0" f="m">
      <t c="2">
        <n x="203"/>
        <n x="10"/>
      </t>
    </mdx>
    <mdx n="0" f="m">
      <t c="1">
        <n x="203"/>
      </t>
    </mdx>
    <mdx n="0" f="m">
      <t c="2">
        <n x="204"/>
        <n x="7"/>
      </t>
    </mdx>
    <mdx n="0" f="m">
      <t c="1">
        <n x="204"/>
      </t>
    </mdx>
    <mdx n="0" f="m">
      <t c="2">
        <n x="205"/>
        <n x="7"/>
      </t>
    </mdx>
    <mdx n="0" f="m">
      <t c="1">
        <n x="205"/>
      </t>
    </mdx>
    <mdx n="0" f="m">
      <t c="2">
        <n x="206"/>
        <n x="4"/>
      </t>
    </mdx>
    <mdx n="0" f="m">
      <t c="1">
        <n x="206"/>
      </t>
    </mdx>
    <mdx n="0" f="m">
      <t c="2">
        <n x="207"/>
        <n x="10"/>
      </t>
    </mdx>
    <mdx n="0" f="m">
      <t c="1">
        <n x="207"/>
      </t>
    </mdx>
    <mdx n="0" f="m">
      <t c="2">
        <n x="208"/>
        <n x="4"/>
      </t>
    </mdx>
    <mdx n="0" f="m">
      <t c="1">
        <n x="208"/>
      </t>
    </mdx>
    <mdx n="0" f="m">
      <t c="2">
        <n x="209"/>
        <n x="10"/>
      </t>
    </mdx>
    <mdx n="0" f="m">
      <t c="1">
        <n x="209"/>
      </t>
    </mdx>
    <mdx n="0" f="m">
      <t c="2">
        <n x="210"/>
        <n x="10"/>
      </t>
    </mdx>
    <mdx n="0" f="m">
      <t c="1">
        <n x="210"/>
      </t>
    </mdx>
    <mdx n="0" f="m">
      <t c="2">
        <n x="211"/>
        <n x="10"/>
      </t>
    </mdx>
    <mdx n="0" f="m">
      <t c="1">
        <n x="211"/>
      </t>
    </mdx>
    <mdx n="0" f="m">
      <t c="2">
        <n x="212"/>
        <n x="4"/>
      </t>
    </mdx>
    <mdx n="0" f="m">
      <t c="1">
        <n x="212"/>
      </t>
    </mdx>
    <mdx n="0" f="m">
      <t c="2">
        <n x="213"/>
        <n x="7"/>
      </t>
    </mdx>
    <mdx n="0" f="m">
      <t c="1">
        <n x="213"/>
      </t>
    </mdx>
    <mdx n="0" f="m">
      <t c="2">
        <n x="214"/>
        <n x="7"/>
      </t>
    </mdx>
    <mdx n="0" f="m">
      <t c="1">
        <n x="214"/>
      </t>
    </mdx>
    <mdx n="0" f="m">
      <t c="2">
        <n x="215"/>
        <n x="4"/>
      </t>
    </mdx>
    <mdx n="0" f="m">
      <t c="1">
        <n x="215"/>
      </t>
    </mdx>
    <mdx n="0" f="m">
      <t c="2">
        <n x="216"/>
        <n x="10"/>
      </t>
    </mdx>
    <mdx n="0" f="m">
      <t c="1">
        <n x="216"/>
      </t>
    </mdx>
    <mdx n="0" f="m">
      <t c="2">
        <n x="217"/>
        <n x="10"/>
      </t>
    </mdx>
    <mdx n="0" f="m">
      <t c="1">
        <n x="217"/>
      </t>
    </mdx>
    <mdx n="0" f="m">
      <t c="2">
        <n x="218"/>
        <n x="10"/>
      </t>
    </mdx>
    <mdx n="0" f="m">
      <t c="1">
        <n x="218"/>
      </t>
    </mdx>
    <mdx n="0" f="m">
      <t c="2">
        <n x="219"/>
        <n x="7"/>
      </t>
    </mdx>
    <mdx n="0" f="m">
      <t c="1">
        <n x="219"/>
      </t>
    </mdx>
    <mdx n="0" f="m">
      <t c="2">
        <n x="220"/>
        <n x="4"/>
      </t>
    </mdx>
    <mdx n="0" f="m">
      <t c="1">
        <n x="220"/>
      </t>
    </mdx>
    <mdx n="0" f="m">
      <t c="2">
        <n x="221"/>
        <n x="10"/>
      </t>
    </mdx>
    <mdx n="0" f="m">
      <t c="1">
        <n x="221"/>
      </t>
    </mdx>
    <mdx n="0" f="m">
      <t c="2">
        <n x="222"/>
        <n x="10"/>
      </t>
    </mdx>
    <mdx n="0" f="m">
      <t c="1">
        <n x="222"/>
      </t>
    </mdx>
    <mdx n="0" f="m">
      <t c="2">
        <n x="223"/>
        <n x="10"/>
      </t>
    </mdx>
    <mdx n="0" f="m">
      <t c="1">
        <n x="223"/>
      </t>
    </mdx>
    <mdx n="0" f="m">
      <t c="2">
        <n x="224"/>
        <n x="4"/>
      </t>
    </mdx>
    <mdx n="0" f="m">
      <t c="1">
        <n x="224"/>
      </t>
    </mdx>
    <mdx n="0" f="m">
      <t c="2">
        <n x="225"/>
        <n x="4"/>
      </t>
    </mdx>
    <mdx n="0" f="m">
      <t c="1">
        <n x="225"/>
      </t>
    </mdx>
    <mdx n="0" f="m">
      <t c="2">
        <n x="226"/>
        <n x="4"/>
      </t>
    </mdx>
    <mdx n="0" f="m">
      <t c="1">
        <n x="226"/>
      </t>
    </mdx>
    <mdx n="0" f="m">
      <t c="2">
        <n x="227"/>
        <n x="4"/>
      </t>
    </mdx>
    <mdx n="0" f="m">
      <t c="1">
        <n x="227"/>
      </t>
    </mdx>
    <mdx n="0" f="m">
      <t c="2">
        <n x="228"/>
        <n x="4"/>
      </t>
    </mdx>
    <mdx n="0" f="m">
      <t c="1">
        <n x="228"/>
      </t>
    </mdx>
    <mdx n="0" f="m">
      <t c="2">
        <n x="229"/>
        <n x="10"/>
      </t>
    </mdx>
    <mdx n="0" f="m">
      <t c="1">
        <n x="229"/>
      </t>
    </mdx>
    <mdx n="0" f="m">
      <t c="2">
        <n x="230"/>
        <n x="10"/>
      </t>
    </mdx>
    <mdx n="0" f="m">
      <t c="1">
        <n x="230"/>
      </t>
    </mdx>
    <mdx n="0" f="m">
      <t c="2">
        <n x="231"/>
        <n x="4"/>
      </t>
    </mdx>
    <mdx n="0" f="m">
      <t c="1">
        <n x="231"/>
      </t>
    </mdx>
    <mdx n="0" f="m">
      <t c="2">
        <n x="232"/>
        <n x="4"/>
      </t>
    </mdx>
    <mdx n="0" f="m">
      <t c="1">
        <n x="232"/>
      </t>
    </mdx>
    <mdx n="0" f="m">
      <t c="2">
        <n x="233"/>
        <n x="4"/>
      </t>
    </mdx>
    <mdx n="0" f="m">
      <t c="1">
        <n x="233"/>
      </t>
    </mdx>
    <mdx n="0" f="m">
      <t c="2">
        <n x="234"/>
        <n x="4"/>
      </t>
    </mdx>
    <mdx n="0" f="m">
      <t c="1">
        <n x="234"/>
      </t>
    </mdx>
    <mdx n="0" f="m">
      <t c="2">
        <n x="235"/>
        <n x="10"/>
      </t>
    </mdx>
    <mdx n="0" f="m">
      <t c="1">
        <n x="235"/>
      </t>
    </mdx>
    <mdx n="0" f="m">
      <t c="2">
        <n x="236"/>
        <n x="10"/>
      </t>
    </mdx>
    <mdx n="0" f="m">
      <t c="1">
        <n x="236"/>
      </t>
    </mdx>
    <mdx n="0" f="m">
      <t c="2">
        <n x="237"/>
        <n x="4"/>
      </t>
    </mdx>
    <mdx n="0" f="m">
      <t c="1">
        <n x="237"/>
      </t>
    </mdx>
    <mdx n="0" f="m">
      <t c="2">
        <n x="238"/>
        <n x="4"/>
      </t>
    </mdx>
    <mdx n="0" f="m">
      <t c="1">
        <n x="238"/>
      </t>
    </mdx>
    <mdx n="0" f="m">
      <t c="2">
        <n x="239"/>
        <n x="4"/>
      </t>
    </mdx>
    <mdx n="0" f="m">
      <t c="1">
        <n x="239"/>
      </t>
    </mdx>
    <mdx n="0" f="m">
      <t c="2">
        <n x="240"/>
        <n x="4"/>
      </t>
    </mdx>
    <mdx n="0" f="m">
      <t c="1">
        <n x="240"/>
      </t>
    </mdx>
    <mdx n="0" f="m">
      <t c="2">
        <n x="241"/>
        <n x="10"/>
      </t>
    </mdx>
    <mdx n="0" f="m">
      <t c="1">
        <n x="241"/>
      </t>
    </mdx>
    <mdx n="0" f="m">
      <t c="2">
        <n x="242"/>
        <n x="10"/>
      </t>
    </mdx>
    <mdx n="0" f="m">
      <t c="1">
        <n x="242"/>
      </t>
    </mdx>
    <mdx n="0" f="m">
      <t c="2">
        <n x="243"/>
        <n x="4"/>
      </t>
    </mdx>
    <mdx n="0" f="m">
      <t c="1">
        <n x="243"/>
      </t>
    </mdx>
    <mdx n="0" f="m">
      <t c="2">
        <n x="244"/>
        <n x="4"/>
      </t>
    </mdx>
    <mdx n="0" f="m">
      <t c="1">
        <n x="244"/>
      </t>
    </mdx>
    <mdx n="0" f="m">
      <t c="2">
        <n x="245"/>
        <n x="10"/>
      </t>
    </mdx>
    <mdx n="0" f="m">
      <t c="1">
        <n x="245"/>
      </t>
    </mdx>
    <mdx n="0" f="m">
      <t c="2">
        <n x="246"/>
        <n x="4"/>
      </t>
    </mdx>
    <mdx n="0" f="m">
      <t c="1">
        <n x="246"/>
      </t>
    </mdx>
    <mdx n="0" f="m">
      <t c="2">
        <n x="247"/>
        <n x="4"/>
      </t>
    </mdx>
    <mdx n="0" f="m">
      <t c="1">
        <n x="247"/>
      </t>
    </mdx>
    <mdx n="0" f="m">
      <t c="2">
        <n x="248"/>
        <n x="4"/>
      </t>
    </mdx>
    <mdx n="0" f="m">
      <t c="1">
        <n x="248"/>
      </t>
    </mdx>
    <mdx n="0" f="m">
      <t c="2">
        <n x="249"/>
        <n x="10"/>
      </t>
    </mdx>
    <mdx n="0" f="m">
      <t c="1">
        <n x="249"/>
      </t>
    </mdx>
    <mdx n="0" f="m">
      <t c="2">
        <n x="250"/>
        <n x="10"/>
      </t>
    </mdx>
    <mdx n="0" f="m">
      <t c="1">
        <n x="250"/>
      </t>
    </mdx>
    <mdx n="0" f="m">
      <t c="2">
        <n x="251"/>
        <n x="10"/>
      </t>
    </mdx>
    <mdx n="0" f="m">
      <t c="1">
        <n x="251"/>
      </t>
    </mdx>
    <mdx n="0" f="m">
      <t c="2">
        <n x="252"/>
        <n x="4"/>
      </t>
    </mdx>
    <mdx n="0" f="m">
      <t c="1">
        <n x="252"/>
      </t>
    </mdx>
    <mdx n="0" f="m">
      <t c="2">
        <n x="253"/>
        <n x="10"/>
      </t>
    </mdx>
    <mdx n="0" f="m">
      <t c="1">
        <n x="253"/>
      </t>
    </mdx>
    <mdx n="0" f="m">
      <t c="2">
        <n x="254"/>
        <n x="10"/>
      </t>
    </mdx>
    <mdx n="0" f="m">
      <t c="1">
        <n x="254"/>
      </t>
    </mdx>
    <mdx n="0" f="m">
      <t c="2">
        <n x="255"/>
        <n x="4"/>
      </t>
    </mdx>
    <mdx n="0" f="m">
      <t c="1">
        <n x="255"/>
      </t>
    </mdx>
    <mdx n="0" f="m">
      <t c="2">
        <n x="256"/>
        <n x="4"/>
      </t>
    </mdx>
    <mdx n="0" f="m">
      <t c="1">
        <n x="256"/>
      </t>
    </mdx>
    <mdx n="0" f="m">
      <t c="2">
        <n x="257"/>
        <n x="4"/>
      </t>
    </mdx>
    <mdx n="0" f="m">
      <t c="1">
        <n x="257"/>
      </t>
    </mdx>
    <mdx n="0" f="m">
      <t c="2">
        <n x="258"/>
        <n x="10"/>
      </t>
    </mdx>
    <mdx n="0" f="m">
      <t c="1">
        <n x="258"/>
      </t>
    </mdx>
    <mdx n="0" f="m">
      <t c="2">
        <n x="259"/>
        <n x="4"/>
      </t>
    </mdx>
    <mdx n="0" f="m">
      <t c="1">
        <n x="259"/>
      </t>
    </mdx>
    <mdx n="0" f="m">
      <t c="2">
        <n x="260"/>
        <n x="7"/>
      </t>
    </mdx>
    <mdx n="0" f="m">
      <t c="1">
        <n x="260"/>
      </t>
    </mdx>
    <mdx n="0" f="m">
      <t c="2">
        <n x="261"/>
        <n x="10"/>
      </t>
    </mdx>
    <mdx n="0" f="m">
      <t c="1">
        <n x="261"/>
      </t>
    </mdx>
    <mdx n="0" f="m">
      <t c="2">
        <n x="262"/>
        <n x="4"/>
      </t>
    </mdx>
    <mdx n="0" f="m">
      <t c="1">
        <n x="262"/>
      </t>
    </mdx>
    <mdx n="0" f="m">
      <t c="2">
        <n x="263"/>
        <n x="4"/>
      </t>
    </mdx>
    <mdx n="0" f="m">
      <t c="1">
        <n x="263"/>
      </t>
    </mdx>
    <mdx n="0" f="m">
      <t c="2">
        <n x="264"/>
        <n x="4"/>
      </t>
    </mdx>
    <mdx n="0" f="m">
      <t c="1">
        <n x="264"/>
      </t>
    </mdx>
    <mdx n="0" f="m">
      <t c="2">
        <n x="265"/>
        <n x="10"/>
      </t>
    </mdx>
    <mdx n="0" f="m">
      <t c="1">
        <n x="265"/>
      </t>
    </mdx>
    <mdx n="0" f="m">
      <t c="2">
        <n x="266"/>
        <n x="4"/>
      </t>
    </mdx>
    <mdx n="0" f="m">
      <t c="1">
        <n x="266"/>
      </t>
    </mdx>
    <mdx n="0" f="m">
      <t c="2">
        <n x="267"/>
        <n x="7"/>
      </t>
    </mdx>
    <mdx n="0" f="m">
      <t c="1">
        <n x="267"/>
      </t>
    </mdx>
    <mdx n="0" f="m">
      <t c="2">
        <n x="268"/>
        <n x="10"/>
      </t>
    </mdx>
    <mdx n="0" f="m">
      <t c="1">
        <n x="268"/>
      </t>
    </mdx>
    <mdx n="0" f="m">
      <t c="2">
        <n x="269"/>
        <n x="4"/>
      </t>
    </mdx>
    <mdx n="0" f="m">
      <t c="1">
        <n x="269"/>
      </t>
    </mdx>
    <mdx n="0" f="m">
      <t c="2">
        <n x="270"/>
        <n x="10"/>
      </t>
    </mdx>
    <mdx n="0" f="m">
      <t c="1">
        <n x="270"/>
      </t>
    </mdx>
    <mdx n="0" f="m">
      <t c="2">
        <n x="271"/>
        <n x="10"/>
      </t>
    </mdx>
    <mdx n="0" f="m">
      <t c="1">
        <n x="271"/>
      </t>
    </mdx>
    <mdx n="0" f="m">
      <t c="2">
        <n x="272"/>
        <n x="4"/>
      </t>
    </mdx>
    <mdx n="0" f="m">
      <t c="1">
        <n x="272"/>
      </t>
    </mdx>
    <mdx n="0" f="m">
      <t c="2">
        <n x="273"/>
        <n x="10"/>
      </t>
    </mdx>
    <mdx n="0" f="m">
      <t c="1">
        <n x="273"/>
      </t>
    </mdx>
    <mdx n="0" f="m">
      <t c="2">
        <n x="274"/>
        <n x="4"/>
      </t>
    </mdx>
    <mdx n="0" f="m">
      <t c="1">
        <n x="274"/>
      </t>
    </mdx>
    <mdx n="0" f="m">
      <t c="2">
        <n x="275"/>
        <n x="4"/>
      </t>
    </mdx>
    <mdx n="0" f="m">
      <t c="1">
        <n x="275"/>
      </t>
    </mdx>
    <mdx n="0" f="m">
      <t c="2">
        <n x="276"/>
        <n x="10"/>
      </t>
    </mdx>
    <mdx n="0" f="m">
      <t c="1">
        <n x="276"/>
      </t>
    </mdx>
    <mdx n="0" f="m">
      <t c="2">
        <n x="277"/>
        <n x="4"/>
      </t>
    </mdx>
    <mdx n="0" f="m">
      <t c="1">
        <n x="277"/>
      </t>
    </mdx>
    <mdx n="0" f="m">
      <t c="2">
        <n x="278"/>
        <n x="10"/>
      </t>
    </mdx>
    <mdx n="0" f="m">
      <t c="1">
        <n x="278"/>
      </t>
    </mdx>
    <mdx n="0" f="m">
      <t c="2">
        <n x="279"/>
        <n x="10"/>
      </t>
    </mdx>
    <mdx n="0" f="m">
      <t c="1">
        <n x="279"/>
      </t>
    </mdx>
    <mdx n="0" f="m">
      <t c="2">
        <n x="280"/>
        <n x="10"/>
      </t>
    </mdx>
    <mdx n="0" f="m">
      <t c="1">
        <n x="280"/>
      </t>
    </mdx>
    <mdx n="0" f="m">
      <t c="2">
        <n x="281"/>
        <n x="10"/>
      </t>
    </mdx>
    <mdx n="0" f="m">
      <t c="1">
        <n x="281"/>
      </t>
    </mdx>
    <mdx n="0" f="m">
      <t c="2">
        <n x="282"/>
        <n x="4"/>
      </t>
    </mdx>
    <mdx n="0" f="m">
      <t c="1">
        <n x="282"/>
      </t>
    </mdx>
    <mdx n="0" f="m">
      <t c="2">
        <n x="283"/>
        <n x="4"/>
      </t>
    </mdx>
    <mdx n="0" f="m">
      <t c="1">
        <n x="283"/>
      </t>
    </mdx>
    <mdx n="0" f="m">
      <t c="2">
        <n x="284"/>
        <n x="4"/>
      </t>
    </mdx>
    <mdx n="0" f="m">
      <t c="1">
        <n x="284"/>
      </t>
    </mdx>
    <mdx n="0" f="m">
      <t c="2">
        <n x="285"/>
        <n x="4"/>
      </t>
    </mdx>
    <mdx n="0" f="m">
      <t c="1">
        <n x="285"/>
      </t>
    </mdx>
    <mdx n="0" f="m">
      <t c="2">
        <n x="286"/>
        <n x="4"/>
      </t>
    </mdx>
    <mdx n="0" f="m">
      <t c="1">
        <n x="286"/>
      </t>
    </mdx>
    <mdx n="0" f="m">
      <t c="2">
        <n x="287"/>
        <n x="10"/>
      </t>
    </mdx>
    <mdx n="0" f="m">
      <t c="1">
        <n x="287"/>
      </t>
    </mdx>
    <mdx n="0" f="m">
      <t c="2">
        <n x="288"/>
        <n x="10"/>
      </t>
    </mdx>
    <mdx n="0" f="m">
      <t c="1">
        <n x="288"/>
      </t>
    </mdx>
    <mdx n="0" f="m">
      <t c="2">
        <n x="289"/>
        <n x="4"/>
      </t>
    </mdx>
    <mdx n="0" f="m">
      <t c="1">
        <n x="289"/>
      </t>
    </mdx>
    <mdx n="0" f="m">
      <t c="2">
        <n x="290"/>
        <n x="10"/>
      </t>
    </mdx>
    <mdx n="0" f="m">
      <t c="1">
        <n x="290"/>
      </t>
    </mdx>
    <mdx n="0" f="m">
      <t c="2">
        <n x="291"/>
        <n x="4"/>
      </t>
    </mdx>
    <mdx n="0" f="m">
      <t c="1">
        <n x="291"/>
      </t>
    </mdx>
    <mdx n="0" f="m">
      <t c="2">
        <n x="292"/>
        <n x="4"/>
      </t>
    </mdx>
    <mdx n="0" f="m">
      <t c="1">
        <n x="292"/>
      </t>
    </mdx>
    <mdx n="0" f="m">
      <t c="2">
        <n x="293"/>
        <n x="10"/>
      </t>
    </mdx>
    <mdx n="0" f="m">
      <t c="1">
        <n x="293"/>
      </t>
    </mdx>
    <mdx n="0" f="m">
      <t c="2">
        <n x="294"/>
        <n x="10"/>
      </t>
    </mdx>
    <mdx n="0" f="m">
      <t c="1">
        <n x="294"/>
      </t>
    </mdx>
    <mdx n="0" f="m">
      <t c="2">
        <n x="295"/>
        <n x="7"/>
      </t>
    </mdx>
    <mdx n="0" f="m">
      <t c="1">
        <n x="295"/>
      </t>
    </mdx>
    <mdx n="0" f="m">
      <t c="2">
        <n x="296"/>
        <n x="4"/>
      </t>
    </mdx>
    <mdx n="0" f="m">
      <t c="1">
        <n x="296"/>
      </t>
    </mdx>
    <mdx n="0" f="m">
      <t c="2">
        <n x="297"/>
        <n x="10"/>
      </t>
    </mdx>
    <mdx n="0" f="m">
      <t c="1">
        <n x="297"/>
      </t>
    </mdx>
    <mdx n="0" f="m">
      <t c="2">
        <n x="298"/>
        <n x="4"/>
      </t>
    </mdx>
    <mdx n="0" f="m">
      <t c="1">
        <n x="298"/>
      </t>
    </mdx>
    <mdx n="0" f="m">
      <t c="2">
        <n x="299"/>
        <n x="4"/>
      </t>
    </mdx>
    <mdx n="0" f="m">
      <t c="1">
        <n x="299"/>
      </t>
    </mdx>
    <mdx n="0" f="m">
      <t c="2">
        <n x="300"/>
        <n x="10"/>
      </t>
    </mdx>
    <mdx n="0" f="m">
      <t c="1">
        <n x="300"/>
      </t>
    </mdx>
    <mdx n="0" f="m">
      <t c="2">
        <n x="301"/>
        <n x="7"/>
      </t>
    </mdx>
    <mdx n="0" f="m">
      <t c="1">
        <n x="301"/>
      </t>
    </mdx>
    <mdx n="0" f="m">
      <t c="2">
        <n x="302"/>
        <n x="4"/>
      </t>
    </mdx>
    <mdx n="0" f="m">
      <t c="1">
        <n x="302"/>
      </t>
    </mdx>
    <mdx n="0" f="m">
      <t c="2">
        <n x="303"/>
        <n x="4"/>
      </t>
    </mdx>
    <mdx n="0" f="m">
      <t c="1">
        <n x="303"/>
      </t>
    </mdx>
    <mdx n="0" f="m">
      <t c="2">
        <n x="304"/>
        <n x="4"/>
      </t>
    </mdx>
    <mdx n="0" f="m">
      <t c="1">
        <n x="304"/>
      </t>
    </mdx>
    <mdx n="0" f="m">
      <t c="2">
        <n x="305"/>
        <n x="4"/>
      </t>
    </mdx>
    <mdx n="0" f="m">
      <t c="1">
        <n x="305"/>
      </t>
    </mdx>
    <mdx n="0" f="m">
      <t c="2">
        <n x="306"/>
        <n x="4"/>
      </t>
    </mdx>
    <mdx n="0" f="m">
      <t c="1">
        <n x="306"/>
      </t>
    </mdx>
    <mdx n="0" f="m">
      <t c="2">
        <n x="307"/>
        <n x="10"/>
      </t>
    </mdx>
    <mdx n="0" f="m">
      <t c="1">
        <n x="307"/>
      </t>
    </mdx>
    <mdx n="0" f="m">
      <t c="2">
        <n x="308"/>
        <n x="10"/>
      </t>
    </mdx>
    <mdx n="0" f="m">
      <t c="1">
        <n x="308"/>
      </t>
    </mdx>
    <mdx n="0" f="m">
      <t c="2">
        <n x="309"/>
        <n x="4"/>
      </t>
    </mdx>
    <mdx n="0" f="m">
      <t c="1">
        <n x="309"/>
      </t>
    </mdx>
    <mdx n="0" f="m">
      <t c="2">
        <n x="310"/>
        <n x="4"/>
      </t>
    </mdx>
    <mdx n="0" f="m">
      <t c="1">
        <n x="310"/>
      </t>
    </mdx>
    <mdx n="0" f="m">
      <t c="2">
        <n x="311"/>
        <n x="4"/>
      </t>
    </mdx>
    <mdx n="0" f="m">
      <t c="1">
        <n x="311"/>
      </t>
    </mdx>
    <mdx n="0" f="m">
      <t c="2">
        <n x="312"/>
        <n x="10"/>
      </t>
    </mdx>
    <mdx n="0" f="m">
      <t c="1">
        <n x="312"/>
      </t>
    </mdx>
    <mdx n="0" f="m">
      <t c="2">
        <n x="313"/>
        <n x="10"/>
      </t>
    </mdx>
    <mdx n="0" f="m">
      <t c="1">
        <n x="313"/>
      </t>
    </mdx>
    <mdx n="0" f="m">
      <t c="2">
        <n x="314"/>
        <n x="10"/>
      </t>
    </mdx>
    <mdx n="0" f="m">
      <t c="1">
        <n x="314"/>
      </t>
    </mdx>
    <mdx n="0" f="m">
      <t c="2">
        <n x="315"/>
        <n x="10"/>
      </t>
    </mdx>
    <mdx n="0" f="m">
      <t c="1">
        <n x="315"/>
      </t>
    </mdx>
    <mdx n="0" f="m">
      <t c="2">
        <n x="316"/>
        <n x="4"/>
      </t>
    </mdx>
    <mdx n="0" f="m">
      <t c="1">
        <n x="316"/>
      </t>
    </mdx>
    <mdx n="0" f="m">
      <t c="2">
        <n x="317"/>
        <n x="4"/>
      </t>
    </mdx>
    <mdx n="0" f="m">
      <t c="1">
        <n x="317"/>
      </t>
    </mdx>
    <mdx n="0" f="m">
      <t c="2">
        <n x="318"/>
        <n x="10"/>
      </t>
    </mdx>
    <mdx n="0" f="m">
      <t c="1">
        <n x="318"/>
      </t>
    </mdx>
    <mdx n="0" f="m">
      <t c="2">
        <n x="319"/>
        <n x="4"/>
      </t>
    </mdx>
    <mdx n="0" f="m">
      <t c="1">
        <n x="319"/>
      </t>
    </mdx>
    <mdx n="0" f="m">
      <t c="2">
        <n x="320"/>
        <n x="4"/>
      </t>
    </mdx>
    <mdx n="0" f="m">
      <t c="1">
        <n x="320"/>
      </t>
    </mdx>
    <mdx n="0" f="m">
      <t c="2">
        <n x="321"/>
        <n x="10"/>
      </t>
    </mdx>
    <mdx n="0" f="m">
      <t c="1">
        <n x="321"/>
      </t>
    </mdx>
    <mdx n="0" f="m">
      <t c="2">
        <n x="322"/>
        <n x="10"/>
      </t>
    </mdx>
    <mdx n="0" f="m">
      <t c="1">
        <n x="322"/>
      </t>
    </mdx>
    <mdx n="0" f="m">
      <t c="2">
        <n x="323"/>
        <n x="10"/>
      </t>
    </mdx>
    <mdx n="0" f="m">
      <t c="1">
        <n x="323"/>
      </t>
    </mdx>
    <mdx n="0" f="m">
      <t c="2">
        <n x="324"/>
        <n x="4"/>
      </t>
    </mdx>
    <mdx n="0" f="m">
      <t c="1">
        <n x="324"/>
      </t>
    </mdx>
    <mdx n="0" f="m">
      <t c="2">
        <n x="325"/>
        <n x="10"/>
      </t>
    </mdx>
    <mdx n="0" f="m">
      <t c="1">
        <n x="325"/>
      </t>
    </mdx>
    <mdx n="0" f="m">
      <t c="2">
        <n x="326"/>
        <n x="4"/>
      </t>
    </mdx>
    <mdx n="0" f="m">
      <t c="1">
        <n x="326"/>
      </t>
    </mdx>
    <mdx n="0" f="m">
      <t c="2">
        <n x="327"/>
        <n x="10"/>
      </t>
    </mdx>
    <mdx n="0" f="m">
      <t c="1">
        <n x="327"/>
      </t>
    </mdx>
    <mdx n="0" f="m">
      <t c="2">
        <n x="328"/>
        <n x="4"/>
      </t>
    </mdx>
    <mdx n="0" f="m">
      <t c="1">
        <n x="328"/>
      </t>
    </mdx>
    <mdx n="0" f="m">
      <t c="2">
        <n x="329"/>
        <n x="10"/>
      </t>
    </mdx>
    <mdx n="0" f="m">
      <t c="1">
        <n x="329"/>
      </t>
    </mdx>
    <mdx n="0" f="m">
      <t c="2">
        <n x="330"/>
        <n x="10"/>
      </t>
    </mdx>
    <mdx n="0" f="m">
      <t c="1">
        <n x="330"/>
      </t>
    </mdx>
    <mdx n="0" f="m">
      <t c="2">
        <n x="331"/>
        <n x="7"/>
      </t>
    </mdx>
    <mdx n="0" f="m">
      <t c="1">
        <n x="331"/>
      </t>
    </mdx>
    <mdx n="0" f="m">
      <t c="2">
        <n x="332"/>
        <n x="4"/>
      </t>
    </mdx>
    <mdx n="0" f="m">
      <t c="1">
        <n x="332"/>
      </t>
    </mdx>
    <mdx n="0" f="m">
      <t c="2">
        <n x="333"/>
        <n x="4"/>
      </t>
    </mdx>
    <mdx n="0" f="m">
      <t c="1">
        <n x="333"/>
      </t>
    </mdx>
    <mdx n="0" f="m">
      <t c="2">
        <n x="334"/>
        <n x="7"/>
      </t>
    </mdx>
    <mdx n="0" f="m">
      <t c="1">
        <n x="334"/>
      </t>
    </mdx>
    <mdx n="0" f="m">
      <t c="2">
        <n x="335"/>
        <n x="10"/>
      </t>
    </mdx>
    <mdx n="0" f="m">
      <t c="1">
        <n x="335"/>
      </t>
    </mdx>
    <mdx n="0" f="m">
      <t c="2">
        <n x="336"/>
        <n x="10"/>
      </t>
    </mdx>
    <mdx n="0" f="m">
      <t c="1">
        <n x="336"/>
      </t>
    </mdx>
    <mdx n="0" f="m">
      <t c="2">
        <n x="337"/>
        <n x="4"/>
      </t>
    </mdx>
    <mdx n="0" f="m">
      <t c="1">
        <n x="337"/>
      </t>
    </mdx>
    <mdx n="0" f="m">
      <t c="2">
        <n x="338"/>
        <n x="7"/>
      </t>
    </mdx>
    <mdx n="0" f="m">
      <t c="1">
        <n x="338"/>
      </t>
    </mdx>
    <mdx n="0" f="m">
      <t c="2">
        <n x="339"/>
        <n x="10"/>
      </t>
    </mdx>
    <mdx n="0" f="m">
      <t c="1">
        <n x="339"/>
      </t>
    </mdx>
    <mdx n="0" f="m">
      <t c="2">
        <n x="340"/>
        <n x="4"/>
      </t>
    </mdx>
    <mdx n="0" f="m">
      <t c="1">
        <n x="340"/>
      </t>
    </mdx>
    <mdx n="0" f="m">
      <t c="2">
        <n x="341"/>
        <n x="4"/>
      </t>
    </mdx>
    <mdx n="0" f="m">
      <t c="1">
        <n x="341"/>
      </t>
    </mdx>
    <mdx n="0" f="m">
      <t c="2">
        <n x="342"/>
        <n x="10"/>
      </t>
    </mdx>
    <mdx n="0" f="m">
      <t c="1">
        <n x="342"/>
      </t>
    </mdx>
    <mdx n="0" f="m">
      <t c="2">
        <n x="343"/>
        <n x="4"/>
      </t>
    </mdx>
    <mdx n="0" f="m">
      <t c="1">
        <n x="343"/>
      </t>
    </mdx>
    <mdx n="0" f="m">
      <t c="2">
        <n x="344"/>
        <n x="10"/>
      </t>
    </mdx>
    <mdx n="0" f="m">
      <t c="1">
        <n x="344"/>
      </t>
    </mdx>
    <mdx n="0" f="m">
      <t c="2">
        <n x="345"/>
        <n x="4"/>
      </t>
    </mdx>
    <mdx n="0" f="m">
      <t c="1">
        <n x="345"/>
      </t>
    </mdx>
    <mdx n="0" f="m">
      <t c="2">
        <n x="346"/>
        <n x="4"/>
      </t>
    </mdx>
    <mdx n="0" f="m">
      <t c="1">
        <n x="346"/>
      </t>
    </mdx>
    <mdx n="0" f="m">
      <t c="2">
        <n x="347"/>
        <n x="10"/>
      </t>
    </mdx>
    <mdx n="0" f="m">
      <t c="1">
        <n x="347"/>
      </t>
    </mdx>
    <mdx n="0" f="m">
      <t c="2">
        <n x="348"/>
        <n x="4"/>
      </t>
    </mdx>
    <mdx n="0" f="m">
      <t c="1">
        <n x="348"/>
      </t>
    </mdx>
    <mdx n="0" f="m">
      <t c="2">
        <n x="349"/>
        <n x="10"/>
      </t>
    </mdx>
    <mdx n="0" f="m">
      <t c="1">
        <n x="349"/>
      </t>
    </mdx>
    <mdx n="0" f="m">
      <t c="2">
        <n x="350"/>
        <n x="10"/>
      </t>
    </mdx>
    <mdx n="0" f="m">
      <t c="1">
        <n x="350"/>
      </t>
    </mdx>
    <mdx n="0" f="m">
      <t c="2">
        <n x="351"/>
        <n x="10"/>
      </t>
    </mdx>
    <mdx n="0" f="m">
      <t c="1">
        <n x="351"/>
      </t>
    </mdx>
    <mdx n="0" f="m">
      <t c="2">
        <n x="352"/>
        <n x="4"/>
      </t>
    </mdx>
    <mdx n="0" f="m">
      <t c="1">
        <n x="352"/>
      </t>
    </mdx>
    <mdx n="0" f="m">
      <t c="2">
        <n x="353"/>
        <n x="10"/>
      </t>
    </mdx>
    <mdx n="0" f="m">
      <t c="1">
        <n x="353"/>
      </t>
    </mdx>
    <mdx n="0" f="m">
      <t c="2">
        <n x="354"/>
        <n x="7"/>
      </t>
    </mdx>
    <mdx n="0" f="m">
      <t c="1">
        <n x="354"/>
      </t>
    </mdx>
    <mdx n="0" f="m">
      <t c="2">
        <n x="355"/>
        <n x="10"/>
      </t>
    </mdx>
    <mdx n="0" f="m">
      <t c="1">
        <n x="355"/>
      </t>
    </mdx>
    <mdx n="0" f="m">
      <t c="2">
        <n x="356"/>
        <n x="4"/>
      </t>
    </mdx>
    <mdx n="0" f="m">
      <t c="1">
        <n x="356"/>
      </t>
    </mdx>
    <mdx n="0" f="m">
      <t c="2">
        <n x="357"/>
        <n x="7"/>
      </t>
    </mdx>
    <mdx n="0" f="m">
      <t c="1">
        <n x="357"/>
      </t>
    </mdx>
    <mdx n="0" f="m">
      <t c="2">
        <n x="358"/>
        <n x="10"/>
      </t>
    </mdx>
    <mdx n="0" f="m">
      <t c="1">
        <n x="358"/>
      </t>
    </mdx>
    <mdx n="0" f="m">
      <t c="2">
        <n x="359"/>
        <n x="10"/>
      </t>
    </mdx>
    <mdx n="0" f="m">
      <t c="1">
        <n x="359"/>
      </t>
    </mdx>
    <mdx n="0" f="m">
      <t c="2">
        <n x="360"/>
        <n x="10"/>
      </t>
    </mdx>
    <mdx n="0" f="m">
      <t c="1">
        <n x="360"/>
      </t>
    </mdx>
    <mdx n="0" f="m">
      <t c="2">
        <n x="361"/>
        <n x="4"/>
      </t>
    </mdx>
    <mdx n="0" f="m">
      <t c="1">
        <n x="361"/>
      </t>
    </mdx>
    <mdx n="0" f="m">
      <t c="2">
        <n x="362"/>
        <n x="4"/>
      </t>
    </mdx>
    <mdx n="0" f="m">
      <t c="1">
        <n x="362"/>
      </t>
    </mdx>
    <mdx n="0" f="m">
      <t c="2">
        <n x="363"/>
        <n x="10"/>
      </t>
    </mdx>
    <mdx n="0" f="m">
      <t c="1">
        <n x="363"/>
      </t>
    </mdx>
    <mdx n="0" f="m">
      <t c="2">
        <n x="364"/>
        <n x="4"/>
      </t>
    </mdx>
    <mdx n="0" f="m">
      <t c="1">
        <n x="364"/>
      </t>
    </mdx>
    <mdx n="0" f="m">
      <t c="2">
        <n x="365"/>
        <n x="10"/>
      </t>
    </mdx>
    <mdx n="0" f="m">
      <t c="1">
        <n x="365"/>
      </t>
    </mdx>
    <mdx n="0" f="m">
      <t c="2">
        <n x="366"/>
        <n x="10"/>
      </t>
    </mdx>
    <mdx n="0" f="m">
      <t c="1">
        <n x="366"/>
      </t>
    </mdx>
    <mdx n="0" f="m">
      <t c="2">
        <n x="367"/>
        <n x="4"/>
      </t>
    </mdx>
    <mdx n="0" f="m">
      <t c="1">
        <n x="367"/>
      </t>
    </mdx>
    <mdx n="0" f="m">
      <t c="2">
        <n x="368"/>
        <n x="10"/>
      </t>
    </mdx>
    <mdx n="0" f="m">
      <t c="1">
        <n x="368"/>
      </t>
    </mdx>
    <mdx n="0" f="m">
      <t c="2">
        <n x="369"/>
        <n x="10"/>
      </t>
    </mdx>
    <mdx n="0" f="m">
      <t c="1">
        <n x="369"/>
      </t>
    </mdx>
    <mdx n="0" f="m">
      <t c="2">
        <n x="370"/>
        <n x="10"/>
      </t>
    </mdx>
    <mdx n="0" f="m">
      <t c="1">
        <n x="370"/>
      </t>
    </mdx>
    <mdx n="0" f="m">
      <t c="2">
        <n x="371"/>
        <n x="10"/>
      </t>
    </mdx>
    <mdx n="0" f="m">
      <t c="1">
        <n x="371"/>
      </t>
    </mdx>
    <mdx n="0" f="m">
      <t c="2">
        <n x="372"/>
        <n x="10"/>
      </t>
    </mdx>
    <mdx n="0" f="m">
      <t c="1">
        <n x="372"/>
      </t>
    </mdx>
    <mdx n="0" f="m">
      <t c="2">
        <n x="373"/>
        <n x="7"/>
      </t>
    </mdx>
    <mdx n="0" f="m">
      <t c="1">
        <n x="373"/>
      </t>
    </mdx>
    <mdx n="0" f="m">
      <t c="2">
        <n x="374"/>
        <n x="4"/>
      </t>
    </mdx>
    <mdx n="0" f="m">
      <t c="1">
        <n x="374"/>
      </t>
    </mdx>
    <mdx n="0" f="m">
      <t c="2">
        <n x="375"/>
        <n x="4"/>
      </t>
    </mdx>
    <mdx n="0" f="m">
      <t c="1">
        <n x="375"/>
      </t>
    </mdx>
    <mdx n="0" f="m">
      <t c="2">
        <n x="376"/>
        <n x="10"/>
      </t>
    </mdx>
    <mdx n="0" f="m">
      <t c="1">
        <n x="376"/>
      </t>
    </mdx>
    <mdx n="0" f="m">
      <t c="2">
        <n x="377"/>
        <n x="10"/>
      </t>
    </mdx>
    <mdx n="0" f="m">
      <t c="1">
        <n x="377"/>
      </t>
    </mdx>
    <mdx n="0" f="m">
      <t c="2">
        <n x="378"/>
        <n x="10"/>
      </t>
    </mdx>
    <mdx n="0" f="m">
      <t c="1">
        <n x="378"/>
      </t>
    </mdx>
    <mdx n="0" f="m">
      <t c="2">
        <n x="379"/>
        <n x="10"/>
      </t>
    </mdx>
    <mdx n="0" f="m">
      <t c="1">
        <n x="379"/>
      </t>
    </mdx>
    <mdx n="0" f="m">
      <t c="2">
        <n x="380"/>
        <n x="4"/>
      </t>
    </mdx>
    <mdx n="0" f="m">
      <t c="1">
        <n x="380"/>
      </t>
    </mdx>
    <mdx n="0" f="m">
      <t c="2">
        <n x="381"/>
        <n x="4"/>
      </t>
    </mdx>
    <mdx n="0" f="m">
      <t c="1">
        <n x="381"/>
      </t>
    </mdx>
    <mdx n="0" f="m">
      <t c="2">
        <n x="382"/>
        <n x="10"/>
      </t>
    </mdx>
    <mdx n="0" f="m">
      <t c="1">
        <n x="382"/>
      </t>
    </mdx>
    <mdx n="0" f="m">
      <t c="2">
        <n x="383"/>
        <n x="4"/>
      </t>
    </mdx>
    <mdx n="0" f="m">
      <t c="1">
        <n x="383"/>
      </t>
    </mdx>
    <mdx n="0" f="m">
      <t c="2">
        <n x="384"/>
        <n x="10"/>
      </t>
    </mdx>
    <mdx n="0" f="m">
      <t c="1">
        <n x="384"/>
      </t>
    </mdx>
    <mdx n="0" f="m">
      <t c="2">
        <n x="385"/>
        <n x="4"/>
      </t>
    </mdx>
    <mdx n="0" f="m">
      <t c="1">
        <n x="385"/>
      </t>
    </mdx>
    <mdx n="0" f="m">
      <t c="2">
        <n x="386"/>
        <n x="4"/>
      </t>
    </mdx>
    <mdx n="0" f="m">
      <t c="1">
        <n x="386"/>
      </t>
    </mdx>
    <mdx n="0" f="m">
      <t c="2">
        <n x="387"/>
        <n x="4"/>
      </t>
    </mdx>
    <mdx n="0" f="m">
      <t c="1">
        <n x="387"/>
      </t>
    </mdx>
    <mdx n="0" f="m">
      <t c="2">
        <n x="388"/>
        <n x="4"/>
      </t>
    </mdx>
    <mdx n="0" f="m">
      <t c="1">
        <n x="388"/>
      </t>
    </mdx>
    <mdx n="0" f="m">
      <t c="2">
        <n x="389"/>
        <n x="4"/>
      </t>
    </mdx>
    <mdx n="0" f="m">
      <t c="1">
        <n x="389"/>
      </t>
    </mdx>
    <mdx n="0" f="m">
      <t c="2">
        <n x="390"/>
        <n x="10"/>
      </t>
    </mdx>
    <mdx n="0" f="m">
      <t c="1">
        <n x="390"/>
      </t>
    </mdx>
    <mdx n="0" f="m">
      <t c="2">
        <n x="391"/>
        <n x="10"/>
      </t>
    </mdx>
    <mdx n="0" f="m">
      <t c="1">
        <n x="391"/>
      </t>
    </mdx>
    <mdx n="0" f="m">
      <t c="2">
        <n x="392"/>
        <n x="7"/>
      </t>
    </mdx>
    <mdx n="0" f="m">
      <t c="1">
        <n x="392"/>
      </t>
    </mdx>
    <mdx n="0" f="m">
      <t c="2">
        <n x="393"/>
        <n x="10"/>
      </t>
    </mdx>
    <mdx n="0" f="m">
      <t c="1">
        <n x="393"/>
      </t>
    </mdx>
    <mdx n="0" f="m">
      <t c="2">
        <n x="394"/>
        <n x="4"/>
      </t>
    </mdx>
    <mdx n="0" f="m">
      <t c="1">
        <n x="394"/>
      </t>
    </mdx>
    <mdx n="0" f="m">
      <t c="2">
        <n x="395"/>
        <n x="10"/>
      </t>
    </mdx>
    <mdx n="0" f="m">
      <t c="1">
        <n x="395"/>
      </t>
    </mdx>
    <mdx n="0" f="m">
      <t c="2">
        <n x="396"/>
        <n x="10"/>
      </t>
    </mdx>
    <mdx n="0" f="m">
      <t c="1">
        <n x="396"/>
      </t>
    </mdx>
    <mdx n="0" f="m">
      <t c="2">
        <n x="397"/>
        <n x="4"/>
      </t>
    </mdx>
    <mdx n="0" f="m">
      <t c="1">
        <n x="397"/>
      </t>
    </mdx>
    <mdx n="0" f="m">
      <t c="2">
        <n x="398"/>
        <n x="10"/>
      </t>
    </mdx>
    <mdx n="0" f="m">
      <t c="1">
        <n x="398"/>
      </t>
    </mdx>
    <mdx n="0" f="m">
      <t c="2">
        <n x="399"/>
        <n x="10"/>
      </t>
    </mdx>
    <mdx n="0" f="m">
      <t c="1">
        <n x="399"/>
      </t>
    </mdx>
    <mdx n="0" f="m">
      <t c="2">
        <n x="400"/>
        <n x="4"/>
      </t>
    </mdx>
    <mdx n="0" f="m">
      <t c="1">
        <n x="400"/>
      </t>
    </mdx>
    <mdx n="0" f="m">
      <t c="2">
        <n x="401"/>
        <n x="7"/>
      </t>
    </mdx>
    <mdx n="0" f="m">
      <t c="1">
        <n x="401"/>
      </t>
    </mdx>
    <mdx n="0" f="m">
      <t c="2">
        <n x="402"/>
        <n x="10"/>
      </t>
    </mdx>
    <mdx n="0" f="m">
      <t c="1">
        <n x="402"/>
      </t>
    </mdx>
    <mdx n="0" f="m">
      <t c="2">
        <n x="403"/>
        <n x="7"/>
      </t>
    </mdx>
    <mdx n="0" f="m">
      <t c="1">
        <n x="403"/>
      </t>
    </mdx>
    <mdx n="0" f="m">
      <t c="2">
        <n x="404"/>
        <n x="10"/>
      </t>
    </mdx>
    <mdx n="0" f="m">
      <t c="1">
        <n x="404"/>
      </t>
    </mdx>
    <mdx n="0" f="m">
      <t c="2">
        <n x="405"/>
        <n x="10"/>
      </t>
    </mdx>
    <mdx n="0" f="m">
      <t c="1">
        <n x="405"/>
      </t>
    </mdx>
    <mdx n="0" f="m">
      <t c="2">
        <n x="406"/>
        <n x="10"/>
      </t>
    </mdx>
    <mdx n="0" f="m">
      <t c="1">
        <n x="406"/>
      </t>
    </mdx>
    <mdx n="0" f="m">
      <t c="2">
        <n x="407"/>
        <n x="4"/>
      </t>
    </mdx>
    <mdx n="0" f="m">
      <t c="1">
        <n x="407"/>
      </t>
    </mdx>
    <mdx n="0" f="m">
      <t c="2">
        <n x="408"/>
        <n x="4"/>
      </t>
    </mdx>
    <mdx n="0" f="m">
      <t c="1">
        <n x="408"/>
      </t>
    </mdx>
    <mdx n="0" f="m">
      <t c="2">
        <n x="409"/>
        <n x="4"/>
      </t>
    </mdx>
    <mdx n="0" f="m">
      <t c="1">
        <n x="409"/>
      </t>
    </mdx>
    <mdx n="0" f="m">
      <t c="2">
        <n x="410"/>
        <n x="10"/>
      </t>
    </mdx>
    <mdx n="0" f="m">
      <t c="1">
        <n x="410"/>
      </t>
    </mdx>
    <mdx n="0" f="m">
      <t c="2">
        <n x="411"/>
        <n x="4"/>
      </t>
    </mdx>
    <mdx n="0" f="m">
      <t c="1">
        <n x="411"/>
      </t>
    </mdx>
    <mdx n="0" f="m">
      <t c="2">
        <n x="412"/>
        <n x="4"/>
      </t>
    </mdx>
    <mdx n="0" f="m">
      <t c="1">
        <n x="412"/>
      </t>
    </mdx>
    <mdx n="0" f="m">
      <t c="2">
        <n x="413"/>
        <n x="4"/>
      </t>
    </mdx>
    <mdx n="0" f="m">
      <t c="1">
        <n x="413"/>
      </t>
    </mdx>
    <mdx n="0" f="m">
      <t c="2">
        <n x="414"/>
        <n x="10"/>
      </t>
    </mdx>
    <mdx n="0" f="m">
      <t c="1">
        <n x="414"/>
      </t>
    </mdx>
    <mdx n="0" f="m">
      <t c="2">
        <n x="415"/>
        <n x="10"/>
      </t>
    </mdx>
    <mdx n="0" f="m">
      <t c="1">
        <n x="415"/>
      </t>
    </mdx>
    <mdx n="0" f="m">
      <t c="2">
        <n x="416"/>
        <n x="7"/>
      </t>
    </mdx>
    <mdx n="0" f="m">
      <t c="1">
        <n x="416"/>
      </t>
    </mdx>
    <mdx n="0" f="m">
      <t c="2">
        <n x="417"/>
        <n x="10"/>
      </t>
    </mdx>
    <mdx n="0" f="m">
      <t c="1">
        <n x="417"/>
      </t>
    </mdx>
    <mdx n="0" f="m">
      <t c="2">
        <n x="418"/>
        <n x="4"/>
      </t>
    </mdx>
    <mdx n="0" f="m">
      <t c="1">
        <n x="418"/>
      </t>
    </mdx>
    <mdx n="0" f="m">
      <t c="2">
        <n x="419"/>
        <n x="4"/>
      </t>
    </mdx>
    <mdx n="0" f="m">
      <t c="1">
        <n x="419"/>
      </t>
    </mdx>
    <mdx n="0" f="m">
      <t c="2">
        <n x="420"/>
        <n x="10"/>
      </t>
    </mdx>
    <mdx n="0" f="m">
      <t c="1">
        <n x="420"/>
      </t>
    </mdx>
    <mdx n="0" f="m">
      <t c="2">
        <n x="421"/>
        <n x="10"/>
      </t>
    </mdx>
    <mdx n="0" f="m">
      <t c="1">
        <n x="421"/>
      </t>
    </mdx>
    <mdx n="0" f="m">
      <t c="2">
        <n x="422"/>
        <n x="7"/>
      </t>
    </mdx>
    <mdx n="0" f="m">
      <t c="1">
        <n x="422"/>
      </t>
    </mdx>
    <mdx n="0" f="m">
      <t c="2">
        <n x="423"/>
        <n x="4"/>
      </t>
    </mdx>
    <mdx n="0" f="m">
      <t c="1">
        <n x="423"/>
      </t>
    </mdx>
    <mdx n="0" f="m">
      <t c="2">
        <n x="424"/>
        <n x="4"/>
      </t>
    </mdx>
    <mdx n="0" f="m">
      <t c="1">
        <n x="424"/>
      </t>
    </mdx>
    <mdx n="0" f="m">
      <t c="2">
        <n x="425"/>
        <n x="4"/>
      </t>
    </mdx>
    <mdx n="0" f="m">
      <t c="1">
        <n x="425"/>
      </t>
    </mdx>
    <mdx n="0" f="m">
      <t c="2">
        <n x="426"/>
        <n x="7"/>
      </t>
    </mdx>
    <mdx n="0" f="m">
      <t c="1">
        <n x="426"/>
      </t>
    </mdx>
    <mdx n="0" f="m">
      <t c="2">
        <n x="427"/>
        <n x="10"/>
      </t>
    </mdx>
    <mdx n="0" f="m">
      <t c="1">
        <n x="427"/>
      </t>
    </mdx>
    <mdx n="0" f="m">
      <t c="2">
        <n x="428"/>
        <n x="4"/>
      </t>
    </mdx>
    <mdx n="0" f="m">
      <t c="1">
        <n x="428"/>
      </t>
    </mdx>
    <mdx n="0" f="m">
      <t c="2">
        <n x="429"/>
        <n x="4"/>
      </t>
    </mdx>
    <mdx n="0" f="m">
      <t c="1">
        <n x="429"/>
      </t>
    </mdx>
    <mdx n="0" f="m">
      <t c="2">
        <n x="430"/>
        <n x="7"/>
      </t>
    </mdx>
    <mdx n="0" f="m">
      <t c="1">
        <n x="430"/>
      </t>
    </mdx>
    <mdx n="0" f="m">
      <t c="2">
        <n x="431"/>
        <n x="4"/>
      </t>
    </mdx>
    <mdx n="0" f="m">
      <t c="1">
        <n x="431"/>
      </t>
    </mdx>
    <mdx n="0" f="m">
      <t c="2">
        <n x="432"/>
        <n x="10"/>
      </t>
    </mdx>
    <mdx n="0" f="m">
      <t c="1">
        <n x="432"/>
      </t>
    </mdx>
    <mdx n="0" f="m">
      <t c="2">
        <n x="433"/>
        <n x="10"/>
      </t>
    </mdx>
    <mdx n="0" f="m">
      <t c="1">
        <n x="433"/>
      </t>
    </mdx>
    <mdx n="0" f="m">
      <t c="2">
        <n x="434"/>
        <n x="10"/>
      </t>
    </mdx>
    <mdx n="0" f="m">
      <t c="1">
        <n x="434"/>
      </t>
    </mdx>
    <mdx n="0" f="m">
      <t c="2">
        <n x="435"/>
        <n x="10"/>
      </t>
    </mdx>
    <mdx n="0" f="m">
      <t c="1">
        <n x="435"/>
      </t>
    </mdx>
    <mdx n="0" f="m">
      <t c="2">
        <n x="436"/>
        <n x="4"/>
      </t>
    </mdx>
    <mdx n="0" f="m">
      <t c="1">
        <n x="436"/>
      </t>
    </mdx>
    <mdx n="0" f="m">
      <t c="2">
        <n x="437"/>
        <n x="10"/>
      </t>
    </mdx>
    <mdx n="0" f="m">
      <t c="1">
        <n x="437"/>
      </t>
    </mdx>
    <mdx n="0" f="m">
      <t c="2">
        <n x="438"/>
        <n x="10"/>
      </t>
    </mdx>
    <mdx n="0" f="m">
      <t c="1">
        <n x="438"/>
      </t>
    </mdx>
    <mdx n="0" f="m">
      <t c="2">
        <n x="439"/>
        <n x="10"/>
      </t>
    </mdx>
    <mdx n="0" f="m">
      <t c="1">
        <n x="439"/>
      </t>
    </mdx>
    <mdx n="0" f="m">
      <t c="2">
        <n x="440"/>
        <n x="7"/>
      </t>
    </mdx>
    <mdx n="0" f="m">
      <t c="1">
        <n x="440"/>
      </t>
    </mdx>
    <mdx n="0" f="m">
      <t c="2">
        <n x="441"/>
        <n x="10"/>
      </t>
    </mdx>
    <mdx n="0" f="m">
      <t c="1">
        <n x="441"/>
      </t>
    </mdx>
    <mdx n="0" f="m">
      <t c="2">
        <n x="442"/>
        <n x="7"/>
      </t>
    </mdx>
    <mdx n="0" f="m">
      <t c="1">
        <n x="442"/>
      </t>
    </mdx>
    <mdx n="0" f="m">
      <t c="2">
        <n x="443"/>
        <n x="4"/>
      </t>
    </mdx>
    <mdx n="0" f="m">
      <t c="1">
        <n x="443"/>
      </t>
    </mdx>
    <mdx n="0" f="m">
      <t c="2">
        <n x="444"/>
        <n x="4"/>
      </t>
    </mdx>
    <mdx n="0" f="m">
      <t c="1">
        <n x="444"/>
      </t>
    </mdx>
    <mdx n="0" f="m">
      <t c="2">
        <n x="445"/>
        <n x="4"/>
      </t>
    </mdx>
    <mdx n="0" f="m">
      <t c="1">
        <n x="445"/>
      </t>
    </mdx>
    <mdx n="0" f="m">
      <t c="2">
        <n x="446"/>
        <n x="4"/>
      </t>
    </mdx>
    <mdx n="0" f="m">
      <t c="1">
        <n x="446"/>
      </t>
    </mdx>
    <mdx n="0" f="m">
      <t c="2">
        <n x="447"/>
        <n x="4"/>
      </t>
    </mdx>
    <mdx n="0" f="m">
      <t c="1">
        <n x="447"/>
      </t>
    </mdx>
    <mdx n="0" f="m">
      <t c="2">
        <n x="448"/>
        <n x="4"/>
      </t>
    </mdx>
    <mdx n="0" f="m">
      <t c="1">
        <n x="448"/>
      </t>
    </mdx>
    <mdx n="0" f="m">
      <t c="2">
        <n x="449"/>
        <n x="10"/>
      </t>
    </mdx>
    <mdx n="0" f="m">
      <t c="1">
        <n x="449"/>
      </t>
    </mdx>
    <mdx n="0" f="m">
      <t c="2">
        <n x="450"/>
        <n x="10"/>
      </t>
    </mdx>
    <mdx n="0" f="m">
      <t c="1">
        <n x="450"/>
      </t>
    </mdx>
    <mdx n="0" f="m">
      <t c="2">
        <n x="451"/>
        <n x="10"/>
      </t>
    </mdx>
    <mdx n="0" f="m">
      <t c="1">
        <n x="451"/>
      </t>
    </mdx>
    <mdx n="0" f="m">
      <t c="2">
        <n x="452"/>
        <n x="4"/>
      </t>
    </mdx>
    <mdx n="0" f="m">
      <t c="1">
        <n x="452"/>
      </t>
    </mdx>
    <mdx n="0" f="m">
      <t c="2">
        <n x="453"/>
        <n x="7"/>
      </t>
    </mdx>
    <mdx n="0" f="m">
      <t c="1">
        <n x="453"/>
      </t>
    </mdx>
    <mdx n="0" f="m">
      <t c="2">
        <n x="454"/>
        <n x="4"/>
      </t>
    </mdx>
    <mdx n="0" f="m">
      <t c="1">
        <n x="454"/>
      </t>
    </mdx>
    <mdx n="0" f="m">
      <t c="2">
        <n x="455"/>
        <n x="7"/>
      </t>
    </mdx>
    <mdx n="0" f="m">
      <t c="1">
        <n x="455"/>
      </t>
    </mdx>
    <mdx n="0" f="m">
      <t c="2">
        <n x="456"/>
        <n x="10"/>
      </t>
    </mdx>
    <mdx n="0" f="m">
      <t c="1">
        <n x="456"/>
      </t>
    </mdx>
    <mdx n="0" f="m">
      <t c="2">
        <n x="457"/>
        <n x="10"/>
      </t>
    </mdx>
    <mdx n="0" f="m">
      <t c="1">
        <n x="457"/>
      </t>
    </mdx>
    <mdx n="0" f="m">
      <t c="2">
        <n x="458"/>
        <n x="10"/>
      </t>
    </mdx>
    <mdx n="0" f="m">
      <t c="1">
        <n x="458"/>
      </t>
    </mdx>
    <mdx n="0" f="m">
      <t c="2">
        <n x="459"/>
        <n x="4"/>
      </t>
    </mdx>
    <mdx n="0" f="m">
      <t c="1">
        <n x="459"/>
      </t>
    </mdx>
    <mdx n="0" f="m">
      <t c="2">
        <n x="460"/>
        <n x="10"/>
      </t>
    </mdx>
    <mdx n="0" f="m">
      <t c="1">
        <n x="460"/>
      </t>
    </mdx>
    <mdx n="0" f="m">
      <t c="2">
        <n x="461"/>
        <n x="10"/>
      </t>
    </mdx>
    <mdx n="0" f="m">
      <t c="1">
        <n x="461"/>
      </t>
    </mdx>
    <mdx n="0" f="m">
      <t c="2">
        <n x="462"/>
        <n x="4"/>
      </t>
    </mdx>
    <mdx n="0" f="m">
      <t c="1">
        <n x="462"/>
      </t>
    </mdx>
    <mdx n="0" f="m">
      <t c="2">
        <n x="463"/>
        <n x="4"/>
      </t>
    </mdx>
    <mdx n="0" f="m">
      <t c="1">
        <n x="463"/>
      </t>
    </mdx>
    <mdx n="0" f="m">
      <t c="2">
        <n x="464"/>
        <n x="4"/>
      </t>
    </mdx>
    <mdx n="0" f="m">
      <t c="1">
        <n x="464"/>
      </t>
    </mdx>
    <mdx n="0" f="m">
      <t c="2">
        <n x="465"/>
        <n x="7"/>
      </t>
    </mdx>
    <mdx n="0" f="m">
      <t c="1">
        <n x="465"/>
      </t>
    </mdx>
    <mdx n="0" f="m">
      <t c="2">
        <n x="466"/>
        <n x="10"/>
      </t>
    </mdx>
    <mdx n="0" f="m">
      <t c="1">
        <n x="466"/>
      </t>
    </mdx>
    <mdx n="0" f="m">
      <t c="2">
        <n x="467"/>
        <n x="4"/>
      </t>
    </mdx>
    <mdx n="0" f="m">
      <t c="1">
        <n x="467"/>
      </t>
    </mdx>
    <mdx n="0" f="m">
      <t c="2">
        <n x="468"/>
        <n x="7"/>
      </t>
    </mdx>
    <mdx n="0" f="m">
      <t c="1">
        <n x="468"/>
      </t>
    </mdx>
    <mdx n="0" f="m">
      <t c="2">
        <n x="469"/>
        <n x="4"/>
      </t>
    </mdx>
    <mdx n="0" f="m">
      <t c="1">
        <n x="469"/>
      </t>
    </mdx>
    <mdx n="0" f="m">
      <t c="2">
        <n x="470"/>
        <n x="10"/>
      </t>
    </mdx>
    <mdx n="0" f="m">
      <t c="1">
        <n x="470"/>
      </t>
    </mdx>
    <mdx n="0" f="m">
      <t c="2">
        <n x="471"/>
        <n x="10"/>
      </t>
    </mdx>
    <mdx n="0" f="m">
      <t c="1">
        <n x="471"/>
      </t>
    </mdx>
    <mdx n="0" f="m">
      <t c="2">
        <n x="472"/>
        <n x="4"/>
      </t>
    </mdx>
    <mdx n="0" f="m">
      <t c="1">
        <n x="472"/>
      </t>
    </mdx>
    <mdx n="0" f="m">
      <t c="2">
        <n x="473"/>
        <n x="10"/>
      </t>
    </mdx>
    <mdx n="0" f="m">
      <t c="1">
        <n x="473"/>
      </t>
    </mdx>
    <mdx n="0" f="m">
      <t c="2">
        <n x="474"/>
        <n x="10"/>
      </t>
    </mdx>
    <mdx n="0" f="m">
      <t c="1">
        <n x="474"/>
      </t>
    </mdx>
    <mdx n="0" f="m">
      <t c="2">
        <n x="475"/>
        <n x="10"/>
      </t>
    </mdx>
    <mdx n="0" f="m">
      <t c="1">
        <n x="475"/>
      </t>
    </mdx>
    <mdx n="0" f="m">
      <t c="2">
        <n x="476"/>
        <n x="10"/>
      </t>
    </mdx>
    <mdx n="0" f="m">
      <t c="1">
        <n x="476"/>
      </t>
    </mdx>
    <mdx n="0" f="m">
      <t c="2">
        <n x="477"/>
        <n x="4"/>
      </t>
    </mdx>
    <mdx n="0" f="m">
      <t c="1">
        <n x="477"/>
      </t>
    </mdx>
    <mdx n="0" f="m">
      <t c="2">
        <n x="478"/>
        <n x="10"/>
      </t>
    </mdx>
    <mdx n="0" f="m">
      <t c="1">
        <n x="478"/>
      </t>
    </mdx>
    <mdx n="0" f="m">
      <t c="2">
        <n x="479"/>
        <n x="10"/>
      </t>
    </mdx>
    <mdx n="0" f="m">
      <t c="1">
        <n x="479"/>
      </t>
    </mdx>
    <mdx n="0" f="m">
      <t c="2">
        <n x="480"/>
        <n x="10"/>
      </t>
    </mdx>
    <mdx n="0" f="m">
      <t c="1">
        <n x="480"/>
      </t>
    </mdx>
    <mdx n="0" f="m">
      <t c="2">
        <n x="481"/>
        <n x="10"/>
      </t>
    </mdx>
    <mdx n="0" f="m">
      <t c="1">
        <n x="481"/>
      </t>
    </mdx>
    <mdx n="0" f="m">
      <t c="2">
        <n x="482"/>
        <n x="10"/>
      </t>
    </mdx>
    <mdx n="0" f="m">
      <t c="1">
        <n x="482"/>
      </t>
    </mdx>
    <mdx n="0" f="m">
      <t c="2">
        <n x="483"/>
        <n x="10"/>
      </t>
    </mdx>
    <mdx n="0" f="m">
      <t c="1">
        <n x="483"/>
      </t>
    </mdx>
    <mdx n="0" f="m">
      <t c="2">
        <n x="484"/>
        <n x="10"/>
      </t>
    </mdx>
    <mdx n="0" f="m">
      <t c="1">
        <n x="484"/>
      </t>
    </mdx>
    <mdx n="0" f="m">
      <t c="2">
        <n x="485"/>
        <n x="4"/>
      </t>
    </mdx>
    <mdx n="0" f="m">
      <t c="1">
        <n x="485"/>
      </t>
    </mdx>
    <mdx n="0" f="m">
      <t c="2">
        <n x="486"/>
        <n x="4"/>
      </t>
    </mdx>
    <mdx n="0" f="m">
      <t c="1">
        <n x="486"/>
      </t>
    </mdx>
    <mdx n="0" f="m">
      <t c="2">
        <n x="487"/>
        <n x="7"/>
      </t>
    </mdx>
    <mdx n="0" f="m">
      <t c="1">
        <n x="487"/>
      </t>
    </mdx>
    <mdx n="0" f="m">
      <t c="2">
        <n x="488"/>
        <n x="4"/>
      </t>
    </mdx>
    <mdx n="0" f="m">
      <t c="1">
        <n x="488"/>
      </t>
    </mdx>
    <mdx n="0" f="m">
      <t c="2">
        <n x="489"/>
        <n x="4"/>
      </t>
    </mdx>
    <mdx n="0" f="m">
      <t c="1">
        <n x="489"/>
      </t>
    </mdx>
    <mdx n="0" f="m">
      <t c="2">
        <n x="490"/>
        <n x="7"/>
      </t>
    </mdx>
    <mdx n="0" f="m">
      <t c="1">
        <n x="490"/>
      </t>
    </mdx>
    <mdx n="0" f="m">
      <t c="2">
        <n x="491"/>
        <n x="7"/>
      </t>
    </mdx>
    <mdx n="0" f="m">
      <t c="1">
        <n x="491"/>
      </t>
    </mdx>
    <mdx n="0" f="m">
      <t c="2">
        <n x="492"/>
        <n x="10"/>
      </t>
    </mdx>
    <mdx n="0" f="m">
      <t c="1">
        <n x="492"/>
      </t>
    </mdx>
    <mdx n="0" f="m">
      <t c="2">
        <n x="493"/>
        <n x="10"/>
      </t>
    </mdx>
    <mdx n="0" f="m">
      <t c="1">
        <n x="493"/>
      </t>
    </mdx>
    <mdx n="0" f="m">
      <t c="2">
        <n x="494"/>
        <n x="4"/>
      </t>
    </mdx>
    <mdx n="0" f="m">
      <t c="1">
        <n x="494"/>
      </t>
    </mdx>
    <mdx n="0" f="m">
      <t c="2">
        <n x="495"/>
        <n x="4"/>
      </t>
    </mdx>
    <mdx n="0" f="m">
      <t c="1">
        <n x="495"/>
      </t>
    </mdx>
    <mdx n="0" f="m">
      <t c="2">
        <n x="496"/>
        <n x="4"/>
      </t>
    </mdx>
    <mdx n="0" f="m">
      <t c="1">
        <n x="496"/>
      </t>
    </mdx>
    <mdx n="0" f="m">
      <t c="2">
        <n x="497"/>
        <n x="10"/>
      </t>
    </mdx>
    <mdx n="0" f="m">
      <t c="1">
        <n x="497"/>
      </t>
    </mdx>
    <mdx n="0" f="m">
      <t c="1">
        <n x="498"/>
      </t>
    </mdx>
    <mdx n="0" f="m">
      <t c="1">
        <n x="499"/>
      </t>
    </mdx>
    <mdx n="0" f="v">
      <t c="4" si="1">
        <n x="497"/>
        <n x="10"/>
        <n x="498"/>
        <n x="2" s="1"/>
      </t>
    </mdx>
    <mdx n="0" f="v">
      <t c="4" si="1">
        <n x="497"/>
        <n x="10"/>
        <n x="499"/>
        <n x="2" s="1"/>
      </t>
    </mdx>
    <mdx n="0" f="v">
      <t c="4" si="1">
        <n x="496"/>
        <n x="4"/>
        <n x="498"/>
        <n x="2" s="1"/>
      </t>
    </mdx>
    <mdx n="0" f="v">
      <t c="4" si="1">
        <n x="496"/>
        <n x="4"/>
        <n x="499"/>
        <n x="2" s="1"/>
      </t>
    </mdx>
    <mdx n="0" f="v">
      <t c="4" si="1">
        <n x="495"/>
        <n x="4"/>
        <n x="498"/>
        <n x="2" s="1"/>
      </t>
    </mdx>
    <mdx n="0" f="v">
      <t c="4" si="1">
        <n x="495"/>
        <n x="4"/>
        <n x="499"/>
        <n x="2" s="1"/>
      </t>
    </mdx>
    <mdx n="0" f="v">
      <t c="4" si="1">
        <n x="494"/>
        <n x="4"/>
        <n x="498"/>
        <n x="2" s="1"/>
      </t>
    </mdx>
    <mdx n="0" f="v">
      <t c="4" si="1">
        <n x="494"/>
        <n x="4"/>
        <n x="499"/>
        <n x="2" s="1"/>
      </t>
    </mdx>
    <mdx n="0" f="v">
      <t c="4" si="1">
        <n x="493"/>
        <n x="10"/>
        <n x="498"/>
        <n x="2" s="1"/>
      </t>
    </mdx>
    <mdx n="0" f="v">
      <t c="4" si="1">
        <n x="493"/>
        <n x="10"/>
        <n x="499"/>
        <n x="2" s="1"/>
      </t>
    </mdx>
    <mdx n="0" f="v">
      <t c="4" si="1">
        <n x="492"/>
        <n x="10"/>
        <n x="498"/>
        <n x="2" s="1"/>
      </t>
    </mdx>
    <mdx n="0" f="v">
      <t c="4" si="1">
        <n x="492"/>
        <n x="10"/>
        <n x="499"/>
        <n x="2" s="1"/>
      </t>
    </mdx>
    <mdx n="0" f="v">
      <t c="4" si="1">
        <n x="491"/>
        <n x="7"/>
        <n x="498"/>
        <n x="2" s="1"/>
      </t>
    </mdx>
    <mdx n="0" f="v">
      <t c="4" si="1">
        <n x="491"/>
        <n x="7"/>
        <n x="499"/>
        <n x="2" s="1"/>
      </t>
    </mdx>
    <mdx n="0" f="v">
      <t c="4" si="1">
        <n x="490"/>
        <n x="7"/>
        <n x="498"/>
        <n x="2" s="1"/>
      </t>
    </mdx>
    <mdx n="0" f="v">
      <t c="4" si="1">
        <n x="490"/>
        <n x="7"/>
        <n x="499"/>
        <n x="2" s="1"/>
      </t>
    </mdx>
    <mdx n="0" f="v">
      <t c="4" si="1">
        <n x="489"/>
        <n x="4"/>
        <n x="498"/>
        <n x="2" s="1"/>
      </t>
    </mdx>
    <mdx n="0" f="v">
      <t c="4" si="1">
        <n x="489"/>
        <n x="4"/>
        <n x="499"/>
        <n x="2" s="1"/>
      </t>
    </mdx>
    <mdx n="0" f="v">
      <t c="4" si="1">
        <n x="488"/>
        <n x="4"/>
        <n x="498"/>
        <n x="2" s="1"/>
      </t>
    </mdx>
    <mdx n="0" f="v">
      <t c="4" si="1">
        <n x="488"/>
        <n x="4"/>
        <n x="499"/>
        <n x="2" s="1"/>
      </t>
    </mdx>
    <mdx n="0" f="v">
      <t c="4" si="1">
        <n x="487"/>
        <n x="7"/>
        <n x="498"/>
        <n x="2" s="1"/>
      </t>
    </mdx>
    <mdx n="0" f="v">
      <t c="4" si="1">
        <n x="487"/>
        <n x="7"/>
        <n x="499"/>
        <n x="2" s="1"/>
      </t>
    </mdx>
    <mdx n="0" f="v">
      <t c="4" si="1">
        <n x="486"/>
        <n x="4"/>
        <n x="498"/>
        <n x="2" s="1"/>
      </t>
    </mdx>
    <mdx n="0" f="v">
      <t c="4" si="1">
        <n x="486"/>
        <n x="4"/>
        <n x="499"/>
        <n x="2" s="1"/>
      </t>
    </mdx>
    <mdx n="0" f="v">
      <t c="4" si="1">
        <n x="485"/>
        <n x="4"/>
        <n x="498"/>
        <n x="2" s="1"/>
      </t>
    </mdx>
    <mdx n="0" f="v">
      <t c="4" si="1">
        <n x="485"/>
        <n x="4"/>
        <n x="499"/>
        <n x="2" s="1"/>
      </t>
    </mdx>
    <mdx n="0" f="v">
      <t c="4" si="1">
        <n x="484"/>
        <n x="10"/>
        <n x="498"/>
        <n x="2" s="1"/>
      </t>
    </mdx>
    <mdx n="0" f="v">
      <t c="4" si="1">
        <n x="484"/>
        <n x="10"/>
        <n x="499"/>
        <n x="2" s="1"/>
      </t>
    </mdx>
    <mdx n="0" f="v">
      <t c="4" si="1">
        <n x="483"/>
        <n x="10"/>
        <n x="498"/>
        <n x="2" s="1"/>
      </t>
    </mdx>
    <mdx n="0" f="v">
      <t c="4" si="1">
        <n x="483"/>
        <n x="10"/>
        <n x="499"/>
        <n x="2" s="1"/>
      </t>
    </mdx>
    <mdx n="0" f="v">
      <t c="4" si="1">
        <n x="482"/>
        <n x="10"/>
        <n x="498"/>
        <n x="2" s="1"/>
      </t>
    </mdx>
    <mdx n="0" f="v">
      <t c="4" si="1">
        <n x="482"/>
        <n x="10"/>
        <n x="499"/>
        <n x="2" s="1"/>
      </t>
    </mdx>
    <mdx n="0" f="v">
      <t c="4" si="1">
        <n x="481"/>
        <n x="10"/>
        <n x="498"/>
        <n x="2" s="1"/>
      </t>
    </mdx>
    <mdx n="0" f="v">
      <t c="4" si="1">
        <n x="481"/>
        <n x="10"/>
        <n x="499"/>
        <n x="2" s="1"/>
      </t>
    </mdx>
    <mdx n="0" f="v">
      <t c="4" si="1">
        <n x="480"/>
        <n x="10"/>
        <n x="498"/>
        <n x="2" s="1"/>
      </t>
    </mdx>
    <mdx n="0" f="v">
      <t c="4" si="1">
        <n x="480"/>
        <n x="10"/>
        <n x="499"/>
        <n x="2" s="1"/>
      </t>
    </mdx>
    <mdx n="0" f="v">
      <t c="4" si="1">
        <n x="479"/>
        <n x="10"/>
        <n x="498"/>
        <n x="2" s="1"/>
      </t>
    </mdx>
    <mdx n="0" f="v">
      <t c="4" si="1">
        <n x="479"/>
        <n x="10"/>
        <n x="499"/>
        <n x="2" s="1"/>
      </t>
    </mdx>
    <mdx n="0" f="v">
      <t c="4" si="1">
        <n x="478"/>
        <n x="10"/>
        <n x="498"/>
        <n x="2" s="1"/>
      </t>
    </mdx>
    <mdx n="0" f="v">
      <t c="4" si="1">
        <n x="478"/>
        <n x="10"/>
        <n x="499"/>
        <n x="2" s="1"/>
      </t>
    </mdx>
    <mdx n="0" f="v">
      <t c="4" si="1">
        <n x="477"/>
        <n x="4"/>
        <n x="498"/>
        <n x="2" s="1"/>
      </t>
    </mdx>
    <mdx n="0" f="v">
      <t c="4" si="1">
        <n x="477"/>
        <n x="4"/>
        <n x="499"/>
        <n x="2" s="1"/>
      </t>
    </mdx>
    <mdx n="0" f="v">
      <t c="4" si="1">
        <n x="476"/>
        <n x="10"/>
        <n x="498"/>
        <n x="2" s="1"/>
      </t>
    </mdx>
    <mdx n="0" f="v">
      <t c="4" si="1">
        <n x="476"/>
        <n x="10"/>
        <n x="499"/>
        <n x="2" s="1"/>
      </t>
    </mdx>
    <mdx n="0" f="v">
      <t c="4" si="1">
        <n x="475"/>
        <n x="10"/>
        <n x="498"/>
        <n x="2" s="1"/>
      </t>
    </mdx>
    <mdx n="0" f="v">
      <t c="4" si="1">
        <n x="475"/>
        <n x="10"/>
        <n x="499"/>
        <n x="2" s="1"/>
      </t>
    </mdx>
    <mdx n="0" f="v">
      <t c="4" si="1">
        <n x="474"/>
        <n x="10"/>
        <n x="498"/>
        <n x="2" s="1"/>
      </t>
    </mdx>
    <mdx n="0" f="v">
      <t c="4" si="1">
        <n x="474"/>
        <n x="10"/>
        <n x="499"/>
        <n x="2" s="1"/>
      </t>
    </mdx>
    <mdx n="0" f="v">
      <t c="4" si="1">
        <n x="473"/>
        <n x="10"/>
        <n x="498"/>
        <n x="2" s="1"/>
      </t>
    </mdx>
    <mdx n="0" f="v">
      <t c="4" si="1">
        <n x="473"/>
        <n x="10"/>
        <n x="499"/>
        <n x="2" s="1"/>
      </t>
    </mdx>
    <mdx n="0" f="v">
      <t c="4" si="1">
        <n x="472"/>
        <n x="4"/>
        <n x="498"/>
        <n x="2" s="1"/>
      </t>
    </mdx>
    <mdx n="0" f="v">
      <t c="4" si="1">
        <n x="472"/>
        <n x="4"/>
        <n x="499"/>
        <n x="2" s="1"/>
      </t>
    </mdx>
    <mdx n="0" f="v">
      <t c="4" si="1">
        <n x="471"/>
        <n x="10"/>
        <n x="498"/>
        <n x="2" s="1"/>
      </t>
    </mdx>
    <mdx n="0" f="v">
      <t c="4" si="1">
        <n x="471"/>
        <n x="10"/>
        <n x="499"/>
        <n x="2" s="1"/>
      </t>
    </mdx>
    <mdx n="0" f="v">
      <t c="4" si="1">
        <n x="470"/>
        <n x="10"/>
        <n x="498"/>
        <n x="2" s="1"/>
      </t>
    </mdx>
    <mdx n="0" f="v">
      <t c="4" si="1">
        <n x="470"/>
        <n x="10"/>
        <n x="499"/>
        <n x="2" s="1"/>
      </t>
    </mdx>
    <mdx n="0" f="v">
      <t c="4" si="1">
        <n x="469"/>
        <n x="4"/>
        <n x="498"/>
        <n x="2" s="1"/>
      </t>
    </mdx>
    <mdx n="0" f="v">
      <t c="4" si="1">
        <n x="469"/>
        <n x="4"/>
        <n x="499"/>
        <n x="2" s="1"/>
      </t>
    </mdx>
    <mdx n="0" f="v">
      <t c="4" si="1">
        <n x="468"/>
        <n x="7"/>
        <n x="498"/>
        <n x="2" s="1"/>
      </t>
    </mdx>
    <mdx n="0" f="v">
      <t c="4" si="1">
        <n x="468"/>
        <n x="7"/>
        <n x="499"/>
        <n x="2" s="1"/>
      </t>
    </mdx>
    <mdx n="0" f="v">
      <t c="4" si="1">
        <n x="467"/>
        <n x="4"/>
        <n x="498"/>
        <n x="2" s="1"/>
      </t>
    </mdx>
    <mdx n="0" f="v">
      <t c="4" si="1">
        <n x="467"/>
        <n x="4"/>
        <n x="499"/>
        <n x="2" s="1"/>
      </t>
    </mdx>
    <mdx n="0" f="v">
      <t c="4" si="1">
        <n x="466"/>
        <n x="10"/>
        <n x="498"/>
        <n x="2" s="1"/>
      </t>
    </mdx>
    <mdx n="0" f="v">
      <t c="4" si="1">
        <n x="466"/>
        <n x="10"/>
        <n x="499"/>
        <n x="2" s="1"/>
      </t>
    </mdx>
    <mdx n="0" f="v">
      <t c="4" si="1">
        <n x="465"/>
        <n x="7"/>
        <n x="498"/>
        <n x="2" s="1"/>
      </t>
    </mdx>
    <mdx n="0" f="v">
      <t c="4" si="1">
        <n x="465"/>
        <n x="7"/>
        <n x="499"/>
        <n x="2" s="1"/>
      </t>
    </mdx>
    <mdx n="0" f="v">
      <t c="4" si="1">
        <n x="464"/>
        <n x="4"/>
        <n x="498"/>
        <n x="2" s="1"/>
      </t>
    </mdx>
    <mdx n="0" f="v">
      <t c="4" si="1">
        <n x="464"/>
        <n x="4"/>
        <n x="499"/>
        <n x="2" s="1"/>
      </t>
    </mdx>
    <mdx n="0" f="v">
      <t c="4" si="1">
        <n x="463"/>
        <n x="4"/>
        <n x="498"/>
        <n x="2" s="1"/>
      </t>
    </mdx>
    <mdx n="0" f="v">
      <t c="4" si="1">
        <n x="463"/>
        <n x="4"/>
        <n x="499"/>
        <n x="2" s="1"/>
      </t>
    </mdx>
    <mdx n="0" f="v">
      <t c="4" si="1">
        <n x="462"/>
        <n x="4"/>
        <n x="498"/>
        <n x="2" s="1"/>
      </t>
    </mdx>
    <mdx n="0" f="v">
      <t c="4" si="1">
        <n x="462"/>
        <n x="4"/>
        <n x="499"/>
        <n x="2" s="1"/>
      </t>
    </mdx>
    <mdx n="0" f="v">
      <t c="4" si="1">
        <n x="461"/>
        <n x="10"/>
        <n x="498"/>
        <n x="2" s="1"/>
      </t>
    </mdx>
    <mdx n="0" f="v">
      <t c="4" si="1">
        <n x="461"/>
        <n x="10"/>
        <n x="499"/>
        <n x="2" s="1"/>
      </t>
    </mdx>
    <mdx n="0" f="v">
      <t c="4" si="1">
        <n x="460"/>
        <n x="10"/>
        <n x="498"/>
        <n x="2" s="1"/>
      </t>
    </mdx>
    <mdx n="0" f="v">
      <t c="4" si="1">
        <n x="460"/>
        <n x="10"/>
        <n x="499"/>
        <n x="2" s="1"/>
      </t>
    </mdx>
    <mdx n="0" f="v">
      <t c="4" si="1">
        <n x="459"/>
        <n x="4"/>
        <n x="498"/>
        <n x="2" s="1"/>
      </t>
    </mdx>
    <mdx n="0" f="v">
      <t c="4" si="1">
        <n x="459"/>
        <n x="4"/>
        <n x="499"/>
        <n x="2" s="1"/>
      </t>
    </mdx>
    <mdx n="0" f="v">
      <t c="4" si="1">
        <n x="458"/>
        <n x="10"/>
        <n x="498"/>
        <n x="2" s="1"/>
      </t>
    </mdx>
    <mdx n="0" f="v">
      <t c="4" si="1">
        <n x="458"/>
        <n x="10"/>
        <n x="499"/>
        <n x="2" s="1"/>
      </t>
    </mdx>
    <mdx n="0" f="v">
      <t c="4" si="1">
        <n x="457"/>
        <n x="10"/>
        <n x="498"/>
        <n x="2" s="1"/>
      </t>
    </mdx>
    <mdx n="0" f="v">
      <t c="4" si="1">
        <n x="457"/>
        <n x="10"/>
        <n x="499"/>
        <n x="2" s="1"/>
      </t>
    </mdx>
    <mdx n="0" f="v">
      <t c="4" si="1">
        <n x="456"/>
        <n x="10"/>
        <n x="498"/>
        <n x="2" s="1"/>
      </t>
    </mdx>
    <mdx n="0" f="v">
      <t c="4" si="1">
        <n x="456"/>
        <n x="10"/>
        <n x="499"/>
        <n x="2" s="1"/>
      </t>
    </mdx>
    <mdx n="0" f="v">
      <t c="4" si="1">
        <n x="455"/>
        <n x="7"/>
        <n x="498"/>
        <n x="2" s="1"/>
      </t>
    </mdx>
    <mdx n="0" f="v">
      <t c="4" si="1">
        <n x="455"/>
        <n x="7"/>
        <n x="499"/>
        <n x="2" s="1"/>
      </t>
    </mdx>
    <mdx n="0" f="v">
      <t c="4" si="1">
        <n x="454"/>
        <n x="4"/>
        <n x="498"/>
        <n x="2" s="1"/>
      </t>
    </mdx>
    <mdx n="0" f="v">
      <t c="4" si="1">
        <n x="454"/>
        <n x="4"/>
        <n x="499"/>
        <n x="2" s="1"/>
      </t>
    </mdx>
    <mdx n="0" f="v">
      <t c="4" si="1">
        <n x="453"/>
        <n x="7"/>
        <n x="498"/>
        <n x="2" s="1"/>
      </t>
    </mdx>
    <mdx n="0" f="v">
      <t c="4" si="1">
        <n x="453"/>
        <n x="7"/>
        <n x="499"/>
        <n x="2" s="1"/>
      </t>
    </mdx>
    <mdx n="0" f="v">
      <t c="4" si="1">
        <n x="452"/>
        <n x="4"/>
        <n x="498"/>
        <n x="2" s="1"/>
      </t>
    </mdx>
    <mdx n="0" f="v">
      <t c="4" si="1">
        <n x="452"/>
        <n x="4"/>
        <n x="499"/>
        <n x="2" s="1"/>
      </t>
    </mdx>
    <mdx n="0" f="v">
      <t c="4" si="1">
        <n x="451"/>
        <n x="10"/>
        <n x="498"/>
        <n x="2" s="1"/>
      </t>
    </mdx>
    <mdx n="0" f="v">
      <t c="4" si="1">
        <n x="451"/>
        <n x="10"/>
        <n x="499"/>
        <n x="2" s="1"/>
      </t>
    </mdx>
    <mdx n="0" f="v">
      <t c="4" si="1">
        <n x="450"/>
        <n x="10"/>
        <n x="498"/>
        <n x="2" s="1"/>
      </t>
    </mdx>
    <mdx n="0" f="v">
      <t c="4" si="1">
        <n x="450"/>
        <n x="10"/>
        <n x="499"/>
        <n x="2" s="1"/>
      </t>
    </mdx>
    <mdx n="0" f="v">
      <t c="4" si="1">
        <n x="449"/>
        <n x="10"/>
        <n x="498"/>
        <n x="2" s="1"/>
      </t>
    </mdx>
    <mdx n="0" f="v">
      <t c="4" si="1">
        <n x="449"/>
        <n x="10"/>
        <n x="499"/>
        <n x="2" s="1"/>
      </t>
    </mdx>
    <mdx n="0" f="v">
      <t c="4" si="1">
        <n x="448"/>
        <n x="4"/>
        <n x="498"/>
        <n x="2" s="1"/>
      </t>
    </mdx>
    <mdx n="0" f="v">
      <t c="4" si="1">
        <n x="448"/>
        <n x="4"/>
        <n x="499"/>
        <n x="2" s="1"/>
      </t>
    </mdx>
    <mdx n="0" f="v">
      <t c="4" si="1">
        <n x="447"/>
        <n x="4"/>
        <n x="498"/>
        <n x="2" s="1"/>
      </t>
    </mdx>
    <mdx n="0" f="v">
      <t c="4" si="1">
        <n x="447"/>
        <n x="4"/>
        <n x="499"/>
        <n x="2" s="1"/>
      </t>
    </mdx>
    <mdx n="0" f="v">
      <t c="4" si="1">
        <n x="446"/>
        <n x="4"/>
        <n x="498"/>
        <n x="2" s="1"/>
      </t>
    </mdx>
    <mdx n="0" f="v">
      <t c="4" si="1">
        <n x="446"/>
        <n x="4"/>
        <n x="499"/>
        <n x="2" s="1"/>
      </t>
    </mdx>
    <mdx n="0" f="v">
      <t c="4" si="1">
        <n x="445"/>
        <n x="4"/>
        <n x="498"/>
        <n x="2" s="1"/>
      </t>
    </mdx>
    <mdx n="0" f="v">
      <t c="4" si="1">
        <n x="445"/>
        <n x="4"/>
        <n x="499"/>
        <n x="2" s="1"/>
      </t>
    </mdx>
    <mdx n="0" f="v">
      <t c="4" si="1">
        <n x="444"/>
        <n x="4"/>
        <n x="498"/>
        <n x="2" s="1"/>
      </t>
    </mdx>
    <mdx n="0" f="v">
      <t c="4" si="1">
        <n x="444"/>
        <n x="4"/>
        <n x="499"/>
        <n x="2" s="1"/>
      </t>
    </mdx>
    <mdx n="0" f="v">
      <t c="4" si="1">
        <n x="443"/>
        <n x="4"/>
        <n x="498"/>
        <n x="2" s="1"/>
      </t>
    </mdx>
    <mdx n="0" f="v">
      <t c="4" si="1">
        <n x="443"/>
        <n x="4"/>
        <n x="499"/>
        <n x="2" s="1"/>
      </t>
    </mdx>
    <mdx n="0" f="v">
      <t c="4" si="1">
        <n x="442"/>
        <n x="7"/>
        <n x="498"/>
        <n x="2" s="1"/>
      </t>
    </mdx>
    <mdx n="0" f="v">
      <t c="4" si="1">
        <n x="442"/>
        <n x="7"/>
        <n x="499"/>
        <n x="2" s="1"/>
      </t>
    </mdx>
    <mdx n="0" f="v">
      <t c="4" si="1">
        <n x="441"/>
        <n x="10"/>
        <n x="498"/>
        <n x="2" s="1"/>
      </t>
    </mdx>
    <mdx n="0" f="v">
      <t c="4" si="1">
        <n x="441"/>
        <n x="10"/>
        <n x="499"/>
        <n x="2" s="1"/>
      </t>
    </mdx>
    <mdx n="0" f="v">
      <t c="4" si="1">
        <n x="440"/>
        <n x="7"/>
        <n x="498"/>
        <n x="2" s="1"/>
      </t>
    </mdx>
    <mdx n="0" f="v">
      <t c="4" si="1">
        <n x="440"/>
        <n x="7"/>
        <n x="499"/>
        <n x="2" s="1"/>
      </t>
    </mdx>
    <mdx n="0" f="v">
      <t c="4" si="1">
        <n x="439"/>
        <n x="10"/>
        <n x="498"/>
        <n x="2" s="1"/>
      </t>
    </mdx>
    <mdx n="0" f="v">
      <t c="4" si="1">
        <n x="439"/>
        <n x="10"/>
        <n x="499"/>
        <n x="2" s="1"/>
      </t>
    </mdx>
    <mdx n="0" f="v">
      <t c="4" si="1">
        <n x="438"/>
        <n x="10"/>
        <n x="498"/>
        <n x="2" s="1"/>
      </t>
    </mdx>
    <mdx n="0" f="v">
      <t c="4" si="1">
        <n x="438"/>
        <n x="10"/>
        <n x="499"/>
        <n x="2" s="1"/>
      </t>
    </mdx>
    <mdx n="0" f="v">
      <t c="4" si="1">
        <n x="437"/>
        <n x="10"/>
        <n x="498"/>
        <n x="2" s="1"/>
      </t>
    </mdx>
    <mdx n="0" f="v">
      <t c="4" si="1">
        <n x="437"/>
        <n x="10"/>
        <n x="499"/>
        <n x="2" s="1"/>
      </t>
    </mdx>
    <mdx n="0" f="v">
      <t c="4" si="1">
        <n x="436"/>
        <n x="4"/>
        <n x="498"/>
        <n x="2" s="1"/>
      </t>
    </mdx>
    <mdx n="0" f="v">
      <t c="4" si="1">
        <n x="436"/>
        <n x="4"/>
        <n x="499"/>
        <n x="2" s="1"/>
      </t>
    </mdx>
    <mdx n="0" f="v">
      <t c="4" si="1">
        <n x="435"/>
        <n x="10"/>
        <n x="498"/>
        <n x="2" s="1"/>
      </t>
    </mdx>
    <mdx n="0" f="v">
      <t c="4" si="1">
        <n x="435"/>
        <n x="10"/>
        <n x="499"/>
        <n x="2" s="1"/>
      </t>
    </mdx>
    <mdx n="0" f="v">
      <t c="4" si="1">
        <n x="434"/>
        <n x="10"/>
        <n x="498"/>
        <n x="2" s="1"/>
      </t>
    </mdx>
    <mdx n="0" f="v">
      <t c="4" si="1">
        <n x="434"/>
        <n x="10"/>
        <n x="499"/>
        <n x="2" s="1"/>
      </t>
    </mdx>
    <mdx n="0" f="v">
      <t c="4" si="1">
        <n x="433"/>
        <n x="10"/>
        <n x="498"/>
        <n x="2" s="1"/>
      </t>
    </mdx>
    <mdx n="0" f="v">
      <t c="4" si="1">
        <n x="433"/>
        <n x="10"/>
        <n x="499"/>
        <n x="2" s="1"/>
      </t>
    </mdx>
    <mdx n="0" f="v">
      <t c="4" si="1">
        <n x="432"/>
        <n x="10"/>
        <n x="498"/>
        <n x="2" s="1"/>
      </t>
    </mdx>
    <mdx n="0" f="v">
      <t c="4" si="1">
        <n x="432"/>
        <n x="10"/>
        <n x="499"/>
        <n x="2" s="1"/>
      </t>
    </mdx>
    <mdx n="0" f="v">
      <t c="4" si="1">
        <n x="431"/>
        <n x="4"/>
        <n x="498"/>
        <n x="2" s="1"/>
      </t>
    </mdx>
    <mdx n="0" f="v">
      <t c="4" si="1">
        <n x="431"/>
        <n x="4"/>
        <n x="499"/>
        <n x="2" s="1"/>
      </t>
    </mdx>
    <mdx n="0" f="v">
      <t c="4" si="1">
        <n x="430"/>
        <n x="7"/>
        <n x="498"/>
        <n x="2" s="1"/>
      </t>
    </mdx>
    <mdx n="0" f="v">
      <t c="4" si="1">
        <n x="430"/>
        <n x="7"/>
        <n x="499"/>
        <n x="2" s="1"/>
      </t>
    </mdx>
    <mdx n="0" f="v">
      <t c="4" si="1">
        <n x="429"/>
        <n x="4"/>
        <n x="498"/>
        <n x="2" s="1"/>
      </t>
    </mdx>
    <mdx n="0" f="v">
      <t c="4" si="1">
        <n x="429"/>
        <n x="4"/>
        <n x="499"/>
        <n x="2" s="1"/>
      </t>
    </mdx>
    <mdx n="0" f="v">
      <t c="4" si="1">
        <n x="428"/>
        <n x="4"/>
        <n x="498"/>
        <n x="2" s="1"/>
      </t>
    </mdx>
    <mdx n="0" f="v">
      <t c="4" si="1">
        <n x="428"/>
        <n x="4"/>
        <n x="499"/>
        <n x="2" s="1"/>
      </t>
    </mdx>
    <mdx n="0" f="v">
      <t c="4" si="1">
        <n x="427"/>
        <n x="10"/>
        <n x="498"/>
        <n x="2" s="1"/>
      </t>
    </mdx>
    <mdx n="0" f="v">
      <t c="4" si="1">
        <n x="427"/>
        <n x="10"/>
        <n x="499"/>
        <n x="2" s="1"/>
      </t>
    </mdx>
    <mdx n="0" f="v">
      <t c="4" si="1">
        <n x="426"/>
        <n x="7"/>
        <n x="498"/>
        <n x="2" s="1"/>
      </t>
    </mdx>
    <mdx n="0" f="v">
      <t c="4" si="1">
        <n x="426"/>
        <n x="7"/>
        <n x="499"/>
        <n x="2" s="1"/>
      </t>
    </mdx>
    <mdx n="0" f="v">
      <t c="4" si="1">
        <n x="425"/>
        <n x="4"/>
        <n x="498"/>
        <n x="2" s="1"/>
      </t>
    </mdx>
    <mdx n="0" f="v">
      <t c="4" si="1">
        <n x="425"/>
        <n x="4"/>
        <n x="499"/>
        <n x="2" s="1"/>
      </t>
    </mdx>
    <mdx n="0" f="v">
      <t c="4" si="1">
        <n x="424"/>
        <n x="4"/>
        <n x="498"/>
        <n x="2" s="1"/>
      </t>
    </mdx>
    <mdx n="0" f="v">
      <t c="4" si="1">
        <n x="424"/>
        <n x="4"/>
        <n x="499"/>
        <n x="2" s="1"/>
      </t>
    </mdx>
    <mdx n="0" f="v">
      <t c="4" si="1">
        <n x="423"/>
        <n x="4"/>
        <n x="498"/>
        <n x="2" s="1"/>
      </t>
    </mdx>
    <mdx n="0" f="v">
      <t c="4" si="1">
        <n x="423"/>
        <n x="4"/>
        <n x="499"/>
        <n x="2" s="1"/>
      </t>
    </mdx>
    <mdx n="0" f="v">
      <t c="4" si="1">
        <n x="422"/>
        <n x="7"/>
        <n x="498"/>
        <n x="2" s="1"/>
      </t>
    </mdx>
    <mdx n="0" f="v">
      <t c="4" si="1">
        <n x="422"/>
        <n x="7"/>
        <n x="499"/>
        <n x="2" s="1"/>
      </t>
    </mdx>
    <mdx n="0" f="v">
      <t c="4" si="1">
        <n x="421"/>
        <n x="10"/>
        <n x="498"/>
        <n x="2" s="1"/>
      </t>
    </mdx>
    <mdx n="0" f="v">
      <t c="4" si="1">
        <n x="421"/>
        <n x="10"/>
        <n x="499"/>
        <n x="2" s="1"/>
      </t>
    </mdx>
    <mdx n="0" f="v">
      <t c="4" si="1">
        <n x="420"/>
        <n x="10"/>
        <n x="498"/>
        <n x="2" s="1"/>
      </t>
    </mdx>
    <mdx n="0" f="v">
      <t c="4" si="1">
        <n x="420"/>
        <n x="10"/>
        <n x="499"/>
        <n x="2" s="1"/>
      </t>
    </mdx>
    <mdx n="0" f="v">
      <t c="4" si="1">
        <n x="419"/>
        <n x="4"/>
        <n x="498"/>
        <n x="2" s="1"/>
      </t>
    </mdx>
    <mdx n="0" f="v">
      <t c="4" si="1">
        <n x="419"/>
        <n x="4"/>
        <n x="499"/>
        <n x="2" s="1"/>
      </t>
    </mdx>
    <mdx n="0" f="v">
      <t c="4" si="1">
        <n x="418"/>
        <n x="4"/>
        <n x="498"/>
        <n x="2" s="1"/>
      </t>
    </mdx>
    <mdx n="0" f="v">
      <t c="4" si="1">
        <n x="418"/>
        <n x="4"/>
        <n x="499"/>
        <n x="2" s="1"/>
      </t>
    </mdx>
    <mdx n="0" f="v">
      <t c="4" si="1">
        <n x="417"/>
        <n x="10"/>
        <n x="498"/>
        <n x="2" s="1"/>
      </t>
    </mdx>
    <mdx n="0" f="v">
      <t c="4" si="1">
        <n x="417"/>
        <n x="10"/>
        <n x="499"/>
        <n x="2" s="1"/>
      </t>
    </mdx>
    <mdx n="0" f="v">
      <t c="4" si="1">
        <n x="416"/>
        <n x="7"/>
        <n x="498"/>
        <n x="2" s="1"/>
      </t>
    </mdx>
    <mdx n="0" f="v">
      <t c="4" si="1">
        <n x="416"/>
        <n x="7"/>
        <n x="499"/>
        <n x="2" s="1"/>
      </t>
    </mdx>
    <mdx n="0" f="v">
      <t c="4" si="1">
        <n x="415"/>
        <n x="10"/>
        <n x="498"/>
        <n x="2" s="1"/>
      </t>
    </mdx>
    <mdx n="0" f="v">
      <t c="4" si="1">
        <n x="415"/>
        <n x="10"/>
        <n x="499"/>
        <n x="2" s="1"/>
      </t>
    </mdx>
    <mdx n="0" f="v">
      <t c="4" si="1">
        <n x="414"/>
        <n x="10"/>
        <n x="498"/>
        <n x="2" s="1"/>
      </t>
    </mdx>
    <mdx n="0" f="v">
      <t c="4" si="1">
        <n x="414"/>
        <n x="10"/>
        <n x="499"/>
        <n x="2" s="1"/>
      </t>
    </mdx>
    <mdx n="0" f="v">
      <t c="4" si="1">
        <n x="413"/>
        <n x="4"/>
        <n x="498"/>
        <n x="2" s="1"/>
      </t>
    </mdx>
    <mdx n="0" f="v">
      <t c="4" si="1">
        <n x="413"/>
        <n x="4"/>
        <n x="499"/>
        <n x="2" s="1"/>
      </t>
    </mdx>
    <mdx n="0" f="v">
      <t c="4" si="1">
        <n x="412"/>
        <n x="4"/>
        <n x="498"/>
        <n x="2" s="1"/>
      </t>
    </mdx>
    <mdx n="0" f="v">
      <t c="4" si="1">
        <n x="412"/>
        <n x="4"/>
        <n x="499"/>
        <n x="2" s="1"/>
      </t>
    </mdx>
    <mdx n="0" f="v">
      <t c="4" si="1">
        <n x="411"/>
        <n x="4"/>
        <n x="498"/>
        <n x="2" s="1"/>
      </t>
    </mdx>
    <mdx n="0" f="v">
      <t c="4" si="1">
        <n x="411"/>
        <n x="4"/>
        <n x="499"/>
        <n x="2" s="1"/>
      </t>
    </mdx>
    <mdx n="0" f="v">
      <t c="4" si="1">
        <n x="410"/>
        <n x="10"/>
        <n x="498"/>
        <n x="2" s="1"/>
      </t>
    </mdx>
    <mdx n="0" f="v">
      <t c="4" si="1">
        <n x="410"/>
        <n x="10"/>
        <n x="499"/>
        <n x="2" s="1"/>
      </t>
    </mdx>
    <mdx n="0" f="v">
      <t c="4" si="1">
        <n x="409"/>
        <n x="4"/>
        <n x="498"/>
        <n x="2" s="1"/>
      </t>
    </mdx>
    <mdx n="0" f="v">
      <t c="4" si="1">
        <n x="409"/>
        <n x="4"/>
        <n x="499"/>
        <n x="2" s="1"/>
      </t>
    </mdx>
    <mdx n="0" f="v">
      <t c="4" si="1">
        <n x="408"/>
        <n x="4"/>
        <n x="498"/>
        <n x="2" s="1"/>
      </t>
    </mdx>
    <mdx n="0" f="v">
      <t c="4" si="1">
        <n x="408"/>
        <n x="4"/>
        <n x="499"/>
        <n x="2" s="1"/>
      </t>
    </mdx>
    <mdx n="0" f="v">
      <t c="4" si="1">
        <n x="407"/>
        <n x="4"/>
        <n x="498"/>
        <n x="2" s="1"/>
      </t>
    </mdx>
    <mdx n="0" f="v">
      <t c="4" si="1">
        <n x="407"/>
        <n x="4"/>
        <n x="499"/>
        <n x="2" s="1"/>
      </t>
    </mdx>
    <mdx n="0" f="v">
      <t c="4" si="1">
        <n x="406"/>
        <n x="10"/>
        <n x="498"/>
        <n x="2" s="1"/>
      </t>
    </mdx>
    <mdx n="0" f="v">
      <t c="4" si="1">
        <n x="406"/>
        <n x="10"/>
        <n x="499"/>
        <n x="2" s="1"/>
      </t>
    </mdx>
    <mdx n="0" f="v">
      <t c="4" si="1">
        <n x="405"/>
        <n x="10"/>
        <n x="498"/>
        <n x="2" s="1"/>
      </t>
    </mdx>
    <mdx n="0" f="v">
      <t c="4" si="1">
        <n x="405"/>
        <n x="10"/>
        <n x="499"/>
        <n x="2" s="1"/>
      </t>
    </mdx>
    <mdx n="0" f="v">
      <t c="4" si="1">
        <n x="404"/>
        <n x="10"/>
        <n x="498"/>
        <n x="2" s="1"/>
      </t>
    </mdx>
    <mdx n="0" f="v">
      <t c="4" si="1">
        <n x="404"/>
        <n x="10"/>
        <n x="499"/>
        <n x="2" s="1"/>
      </t>
    </mdx>
    <mdx n="0" f="v">
      <t c="4" si="1">
        <n x="403"/>
        <n x="7"/>
        <n x="498"/>
        <n x="2" s="1"/>
      </t>
    </mdx>
    <mdx n="0" f="v">
      <t c="4" si="1">
        <n x="403"/>
        <n x="7"/>
        <n x="499"/>
        <n x="2" s="1"/>
      </t>
    </mdx>
    <mdx n="0" f="v">
      <t c="4" si="1">
        <n x="402"/>
        <n x="10"/>
        <n x="498"/>
        <n x="2" s="1"/>
      </t>
    </mdx>
    <mdx n="0" f="v">
      <t c="4" si="1">
        <n x="402"/>
        <n x="10"/>
        <n x="499"/>
        <n x="2" s="1"/>
      </t>
    </mdx>
    <mdx n="0" f="v">
      <t c="4" si="1">
        <n x="401"/>
        <n x="7"/>
        <n x="498"/>
        <n x="2" s="1"/>
      </t>
    </mdx>
    <mdx n="0" f="v">
      <t c="4" si="1">
        <n x="401"/>
        <n x="7"/>
        <n x="499"/>
        <n x="2" s="1"/>
      </t>
    </mdx>
    <mdx n="0" f="v">
      <t c="4" si="1">
        <n x="400"/>
        <n x="4"/>
        <n x="498"/>
        <n x="2" s="1"/>
      </t>
    </mdx>
    <mdx n="0" f="v">
      <t c="4" si="1">
        <n x="400"/>
        <n x="4"/>
        <n x="499"/>
        <n x="2" s="1"/>
      </t>
    </mdx>
    <mdx n="0" f="v">
      <t c="4" si="1">
        <n x="399"/>
        <n x="10"/>
        <n x="498"/>
        <n x="2" s="1"/>
      </t>
    </mdx>
    <mdx n="0" f="v">
      <t c="4" si="1">
        <n x="399"/>
        <n x="10"/>
        <n x="499"/>
        <n x="2" s="1"/>
      </t>
    </mdx>
    <mdx n="0" f="v">
      <t c="4" si="1">
        <n x="398"/>
        <n x="10"/>
        <n x="498"/>
        <n x="2" s="1"/>
      </t>
    </mdx>
    <mdx n="0" f="v">
      <t c="4" si="1">
        <n x="398"/>
        <n x="10"/>
        <n x="499"/>
        <n x="2" s="1"/>
      </t>
    </mdx>
    <mdx n="0" f="v">
      <t c="4" si="1">
        <n x="397"/>
        <n x="4"/>
        <n x="498"/>
        <n x="2" s="1"/>
      </t>
    </mdx>
    <mdx n="0" f="v">
      <t c="4" si="1">
        <n x="397"/>
        <n x="4"/>
        <n x="499"/>
        <n x="2" s="1"/>
      </t>
    </mdx>
    <mdx n="0" f="v">
      <t c="4" si="1">
        <n x="396"/>
        <n x="10"/>
        <n x="498"/>
        <n x="2" s="1"/>
      </t>
    </mdx>
    <mdx n="0" f="v">
      <t c="4" si="1">
        <n x="396"/>
        <n x="10"/>
        <n x="499"/>
        <n x="2" s="1"/>
      </t>
    </mdx>
    <mdx n="0" f="v">
      <t c="4" si="1">
        <n x="395"/>
        <n x="10"/>
        <n x="498"/>
        <n x="2" s="1"/>
      </t>
    </mdx>
    <mdx n="0" f="v">
      <t c="4" si="1">
        <n x="395"/>
        <n x="10"/>
        <n x="499"/>
        <n x="2" s="1"/>
      </t>
    </mdx>
    <mdx n="0" f="v">
      <t c="4" si="1">
        <n x="394"/>
        <n x="4"/>
        <n x="498"/>
        <n x="2" s="1"/>
      </t>
    </mdx>
    <mdx n="0" f="v">
      <t c="4" si="1">
        <n x="394"/>
        <n x="4"/>
        <n x="499"/>
        <n x="2" s="1"/>
      </t>
    </mdx>
    <mdx n="0" f="v">
      <t c="4" si="1">
        <n x="393"/>
        <n x="10"/>
        <n x="498"/>
        <n x="2" s="1"/>
      </t>
    </mdx>
    <mdx n="0" f="v">
      <t c="4" si="1">
        <n x="393"/>
        <n x="10"/>
        <n x="499"/>
        <n x="2" s="1"/>
      </t>
    </mdx>
    <mdx n="0" f="v">
      <t c="4" si="1">
        <n x="392"/>
        <n x="7"/>
        <n x="498"/>
        <n x="2" s="1"/>
      </t>
    </mdx>
    <mdx n="0" f="v">
      <t c="4" si="1">
        <n x="392"/>
        <n x="7"/>
        <n x="499"/>
        <n x="2" s="1"/>
      </t>
    </mdx>
    <mdx n="0" f="v">
      <t c="4" si="1">
        <n x="391"/>
        <n x="10"/>
        <n x="498"/>
        <n x="2" s="1"/>
      </t>
    </mdx>
    <mdx n="0" f="v">
      <t c="4" si="1">
        <n x="391"/>
        <n x="10"/>
        <n x="499"/>
        <n x="2" s="1"/>
      </t>
    </mdx>
    <mdx n="0" f="v">
      <t c="4" si="1">
        <n x="390"/>
        <n x="10"/>
        <n x="498"/>
        <n x="2" s="1"/>
      </t>
    </mdx>
    <mdx n="0" f="v">
      <t c="4" si="1">
        <n x="390"/>
        <n x="10"/>
        <n x="499"/>
        <n x="2" s="1"/>
      </t>
    </mdx>
    <mdx n="0" f="v">
      <t c="4" si="1">
        <n x="389"/>
        <n x="4"/>
        <n x="498"/>
        <n x="2" s="1"/>
      </t>
    </mdx>
    <mdx n="0" f="v">
      <t c="4" si="1">
        <n x="389"/>
        <n x="4"/>
        <n x="499"/>
        <n x="2" s="1"/>
      </t>
    </mdx>
    <mdx n="0" f="v">
      <t c="4" si="1">
        <n x="388"/>
        <n x="4"/>
        <n x="498"/>
        <n x="2" s="1"/>
      </t>
    </mdx>
    <mdx n="0" f="v">
      <t c="4" si="1">
        <n x="388"/>
        <n x="4"/>
        <n x="499"/>
        <n x="2" s="1"/>
      </t>
    </mdx>
    <mdx n="0" f="v">
      <t c="4" si="1">
        <n x="387"/>
        <n x="4"/>
        <n x="498"/>
        <n x="2" s="1"/>
      </t>
    </mdx>
    <mdx n="0" f="v">
      <t c="4" si="1">
        <n x="387"/>
        <n x="4"/>
        <n x="499"/>
        <n x="2" s="1"/>
      </t>
    </mdx>
    <mdx n="0" f="v">
      <t c="4" si="1">
        <n x="386"/>
        <n x="4"/>
        <n x="498"/>
        <n x="2" s="1"/>
      </t>
    </mdx>
    <mdx n="0" f="v">
      <t c="4" si="1">
        <n x="386"/>
        <n x="4"/>
        <n x="499"/>
        <n x="2" s="1"/>
      </t>
    </mdx>
    <mdx n="0" f="v">
      <t c="4" si="1">
        <n x="385"/>
        <n x="4"/>
        <n x="498"/>
        <n x="2" s="1"/>
      </t>
    </mdx>
    <mdx n="0" f="v">
      <t c="4" si="1">
        <n x="385"/>
        <n x="4"/>
        <n x="499"/>
        <n x="2" s="1"/>
      </t>
    </mdx>
    <mdx n="0" f="v">
      <t c="4" si="1">
        <n x="384"/>
        <n x="10"/>
        <n x="498"/>
        <n x="2" s="1"/>
      </t>
    </mdx>
    <mdx n="0" f="v">
      <t c="4" si="1">
        <n x="384"/>
        <n x="10"/>
        <n x="499"/>
        <n x="2" s="1"/>
      </t>
    </mdx>
    <mdx n="0" f="v">
      <t c="4" si="1">
        <n x="383"/>
        <n x="4"/>
        <n x="498"/>
        <n x="2" s="1"/>
      </t>
    </mdx>
    <mdx n="0" f="v">
      <t c="4" si="1">
        <n x="383"/>
        <n x="4"/>
        <n x="499"/>
        <n x="2" s="1"/>
      </t>
    </mdx>
    <mdx n="0" f="v">
      <t c="4" si="1">
        <n x="382"/>
        <n x="10"/>
        <n x="498"/>
        <n x="2" s="1"/>
      </t>
    </mdx>
    <mdx n="0" f="v">
      <t c="4" si="1">
        <n x="382"/>
        <n x="10"/>
        <n x="499"/>
        <n x="2" s="1"/>
      </t>
    </mdx>
    <mdx n="0" f="v">
      <t c="4" si="1">
        <n x="381"/>
        <n x="4"/>
        <n x="498"/>
        <n x="2" s="1"/>
      </t>
    </mdx>
    <mdx n="0" f="v">
      <t c="4" si="1">
        <n x="381"/>
        <n x="4"/>
        <n x="499"/>
        <n x="2" s="1"/>
      </t>
    </mdx>
    <mdx n="0" f="v">
      <t c="4" si="1">
        <n x="380"/>
        <n x="4"/>
        <n x="498"/>
        <n x="2" s="1"/>
      </t>
    </mdx>
    <mdx n="0" f="v">
      <t c="4" si="1">
        <n x="380"/>
        <n x="4"/>
        <n x="499"/>
        <n x="2" s="1"/>
      </t>
    </mdx>
    <mdx n="0" f="v">
      <t c="4" si="1">
        <n x="379"/>
        <n x="10"/>
        <n x="498"/>
        <n x="2" s="1"/>
      </t>
    </mdx>
    <mdx n="0" f="v">
      <t c="4" si="1">
        <n x="379"/>
        <n x="10"/>
        <n x="499"/>
        <n x="2" s="1"/>
      </t>
    </mdx>
    <mdx n="0" f="v">
      <t c="4" si="1">
        <n x="378"/>
        <n x="10"/>
        <n x="498"/>
        <n x="2" s="1"/>
      </t>
    </mdx>
    <mdx n="0" f="v">
      <t c="4" si="1">
        <n x="378"/>
        <n x="10"/>
        <n x="499"/>
        <n x="2" s="1"/>
      </t>
    </mdx>
    <mdx n="0" f="v">
      <t c="4" si="1">
        <n x="377"/>
        <n x="10"/>
        <n x="498"/>
        <n x="2" s="1"/>
      </t>
    </mdx>
    <mdx n="0" f="v">
      <t c="4" si="1">
        <n x="377"/>
        <n x="10"/>
        <n x="499"/>
        <n x="2" s="1"/>
      </t>
    </mdx>
    <mdx n="0" f="v">
      <t c="4" si="1">
        <n x="376"/>
        <n x="10"/>
        <n x="498"/>
        <n x="2" s="1"/>
      </t>
    </mdx>
    <mdx n="0" f="v">
      <t c="4" si="1">
        <n x="376"/>
        <n x="10"/>
        <n x="499"/>
        <n x="2" s="1"/>
      </t>
    </mdx>
    <mdx n="0" f="v">
      <t c="4" si="1">
        <n x="375"/>
        <n x="4"/>
        <n x="498"/>
        <n x="2" s="1"/>
      </t>
    </mdx>
    <mdx n="0" f="v">
      <t c="4" si="1">
        <n x="375"/>
        <n x="4"/>
        <n x="499"/>
        <n x="2" s="1"/>
      </t>
    </mdx>
    <mdx n="0" f="v">
      <t c="4" si="1">
        <n x="374"/>
        <n x="4"/>
        <n x="498"/>
        <n x="2" s="1"/>
      </t>
    </mdx>
    <mdx n="0" f="v">
      <t c="4" si="1">
        <n x="374"/>
        <n x="4"/>
        <n x="499"/>
        <n x="2" s="1"/>
      </t>
    </mdx>
    <mdx n="0" f="v">
      <t c="4" si="1">
        <n x="373"/>
        <n x="7"/>
        <n x="498"/>
        <n x="2" s="1"/>
      </t>
    </mdx>
    <mdx n="0" f="v">
      <t c="4" si="1">
        <n x="373"/>
        <n x="7"/>
        <n x="499"/>
        <n x="2" s="1"/>
      </t>
    </mdx>
    <mdx n="0" f="v">
      <t c="4" si="1">
        <n x="372"/>
        <n x="10"/>
        <n x="498"/>
        <n x="2" s="1"/>
      </t>
    </mdx>
    <mdx n="0" f="v">
      <t c="4" si="1">
        <n x="372"/>
        <n x="10"/>
        <n x="499"/>
        <n x="2" s="1"/>
      </t>
    </mdx>
    <mdx n="0" f="v">
      <t c="4" si="1">
        <n x="371"/>
        <n x="10"/>
        <n x="498"/>
        <n x="2" s="1"/>
      </t>
    </mdx>
    <mdx n="0" f="v">
      <t c="4" si="1">
        <n x="371"/>
        <n x="10"/>
        <n x="499"/>
        <n x="2" s="1"/>
      </t>
    </mdx>
    <mdx n="0" f="v">
      <t c="4" si="1">
        <n x="370"/>
        <n x="10"/>
        <n x="498"/>
        <n x="2" s="1"/>
      </t>
    </mdx>
    <mdx n="0" f="v">
      <t c="4" si="1">
        <n x="370"/>
        <n x="10"/>
        <n x="499"/>
        <n x="2" s="1"/>
      </t>
    </mdx>
    <mdx n="0" f="v">
      <t c="4" si="1">
        <n x="369"/>
        <n x="10"/>
        <n x="498"/>
        <n x="2" s="1"/>
      </t>
    </mdx>
    <mdx n="0" f="v">
      <t c="4" si="1">
        <n x="369"/>
        <n x="10"/>
        <n x="499"/>
        <n x="2" s="1"/>
      </t>
    </mdx>
    <mdx n="0" f="v">
      <t c="4" si="1">
        <n x="368"/>
        <n x="10"/>
        <n x="498"/>
        <n x="2" s="1"/>
      </t>
    </mdx>
    <mdx n="0" f="v">
      <t c="4" si="1">
        <n x="368"/>
        <n x="10"/>
        <n x="499"/>
        <n x="2" s="1"/>
      </t>
    </mdx>
    <mdx n="0" f="v">
      <t c="4" si="1">
        <n x="367"/>
        <n x="4"/>
        <n x="498"/>
        <n x="2" s="1"/>
      </t>
    </mdx>
    <mdx n="0" f="v">
      <t c="4" si="1">
        <n x="367"/>
        <n x="4"/>
        <n x="499"/>
        <n x="2" s="1"/>
      </t>
    </mdx>
    <mdx n="0" f="v">
      <t c="4" si="1">
        <n x="366"/>
        <n x="10"/>
        <n x="498"/>
        <n x="2" s="1"/>
      </t>
    </mdx>
    <mdx n="0" f="v">
      <t c="4" si="1">
        <n x="366"/>
        <n x="10"/>
        <n x="499"/>
        <n x="2" s="1"/>
      </t>
    </mdx>
    <mdx n="0" f="v">
      <t c="4" si="1">
        <n x="365"/>
        <n x="10"/>
        <n x="498"/>
        <n x="2" s="1"/>
      </t>
    </mdx>
    <mdx n="0" f="v">
      <t c="4" si="1">
        <n x="365"/>
        <n x="10"/>
        <n x="499"/>
        <n x="2" s="1"/>
      </t>
    </mdx>
    <mdx n="0" f="v">
      <t c="4" si="1">
        <n x="364"/>
        <n x="4"/>
        <n x="498"/>
        <n x="2" s="1"/>
      </t>
    </mdx>
    <mdx n="0" f="v">
      <t c="4" si="1">
        <n x="364"/>
        <n x="4"/>
        <n x="499"/>
        <n x="2" s="1"/>
      </t>
    </mdx>
    <mdx n="0" f="v">
      <t c="4" si="1">
        <n x="363"/>
        <n x="10"/>
        <n x="498"/>
        <n x="2" s="1"/>
      </t>
    </mdx>
    <mdx n="0" f="v">
      <t c="4" si="1">
        <n x="363"/>
        <n x="10"/>
        <n x="499"/>
        <n x="2" s="1"/>
      </t>
    </mdx>
    <mdx n="0" f="v">
      <t c="4" si="1">
        <n x="362"/>
        <n x="4"/>
        <n x="498"/>
        <n x="2" s="1"/>
      </t>
    </mdx>
    <mdx n="0" f="v">
      <t c="4" si="1">
        <n x="362"/>
        <n x="4"/>
        <n x="499"/>
        <n x="2" s="1"/>
      </t>
    </mdx>
    <mdx n="0" f="v">
      <t c="4" si="1">
        <n x="361"/>
        <n x="4"/>
        <n x="498"/>
        <n x="2" s="1"/>
      </t>
    </mdx>
    <mdx n="0" f="v">
      <t c="4" si="1">
        <n x="361"/>
        <n x="4"/>
        <n x="499"/>
        <n x="2" s="1"/>
      </t>
    </mdx>
    <mdx n="0" f="v">
      <t c="4" si="1">
        <n x="360"/>
        <n x="10"/>
        <n x="498"/>
        <n x="2" s="1"/>
      </t>
    </mdx>
    <mdx n="0" f="v">
      <t c="4" si="1">
        <n x="360"/>
        <n x="10"/>
        <n x="499"/>
        <n x="2" s="1"/>
      </t>
    </mdx>
    <mdx n="0" f="v">
      <t c="4" si="1">
        <n x="359"/>
        <n x="10"/>
        <n x="498"/>
        <n x="2" s="1"/>
      </t>
    </mdx>
    <mdx n="0" f="v">
      <t c="4" si="1">
        <n x="359"/>
        <n x="10"/>
        <n x="499"/>
        <n x="2" s="1"/>
      </t>
    </mdx>
    <mdx n="0" f="v">
      <t c="4" si="1">
        <n x="358"/>
        <n x="10"/>
        <n x="498"/>
        <n x="2" s="1"/>
      </t>
    </mdx>
    <mdx n="0" f="v">
      <t c="4" si="1">
        <n x="358"/>
        <n x="10"/>
        <n x="499"/>
        <n x="2" s="1"/>
      </t>
    </mdx>
    <mdx n="0" f="v">
      <t c="4" si="1">
        <n x="357"/>
        <n x="7"/>
        <n x="498"/>
        <n x="2" s="1"/>
      </t>
    </mdx>
    <mdx n="0" f="v">
      <t c="4" si="1">
        <n x="357"/>
        <n x="7"/>
        <n x="499"/>
        <n x="2" s="1"/>
      </t>
    </mdx>
    <mdx n="0" f="v">
      <t c="4" si="1">
        <n x="356"/>
        <n x="4"/>
        <n x="498"/>
        <n x="2" s="1"/>
      </t>
    </mdx>
    <mdx n="0" f="v">
      <t c="4" si="1">
        <n x="356"/>
        <n x="4"/>
        <n x="499"/>
        <n x="2" s="1"/>
      </t>
    </mdx>
    <mdx n="0" f="v">
      <t c="4" si="1">
        <n x="355"/>
        <n x="10"/>
        <n x="498"/>
        <n x="2" s="1"/>
      </t>
    </mdx>
    <mdx n="0" f="v">
      <t c="4" si="1">
        <n x="355"/>
        <n x="10"/>
        <n x="499"/>
        <n x="2" s="1"/>
      </t>
    </mdx>
    <mdx n="0" f="v">
      <t c="4" si="1">
        <n x="354"/>
        <n x="7"/>
        <n x="498"/>
        <n x="2" s="1"/>
      </t>
    </mdx>
    <mdx n="0" f="v">
      <t c="4" si="1">
        <n x="354"/>
        <n x="7"/>
        <n x="499"/>
        <n x="2" s="1"/>
      </t>
    </mdx>
    <mdx n="0" f="v">
      <t c="4" si="1">
        <n x="353"/>
        <n x="10"/>
        <n x="498"/>
        <n x="2" s="1"/>
      </t>
    </mdx>
    <mdx n="0" f="v">
      <t c="4" si="1">
        <n x="353"/>
        <n x="10"/>
        <n x="499"/>
        <n x="2" s="1"/>
      </t>
    </mdx>
    <mdx n="0" f="v">
      <t c="4" si="1">
        <n x="352"/>
        <n x="4"/>
        <n x="498"/>
        <n x="2" s="1"/>
      </t>
    </mdx>
    <mdx n="0" f="v">
      <t c="4" si="1">
        <n x="352"/>
        <n x="4"/>
        <n x="499"/>
        <n x="2" s="1"/>
      </t>
    </mdx>
    <mdx n="0" f="v">
      <t c="4" si="1">
        <n x="351"/>
        <n x="10"/>
        <n x="498"/>
        <n x="2" s="1"/>
      </t>
    </mdx>
    <mdx n="0" f="v">
      <t c="4" si="1">
        <n x="351"/>
        <n x="10"/>
        <n x="499"/>
        <n x="2" s="1"/>
      </t>
    </mdx>
    <mdx n="0" f="v">
      <t c="4" si="1">
        <n x="350"/>
        <n x="10"/>
        <n x="498"/>
        <n x="2" s="1"/>
      </t>
    </mdx>
    <mdx n="0" f="v">
      <t c="4" si="1">
        <n x="350"/>
        <n x="10"/>
        <n x="499"/>
        <n x="2" s="1"/>
      </t>
    </mdx>
    <mdx n="0" f="v">
      <t c="4" si="1">
        <n x="349"/>
        <n x="10"/>
        <n x="498"/>
        <n x="2" s="1"/>
      </t>
    </mdx>
    <mdx n="0" f="v">
      <t c="4" si="1">
        <n x="349"/>
        <n x="10"/>
        <n x="499"/>
        <n x="2" s="1"/>
      </t>
    </mdx>
    <mdx n="0" f="v">
      <t c="4" si="1">
        <n x="348"/>
        <n x="4"/>
        <n x="498"/>
        <n x="2" s="1"/>
      </t>
    </mdx>
    <mdx n="0" f="v">
      <t c="4" si="1">
        <n x="348"/>
        <n x="4"/>
        <n x="499"/>
        <n x="2" s="1"/>
      </t>
    </mdx>
    <mdx n="0" f="v">
      <t c="4" si="1">
        <n x="347"/>
        <n x="10"/>
        <n x="498"/>
        <n x="2" s="1"/>
      </t>
    </mdx>
    <mdx n="0" f="v">
      <t c="4" si="1">
        <n x="347"/>
        <n x="10"/>
        <n x="499"/>
        <n x="2" s="1"/>
      </t>
    </mdx>
    <mdx n="0" f="v">
      <t c="4" si="1">
        <n x="346"/>
        <n x="4"/>
        <n x="498"/>
        <n x="2" s="1"/>
      </t>
    </mdx>
    <mdx n="0" f="v">
      <t c="4" si="1">
        <n x="346"/>
        <n x="4"/>
        <n x="499"/>
        <n x="2" s="1"/>
      </t>
    </mdx>
    <mdx n="0" f="v">
      <t c="4" si="1">
        <n x="345"/>
        <n x="4"/>
        <n x="498"/>
        <n x="2" s="1"/>
      </t>
    </mdx>
    <mdx n="0" f="v">
      <t c="4" si="1">
        <n x="345"/>
        <n x="4"/>
        <n x="499"/>
        <n x="2" s="1"/>
      </t>
    </mdx>
    <mdx n="0" f="v">
      <t c="4" si="1">
        <n x="344"/>
        <n x="10"/>
        <n x="498"/>
        <n x="2" s="1"/>
      </t>
    </mdx>
    <mdx n="0" f="v">
      <t c="4" si="1">
        <n x="344"/>
        <n x="10"/>
        <n x="499"/>
        <n x="2" s="1"/>
      </t>
    </mdx>
    <mdx n="0" f="v">
      <t c="4" si="1">
        <n x="343"/>
        <n x="4"/>
        <n x="498"/>
        <n x="2" s="1"/>
      </t>
    </mdx>
    <mdx n="0" f="v">
      <t c="4" si="1">
        <n x="343"/>
        <n x="4"/>
        <n x="499"/>
        <n x="2" s="1"/>
      </t>
    </mdx>
    <mdx n="0" f="v">
      <t c="4" si="1">
        <n x="342"/>
        <n x="10"/>
        <n x="498"/>
        <n x="2" s="1"/>
      </t>
    </mdx>
    <mdx n="0" f="v">
      <t c="4" si="1">
        <n x="342"/>
        <n x="10"/>
        <n x="499"/>
        <n x="2" s="1"/>
      </t>
    </mdx>
    <mdx n="0" f="v">
      <t c="4" si="1">
        <n x="341"/>
        <n x="4"/>
        <n x="498"/>
        <n x="2" s="1"/>
      </t>
    </mdx>
    <mdx n="0" f="v">
      <t c="4" si="1">
        <n x="341"/>
        <n x="4"/>
        <n x="499"/>
        <n x="2" s="1"/>
      </t>
    </mdx>
    <mdx n="0" f="v">
      <t c="4" si="1">
        <n x="340"/>
        <n x="4"/>
        <n x="498"/>
        <n x="2" s="1"/>
      </t>
    </mdx>
    <mdx n="0" f="v">
      <t c="4" si="1">
        <n x="340"/>
        <n x="4"/>
        <n x="499"/>
        <n x="2" s="1"/>
      </t>
    </mdx>
    <mdx n="0" f="v">
      <t c="4" si="1">
        <n x="339"/>
        <n x="10"/>
        <n x="498"/>
        <n x="2" s="1"/>
      </t>
    </mdx>
    <mdx n="0" f="v">
      <t c="4" si="1">
        <n x="339"/>
        <n x="10"/>
        <n x="499"/>
        <n x="2" s="1"/>
      </t>
    </mdx>
    <mdx n="0" f="v">
      <t c="4" si="1">
        <n x="338"/>
        <n x="7"/>
        <n x="498"/>
        <n x="2" s="1"/>
      </t>
    </mdx>
    <mdx n="0" f="v">
      <t c="4" si="1">
        <n x="338"/>
        <n x="7"/>
        <n x="499"/>
        <n x="2" s="1"/>
      </t>
    </mdx>
    <mdx n="0" f="v">
      <t c="4" si="1">
        <n x="337"/>
        <n x="4"/>
        <n x="498"/>
        <n x="2" s="1"/>
      </t>
    </mdx>
    <mdx n="0" f="v">
      <t c="4" si="1">
        <n x="337"/>
        <n x="4"/>
        <n x="499"/>
        <n x="2" s="1"/>
      </t>
    </mdx>
    <mdx n="0" f="v">
      <t c="4" si="1">
        <n x="336"/>
        <n x="10"/>
        <n x="498"/>
        <n x="2" s="1"/>
      </t>
    </mdx>
    <mdx n="0" f="v">
      <t c="4" si="1">
        <n x="336"/>
        <n x="10"/>
        <n x="499"/>
        <n x="2" s="1"/>
      </t>
    </mdx>
    <mdx n="0" f="v">
      <t c="4" si="1">
        <n x="335"/>
        <n x="10"/>
        <n x="498"/>
        <n x="2" s="1"/>
      </t>
    </mdx>
    <mdx n="0" f="v">
      <t c="4" si="1">
        <n x="335"/>
        <n x="10"/>
        <n x="499"/>
        <n x="2" s="1"/>
      </t>
    </mdx>
    <mdx n="0" f="v">
      <t c="4" si="1">
        <n x="334"/>
        <n x="7"/>
        <n x="498"/>
        <n x="2" s="1"/>
      </t>
    </mdx>
    <mdx n="0" f="v">
      <t c="4" si="1">
        <n x="334"/>
        <n x="7"/>
        <n x="499"/>
        <n x="2" s="1"/>
      </t>
    </mdx>
    <mdx n="0" f="v">
      <t c="4" si="1">
        <n x="333"/>
        <n x="4"/>
        <n x="498"/>
        <n x="2" s="1"/>
      </t>
    </mdx>
    <mdx n="0" f="v">
      <t c="4" si="1">
        <n x="333"/>
        <n x="4"/>
        <n x="499"/>
        <n x="2" s="1"/>
      </t>
    </mdx>
    <mdx n="0" f="v">
      <t c="4" si="1">
        <n x="332"/>
        <n x="4"/>
        <n x="498"/>
        <n x="2" s="1"/>
      </t>
    </mdx>
    <mdx n="0" f="v">
      <t c="4" si="1">
        <n x="332"/>
        <n x="4"/>
        <n x="499"/>
        <n x="2" s="1"/>
      </t>
    </mdx>
    <mdx n="0" f="v">
      <t c="4" si="1">
        <n x="331"/>
        <n x="7"/>
        <n x="498"/>
        <n x="2" s="1"/>
      </t>
    </mdx>
    <mdx n="0" f="v">
      <t c="4" si="1">
        <n x="331"/>
        <n x="7"/>
        <n x="499"/>
        <n x="2" s="1"/>
      </t>
    </mdx>
    <mdx n="0" f="v">
      <t c="4" si="1">
        <n x="330"/>
        <n x="10"/>
        <n x="498"/>
        <n x="2" s="1"/>
      </t>
    </mdx>
    <mdx n="0" f="v">
      <t c="4" si="1">
        <n x="330"/>
        <n x="10"/>
        <n x="499"/>
        <n x="2" s="1"/>
      </t>
    </mdx>
    <mdx n="0" f="v">
      <t c="4" si="1">
        <n x="329"/>
        <n x="10"/>
        <n x="498"/>
        <n x="2" s="1"/>
      </t>
    </mdx>
    <mdx n="0" f="v">
      <t c="4" si="1">
        <n x="329"/>
        <n x="10"/>
        <n x="499"/>
        <n x="2" s="1"/>
      </t>
    </mdx>
    <mdx n="0" f="v">
      <t c="4" si="1">
        <n x="328"/>
        <n x="4"/>
        <n x="498"/>
        <n x="2" s="1"/>
      </t>
    </mdx>
    <mdx n="0" f="v">
      <t c="4" si="1">
        <n x="328"/>
        <n x="4"/>
        <n x="499"/>
        <n x="2" s="1"/>
      </t>
    </mdx>
    <mdx n="0" f="v">
      <t c="4" si="1">
        <n x="327"/>
        <n x="10"/>
        <n x="498"/>
        <n x="2" s="1"/>
      </t>
    </mdx>
    <mdx n="0" f="v">
      <t c="4" si="1">
        <n x="327"/>
        <n x="10"/>
        <n x="499"/>
        <n x="2" s="1"/>
      </t>
    </mdx>
    <mdx n="0" f="v">
      <t c="4" si="1">
        <n x="326"/>
        <n x="4"/>
        <n x="498"/>
        <n x="2" s="1"/>
      </t>
    </mdx>
    <mdx n="0" f="v">
      <t c="4" si="1">
        <n x="326"/>
        <n x="4"/>
        <n x="499"/>
        <n x="2" s="1"/>
      </t>
    </mdx>
    <mdx n="0" f="v">
      <t c="4" si="1">
        <n x="325"/>
        <n x="10"/>
        <n x="498"/>
        <n x="2" s="1"/>
      </t>
    </mdx>
    <mdx n="0" f="v">
      <t c="4" si="1">
        <n x="325"/>
        <n x="10"/>
        <n x="499"/>
        <n x="2" s="1"/>
      </t>
    </mdx>
    <mdx n="0" f="v">
      <t c="4" si="1">
        <n x="324"/>
        <n x="4"/>
        <n x="498"/>
        <n x="2" s="1"/>
      </t>
    </mdx>
    <mdx n="0" f="v">
      <t c="4" si="1">
        <n x="324"/>
        <n x="4"/>
        <n x="499"/>
        <n x="2" s="1"/>
      </t>
    </mdx>
    <mdx n="0" f="v">
      <t c="4" si="1">
        <n x="323"/>
        <n x="10"/>
        <n x="498"/>
        <n x="2" s="1"/>
      </t>
    </mdx>
    <mdx n="0" f="v">
      <t c="4" si="1">
        <n x="323"/>
        <n x="10"/>
        <n x="499"/>
        <n x="2" s="1"/>
      </t>
    </mdx>
    <mdx n="0" f="v">
      <t c="4" si="1">
        <n x="322"/>
        <n x="10"/>
        <n x="498"/>
        <n x="2" s="1"/>
      </t>
    </mdx>
    <mdx n="0" f="v">
      <t c="4" si="1">
        <n x="322"/>
        <n x="10"/>
        <n x="499"/>
        <n x="2" s="1"/>
      </t>
    </mdx>
    <mdx n="0" f="v">
      <t c="4" si="1">
        <n x="321"/>
        <n x="10"/>
        <n x="498"/>
        <n x="2" s="1"/>
      </t>
    </mdx>
    <mdx n="0" f="v">
      <t c="4" si="1">
        <n x="321"/>
        <n x="10"/>
        <n x="499"/>
        <n x="2" s="1"/>
      </t>
    </mdx>
    <mdx n="0" f="v">
      <t c="4" si="1">
        <n x="320"/>
        <n x="4"/>
        <n x="498"/>
        <n x="2" s="1"/>
      </t>
    </mdx>
    <mdx n="0" f="v">
      <t c="4" si="1">
        <n x="320"/>
        <n x="4"/>
        <n x="499"/>
        <n x="2" s="1"/>
      </t>
    </mdx>
    <mdx n="0" f="v">
      <t c="4" si="1">
        <n x="319"/>
        <n x="4"/>
        <n x="498"/>
        <n x="2" s="1"/>
      </t>
    </mdx>
    <mdx n="0" f="v">
      <t c="4" si="1">
        <n x="319"/>
        <n x="4"/>
        <n x="499"/>
        <n x="2" s="1"/>
      </t>
    </mdx>
    <mdx n="0" f="v">
      <t c="4" si="1">
        <n x="318"/>
        <n x="10"/>
        <n x="498"/>
        <n x="2" s="1"/>
      </t>
    </mdx>
    <mdx n="0" f="v">
      <t c="4" si="1">
        <n x="318"/>
        <n x="10"/>
        <n x="499"/>
        <n x="2" s="1"/>
      </t>
    </mdx>
    <mdx n="0" f="v">
      <t c="4" si="1">
        <n x="317"/>
        <n x="4"/>
        <n x="498"/>
        <n x="2" s="1"/>
      </t>
    </mdx>
    <mdx n="0" f="v">
      <t c="4" si="1">
        <n x="317"/>
        <n x="4"/>
        <n x="499"/>
        <n x="2" s="1"/>
      </t>
    </mdx>
    <mdx n="0" f="v">
      <t c="4" si="1">
        <n x="316"/>
        <n x="4"/>
        <n x="498"/>
        <n x="2" s="1"/>
      </t>
    </mdx>
    <mdx n="0" f="v">
      <t c="4" si="1">
        <n x="316"/>
        <n x="4"/>
        <n x="499"/>
        <n x="2" s="1"/>
      </t>
    </mdx>
    <mdx n="0" f="v">
      <t c="4" si="1">
        <n x="315"/>
        <n x="10"/>
        <n x="498"/>
        <n x="2" s="1"/>
      </t>
    </mdx>
    <mdx n="0" f="v">
      <t c="4" si="1">
        <n x="315"/>
        <n x="10"/>
        <n x="499"/>
        <n x="2" s="1"/>
      </t>
    </mdx>
    <mdx n="0" f="v">
      <t c="4" si="1">
        <n x="314"/>
        <n x="10"/>
        <n x="498"/>
        <n x="2" s="1"/>
      </t>
    </mdx>
    <mdx n="0" f="v">
      <t c="4" si="1">
        <n x="314"/>
        <n x="10"/>
        <n x="499"/>
        <n x="2" s="1"/>
      </t>
    </mdx>
    <mdx n="0" f="v">
      <t c="4" si="1">
        <n x="313"/>
        <n x="10"/>
        <n x="498"/>
        <n x="2" s="1"/>
      </t>
    </mdx>
    <mdx n="0" f="v">
      <t c="4" si="1">
        <n x="313"/>
        <n x="10"/>
        <n x="499"/>
        <n x="2" s="1"/>
      </t>
    </mdx>
    <mdx n="0" f="v">
      <t c="4" si="1">
        <n x="312"/>
        <n x="10"/>
        <n x="498"/>
        <n x="2" s="1"/>
      </t>
    </mdx>
    <mdx n="0" f="v">
      <t c="4" si="1">
        <n x="312"/>
        <n x="10"/>
        <n x="499"/>
        <n x="2" s="1"/>
      </t>
    </mdx>
    <mdx n="0" f="v">
      <t c="4" si="1">
        <n x="311"/>
        <n x="4"/>
        <n x="498"/>
        <n x="2" s="1"/>
      </t>
    </mdx>
    <mdx n="0" f="v">
      <t c="4" si="1">
        <n x="311"/>
        <n x="4"/>
        <n x="499"/>
        <n x="2" s="1"/>
      </t>
    </mdx>
    <mdx n="0" f="v">
      <t c="4" si="1">
        <n x="310"/>
        <n x="4"/>
        <n x="498"/>
        <n x="2" s="1"/>
      </t>
    </mdx>
    <mdx n="0" f="v">
      <t c="4" si="1">
        <n x="310"/>
        <n x="4"/>
        <n x="499"/>
        <n x="2" s="1"/>
      </t>
    </mdx>
    <mdx n="0" f="v">
      <t c="4" si="1">
        <n x="309"/>
        <n x="4"/>
        <n x="498"/>
        <n x="2" s="1"/>
      </t>
    </mdx>
    <mdx n="0" f="v">
      <t c="4" si="1">
        <n x="309"/>
        <n x="4"/>
        <n x="499"/>
        <n x="2" s="1"/>
      </t>
    </mdx>
    <mdx n="0" f="v">
      <t c="4" si="1">
        <n x="308"/>
        <n x="10"/>
        <n x="498"/>
        <n x="2" s="1"/>
      </t>
    </mdx>
    <mdx n="0" f="v">
      <t c="4" si="1">
        <n x="308"/>
        <n x="10"/>
        <n x="499"/>
        <n x="2" s="1"/>
      </t>
    </mdx>
    <mdx n="0" f="v">
      <t c="4" si="1">
        <n x="307"/>
        <n x="10"/>
        <n x="498"/>
        <n x="2" s="1"/>
      </t>
    </mdx>
    <mdx n="0" f="v">
      <t c="4" si="1">
        <n x="307"/>
        <n x="10"/>
        <n x="499"/>
        <n x="2" s="1"/>
      </t>
    </mdx>
    <mdx n="0" f="v">
      <t c="4" si="1">
        <n x="306"/>
        <n x="4"/>
        <n x="498"/>
        <n x="2" s="1"/>
      </t>
    </mdx>
    <mdx n="0" f="v">
      <t c="4" si="1">
        <n x="306"/>
        <n x="4"/>
        <n x="499"/>
        <n x="2" s="1"/>
      </t>
    </mdx>
    <mdx n="0" f="v">
      <t c="4" si="1">
        <n x="305"/>
        <n x="4"/>
        <n x="498"/>
        <n x="2" s="1"/>
      </t>
    </mdx>
    <mdx n="0" f="v">
      <t c="4" si="1">
        <n x="305"/>
        <n x="4"/>
        <n x="499"/>
        <n x="2" s="1"/>
      </t>
    </mdx>
    <mdx n="0" f="v">
      <t c="4" si="1">
        <n x="304"/>
        <n x="4"/>
        <n x="498"/>
        <n x="2" s="1"/>
      </t>
    </mdx>
    <mdx n="0" f="v">
      <t c="4" si="1">
        <n x="304"/>
        <n x="4"/>
        <n x="499"/>
        <n x="2" s="1"/>
      </t>
    </mdx>
    <mdx n="0" f="v">
      <t c="4" si="1">
        <n x="303"/>
        <n x="4"/>
        <n x="498"/>
        <n x="2" s="1"/>
      </t>
    </mdx>
    <mdx n="0" f="v">
      <t c="4" si="1">
        <n x="303"/>
        <n x="4"/>
        <n x="499"/>
        <n x="2" s="1"/>
      </t>
    </mdx>
    <mdx n="0" f="v">
      <t c="4" si="1">
        <n x="302"/>
        <n x="4"/>
        <n x="498"/>
        <n x="2" s="1"/>
      </t>
    </mdx>
    <mdx n="0" f="v">
      <t c="4" si="1">
        <n x="302"/>
        <n x="4"/>
        <n x="499"/>
        <n x="2" s="1"/>
      </t>
    </mdx>
    <mdx n="0" f="v">
      <t c="4" si="1">
        <n x="301"/>
        <n x="7"/>
        <n x="498"/>
        <n x="2" s="1"/>
      </t>
    </mdx>
    <mdx n="0" f="v">
      <t c="4" si="1">
        <n x="301"/>
        <n x="7"/>
        <n x="499"/>
        <n x="2" s="1"/>
      </t>
    </mdx>
    <mdx n="0" f="v">
      <t c="4" si="1">
        <n x="300"/>
        <n x="10"/>
        <n x="498"/>
        <n x="2" s="1"/>
      </t>
    </mdx>
    <mdx n="0" f="v">
      <t c="4" si="1">
        <n x="300"/>
        <n x="10"/>
        <n x="499"/>
        <n x="2" s="1"/>
      </t>
    </mdx>
    <mdx n="0" f="v">
      <t c="4" si="1">
        <n x="299"/>
        <n x="4"/>
        <n x="498"/>
        <n x="2" s="1"/>
      </t>
    </mdx>
    <mdx n="0" f="v">
      <t c="4" si="1">
        <n x="299"/>
        <n x="4"/>
        <n x="499"/>
        <n x="2" s="1"/>
      </t>
    </mdx>
    <mdx n="0" f="v">
      <t c="4" si="1">
        <n x="298"/>
        <n x="4"/>
        <n x="498"/>
        <n x="2" s="1"/>
      </t>
    </mdx>
    <mdx n="0" f="v">
      <t c="4" si="1">
        <n x="298"/>
        <n x="4"/>
        <n x="499"/>
        <n x="2" s="1"/>
      </t>
    </mdx>
    <mdx n="0" f="v">
      <t c="4" si="1">
        <n x="297"/>
        <n x="10"/>
        <n x="498"/>
        <n x="2" s="1"/>
      </t>
    </mdx>
    <mdx n="0" f="v">
      <t c="4" si="1">
        <n x="297"/>
        <n x="10"/>
        <n x="499"/>
        <n x="2" s="1"/>
      </t>
    </mdx>
    <mdx n="0" f="v">
      <t c="4" si="1">
        <n x="296"/>
        <n x="4"/>
        <n x="498"/>
        <n x="2" s="1"/>
      </t>
    </mdx>
    <mdx n="0" f="v">
      <t c="4" si="1">
        <n x="296"/>
        <n x="4"/>
        <n x="499"/>
        <n x="2" s="1"/>
      </t>
    </mdx>
    <mdx n="0" f="v">
      <t c="4" si="1">
        <n x="295"/>
        <n x="7"/>
        <n x="498"/>
        <n x="2" s="1"/>
      </t>
    </mdx>
    <mdx n="0" f="v">
      <t c="4" si="1">
        <n x="295"/>
        <n x="7"/>
        <n x="499"/>
        <n x="2" s="1"/>
      </t>
    </mdx>
    <mdx n="0" f="v">
      <t c="4" si="1">
        <n x="294"/>
        <n x="10"/>
        <n x="498"/>
        <n x="2" s="1"/>
      </t>
    </mdx>
    <mdx n="0" f="v">
      <t c="4" si="1">
        <n x="294"/>
        <n x="10"/>
        <n x="499"/>
        <n x="2" s="1"/>
      </t>
    </mdx>
    <mdx n="0" f="v">
      <t c="4" si="1">
        <n x="293"/>
        <n x="10"/>
        <n x="498"/>
        <n x="2" s="1"/>
      </t>
    </mdx>
    <mdx n="0" f="v">
      <t c="4" si="1">
        <n x="293"/>
        <n x="10"/>
        <n x="499"/>
        <n x="2" s="1"/>
      </t>
    </mdx>
    <mdx n="0" f="v">
      <t c="4" si="1">
        <n x="292"/>
        <n x="4"/>
        <n x="498"/>
        <n x="2" s="1"/>
      </t>
    </mdx>
    <mdx n="0" f="v">
      <t c="4" si="1">
        <n x="292"/>
        <n x="4"/>
        <n x="499"/>
        <n x="2" s="1"/>
      </t>
    </mdx>
    <mdx n="0" f="v">
      <t c="4" si="1">
        <n x="291"/>
        <n x="4"/>
        <n x="498"/>
        <n x="2" s="1"/>
      </t>
    </mdx>
    <mdx n="0" f="v">
      <t c="4" si="1">
        <n x="291"/>
        <n x="4"/>
        <n x="499"/>
        <n x="2" s="1"/>
      </t>
    </mdx>
    <mdx n="0" f="v">
      <t c="4" si="1">
        <n x="290"/>
        <n x="10"/>
        <n x="498"/>
        <n x="2" s="1"/>
      </t>
    </mdx>
    <mdx n="0" f="v">
      <t c="4" si="1">
        <n x="290"/>
        <n x="10"/>
        <n x="499"/>
        <n x="2" s="1"/>
      </t>
    </mdx>
    <mdx n="0" f="v">
      <t c="4" si="1">
        <n x="289"/>
        <n x="4"/>
        <n x="498"/>
        <n x="2" s="1"/>
      </t>
    </mdx>
    <mdx n="0" f="v">
      <t c="4" si="1">
        <n x="289"/>
        <n x="4"/>
        <n x="499"/>
        <n x="2" s="1"/>
      </t>
    </mdx>
    <mdx n="0" f="v">
      <t c="4" si="1">
        <n x="288"/>
        <n x="10"/>
        <n x="498"/>
        <n x="2" s="1"/>
      </t>
    </mdx>
    <mdx n="0" f="v">
      <t c="4" si="1">
        <n x="288"/>
        <n x="10"/>
        <n x="499"/>
        <n x="2" s="1"/>
      </t>
    </mdx>
    <mdx n="0" f="v">
      <t c="4" si="1">
        <n x="287"/>
        <n x="10"/>
        <n x="498"/>
        <n x="2" s="1"/>
      </t>
    </mdx>
    <mdx n="0" f="v">
      <t c="4" si="1">
        <n x="287"/>
        <n x="10"/>
        <n x="499"/>
        <n x="2" s="1"/>
      </t>
    </mdx>
    <mdx n="0" f="v">
      <t c="4" si="1">
        <n x="286"/>
        <n x="4"/>
        <n x="498"/>
        <n x="2" s="1"/>
      </t>
    </mdx>
    <mdx n="0" f="v">
      <t c="4" si="1">
        <n x="286"/>
        <n x="4"/>
        <n x="499"/>
        <n x="2" s="1"/>
      </t>
    </mdx>
    <mdx n="0" f="v">
      <t c="4" si="1">
        <n x="285"/>
        <n x="4"/>
        <n x="498"/>
        <n x="2" s="1"/>
      </t>
    </mdx>
    <mdx n="0" f="v">
      <t c="4" si="1">
        <n x="285"/>
        <n x="4"/>
        <n x="499"/>
        <n x="2" s="1"/>
      </t>
    </mdx>
    <mdx n="0" f="v">
      <t c="4" si="1">
        <n x="284"/>
        <n x="4"/>
        <n x="498"/>
        <n x="2" s="1"/>
      </t>
    </mdx>
    <mdx n="0" f="v">
      <t c="4" si="1">
        <n x="284"/>
        <n x="4"/>
        <n x="499"/>
        <n x="2" s="1"/>
      </t>
    </mdx>
    <mdx n="0" f="v">
      <t c="4" si="1">
        <n x="283"/>
        <n x="4"/>
        <n x="498"/>
        <n x="2" s="1"/>
      </t>
    </mdx>
    <mdx n="0" f="v">
      <t c="4" si="1">
        <n x="283"/>
        <n x="4"/>
        <n x="499"/>
        <n x="2" s="1"/>
      </t>
    </mdx>
    <mdx n="0" f="v">
      <t c="4" si="1">
        <n x="282"/>
        <n x="4"/>
        <n x="498"/>
        <n x="2" s="1"/>
      </t>
    </mdx>
    <mdx n="0" f="v">
      <t c="4" si="1">
        <n x="282"/>
        <n x="4"/>
        <n x="499"/>
        <n x="2" s="1"/>
      </t>
    </mdx>
    <mdx n="0" f="v">
      <t c="4" si="1">
        <n x="281"/>
        <n x="10"/>
        <n x="498"/>
        <n x="2" s="1"/>
      </t>
    </mdx>
    <mdx n="0" f="v">
      <t c="4" si="1">
        <n x="281"/>
        <n x="10"/>
        <n x="499"/>
        <n x="2" s="1"/>
      </t>
    </mdx>
    <mdx n="0" f="v">
      <t c="4" si="1">
        <n x="280"/>
        <n x="10"/>
        <n x="498"/>
        <n x="2" s="1"/>
      </t>
    </mdx>
    <mdx n="0" f="v">
      <t c="4" si="1">
        <n x="280"/>
        <n x="10"/>
        <n x="499"/>
        <n x="2" s="1"/>
      </t>
    </mdx>
    <mdx n="0" f="v">
      <t c="4" si="1">
        <n x="279"/>
        <n x="10"/>
        <n x="498"/>
        <n x="2" s="1"/>
      </t>
    </mdx>
    <mdx n="0" f="v">
      <t c="4" si="1">
        <n x="279"/>
        <n x="10"/>
        <n x="499"/>
        <n x="2" s="1"/>
      </t>
    </mdx>
    <mdx n="0" f="v">
      <t c="4" si="1">
        <n x="278"/>
        <n x="10"/>
        <n x="498"/>
        <n x="2" s="1"/>
      </t>
    </mdx>
    <mdx n="0" f="v">
      <t c="4" si="1">
        <n x="278"/>
        <n x="10"/>
        <n x="499"/>
        <n x="2" s="1"/>
      </t>
    </mdx>
    <mdx n="0" f="v">
      <t c="4" si="1">
        <n x="277"/>
        <n x="4"/>
        <n x="498"/>
        <n x="2" s="1"/>
      </t>
    </mdx>
    <mdx n="0" f="v">
      <t c="4" si="1">
        <n x="277"/>
        <n x="4"/>
        <n x="499"/>
        <n x="2" s="1"/>
      </t>
    </mdx>
    <mdx n="0" f="v">
      <t c="4" si="1">
        <n x="276"/>
        <n x="10"/>
        <n x="498"/>
        <n x="2" s="1"/>
      </t>
    </mdx>
    <mdx n="0" f="v">
      <t c="4" si="1">
        <n x="276"/>
        <n x="10"/>
        <n x="499"/>
        <n x="2" s="1"/>
      </t>
    </mdx>
    <mdx n="0" f="v">
      <t c="4" si="1">
        <n x="275"/>
        <n x="4"/>
        <n x="498"/>
        <n x="2" s="1"/>
      </t>
    </mdx>
    <mdx n="0" f="v">
      <t c="4" si="1">
        <n x="275"/>
        <n x="4"/>
        <n x="499"/>
        <n x="2" s="1"/>
      </t>
    </mdx>
    <mdx n="0" f="v">
      <t c="4" si="1">
        <n x="274"/>
        <n x="4"/>
        <n x="498"/>
        <n x="2" s="1"/>
      </t>
    </mdx>
    <mdx n="0" f="v">
      <t c="4" si="1">
        <n x="274"/>
        <n x="4"/>
        <n x="499"/>
        <n x="2" s="1"/>
      </t>
    </mdx>
    <mdx n="0" f="v">
      <t c="4" si="1">
        <n x="273"/>
        <n x="10"/>
        <n x="498"/>
        <n x="2" s="1"/>
      </t>
    </mdx>
    <mdx n="0" f="v">
      <t c="4" si="1">
        <n x="273"/>
        <n x="10"/>
        <n x="499"/>
        <n x="2" s="1"/>
      </t>
    </mdx>
    <mdx n="0" f="v">
      <t c="4" si="1">
        <n x="272"/>
        <n x="4"/>
        <n x="498"/>
        <n x="2" s="1"/>
      </t>
    </mdx>
    <mdx n="0" f="v">
      <t c="4" si="1">
        <n x="272"/>
        <n x="4"/>
        <n x="499"/>
        <n x="2" s="1"/>
      </t>
    </mdx>
    <mdx n="0" f="v">
      <t c="4" si="1">
        <n x="271"/>
        <n x="10"/>
        <n x="498"/>
        <n x="2" s="1"/>
      </t>
    </mdx>
    <mdx n="0" f="v">
      <t c="4" si="1">
        <n x="271"/>
        <n x="10"/>
        <n x="499"/>
        <n x="2" s="1"/>
      </t>
    </mdx>
    <mdx n="0" f="v">
      <t c="4" si="1">
        <n x="270"/>
        <n x="10"/>
        <n x="498"/>
        <n x="2" s="1"/>
      </t>
    </mdx>
    <mdx n="0" f="v">
      <t c="4" si="1">
        <n x="270"/>
        <n x="10"/>
        <n x="499"/>
        <n x="2" s="1"/>
      </t>
    </mdx>
    <mdx n="0" f="v">
      <t c="4" si="1">
        <n x="269"/>
        <n x="4"/>
        <n x="498"/>
        <n x="2" s="1"/>
      </t>
    </mdx>
    <mdx n="0" f="v">
      <t c="4" si="1">
        <n x="269"/>
        <n x="4"/>
        <n x="499"/>
        <n x="2" s="1"/>
      </t>
    </mdx>
    <mdx n="0" f="v">
      <t c="4" si="1">
        <n x="268"/>
        <n x="10"/>
        <n x="498"/>
        <n x="2" s="1"/>
      </t>
    </mdx>
    <mdx n="0" f="v">
      <t c="4" si="1">
        <n x="268"/>
        <n x="10"/>
        <n x="499"/>
        <n x="2" s="1"/>
      </t>
    </mdx>
    <mdx n="0" f="v">
      <t c="4" si="1">
        <n x="267"/>
        <n x="7"/>
        <n x="498"/>
        <n x="2" s="1"/>
      </t>
    </mdx>
    <mdx n="0" f="v">
      <t c="4" si="1">
        <n x="267"/>
        <n x="7"/>
        <n x="499"/>
        <n x="2" s="1"/>
      </t>
    </mdx>
    <mdx n="0" f="v">
      <t c="4" si="1">
        <n x="266"/>
        <n x="4"/>
        <n x="498"/>
        <n x="2" s="1"/>
      </t>
    </mdx>
    <mdx n="0" f="v">
      <t c="4" si="1">
        <n x="266"/>
        <n x="4"/>
        <n x="499"/>
        <n x="2" s="1"/>
      </t>
    </mdx>
    <mdx n="0" f="v">
      <t c="4" si="1">
        <n x="265"/>
        <n x="10"/>
        <n x="498"/>
        <n x="2" s="1"/>
      </t>
    </mdx>
    <mdx n="0" f="v">
      <t c="4" si="1">
        <n x="265"/>
        <n x="10"/>
        <n x="499"/>
        <n x="2" s="1"/>
      </t>
    </mdx>
    <mdx n="0" f="v">
      <t c="4" si="1">
        <n x="264"/>
        <n x="4"/>
        <n x="498"/>
        <n x="2" s="1"/>
      </t>
    </mdx>
    <mdx n="0" f="v">
      <t c="4" si="1">
        <n x="264"/>
        <n x="4"/>
        <n x="499"/>
        <n x="2" s="1"/>
      </t>
    </mdx>
    <mdx n="0" f="v">
      <t c="4" si="1">
        <n x="263"/>
        <n x="4"/>
        <n x="498"/>
        <n x="2" s="1"/>
      </t>
    </mdx>
    <mdx n="0" f="v">
      <t c="4" si="1">
        <n x="263"/>
        <n x="4"/>
        <n x="499"/>
        <n x="2" s="1"/>
      </t>
    </mdx>
    <mdx n="0" f="v">
      <t c="4" si="1">
        <n x="262"/>
        <n x="4"/>
        <n x="498"/>
        <n x="2" s="1"/>
      </t>
    </mdx>
    <mdx n="0" f="v">
      <t c="4" si="1">
        <n x="262"/>
        <n x="4"/>
        <n x="499"/>
        <n x="2" s="1"/>
      </t>
    </mdx>
    <mdx n="0" f="v">
      <t c="4" si="1">
        <n x="261"/>
        <n x="10"/>
        <n x="498"/>
        <n x="2" s="1"/>
      </t>
    </mdx>
    <mdx n="0" f="v">
      <t c="4" si="1">
        <n x="261"/>
        <n x="10"/>
        <n x="499"/>
        <n x="2" s="1"/>
      </t>
    </mdx>
    <mdx n="0" f="v">
      <t c="4" si="1">
        <n x="260"/>
        <n x="7"/>
        <n x="498"/>
        <n x="2" s="1"/>
      </t>
    </mdx>
    <mdx n="0" f="v">
      <t c="4" si="1">
        <n x="260"/>
        <n x="7"/>
        <n x="499"/>
        <n x="2" s="1"/>
      </t>
    </mdx>
    <mdx n="0" f="v">
      <t c="4" si="1">
        <n x="259"/>
        <n x="4"/>
        <n x="498"/>
        <n x="2" s="1"/>
      </t>
    </mdx>
    <mdx n="0" f="v">
      <t c="4" si="1">
        <n x="259"/>
        <n x="4"/>
        <n x="499"/>
        <n x="2" s="1"/>
      </t>
    </mdx>
    <mdx n="0" f="v">
      <t c="4" si="1">
        <n x="258"/>
        <n x="10"/>
        <n x="498"/>
        <n x="2" s="1"/>
      </t>
    </mdx>
    <mdx n="0" f="v">
      <t c="4" si="1">
        <n x="258"/>
        <n x="10"/>
        <n x="499"/>
        <n x="2" s="1"/>
      </t>
    </mdx>
    <mdx n="0" f="v">
      <t c="4" si="1">
        <n x="257"/>
        <n x="4"/>
        <n x="498"/>
        <n x="2" s="1"/>
      </t>
    </mdx>
    <mdx n="0" f="v">
      <t c="4" si="1">
        <n x="257"/>
        <n x="4"/>
        <n x="499"/>
        <n x="2" s="1"/>
      </t>
    </mdx>
    <mdx n="0" f="v">
      <t c="4" si="1">
        <n x="256"/>
        <n x="4"/>
        <n x="498"/>
        <n x="2" s="1"/>
      </t>
    </mdx>
    <mdx n="0" f="v">
      <t c="4" si="1">
        <n x="256"/>
        <n x="4"/>
        <n x="499"/>
        <n x="2" s="1"/>
      </t>
    </mdx>
    <mdx n="0" f="v">
      <t c="4" si="1">
        <n x="255"/>
        <n x="4"/>
        <n x="498"/>
        <n x="2" s="1"/>
      </t>
    </mdx>
    <mdx n="0" f="v">
      <t c="4" si="1">
        <n x="255"/>
        <n x="4"/>
        <n x="499"/>
        <n x="2" s="1"/>
      </t>
    </mdx>
    <mdx n="0" f="v">
      <t c="4" si="1">
        <n x="254"/>
        <n x="10"/>
        <n x="498"/>
        <n x="2" s="1"/>
      </t>
    </mdx>
    <mdx n="0" f="v">
      <t c="4" si="1">
        <n x="254"/>
        <n x="10"/>
        <n x="499"/>
        <n x="2" s="1"/>
      </t>
    </mdx>
    <mdx n="0" f="v">
      <t c="4" si="1">
        <n x="253"/>
        <n x="10"/>
        <n x="498"/>
        <n x="2" s="1"/>
      </t>
    </mdx>
    <mdx n="0" f="v">
      <t c="4" si="1">
        <n x="253"/>
        <n x="10"/>
        <n x="499"/>
        <n x="2" s="1"/>
      </t>
    </mdx>
    <mdx n="0" f="v">
      <t c="4" si="1">
        <n x="252"/>
        <n x="4"/>
        <n x="498"/>
        <n x="2" s="1"/>
      </t>
    </mdx>
    <mdx n="0" f="v">
      <t c="4" si="1">
        <n x="252"/>
        <n x="4"/>
        <n x="499"/>
        <n x="2" s="1"/>
      </t>
    </mdx>
    <mdx n="0" f="v">
      <t c="4" si="1">
        <n x="251"/>
        <n x="10"/>
        <n x="498"/>
        <n x="2" s="1"/>
      </t>
    </mdx>
    <mdx n="0" f="v">
      <t c="4" si="1">
        <n x="251"/>
        <n x="10"/>
        <n x="499"/>
        <n x="2" s="1"/>
      </t>
    </mdx>
    <mdx n="0" f="v">
      <t c="4" si="1">
        <n x="250"/>
        <n x="10"/>
        <n x="498"/>
        <n x="2" s="1"/>
      </t>
    </mdx>
    <mdx n="0" f="v">
      <t c="4" si="1">
        <n x="250"/>
        <n x="10"/>
        <n x="499"/>
        <n x="2" s="1"/>
      </t>
    </mdx>
    <mdx n="0" f="v">
      <t c="4" si="1">
        <n x="249"/>
        <n x="10"/>
        <n x="498"/>
        <n x="2" s="1"/>
      </t>
    </mdx>
    <mdx n="0" f="v">
      <t c="4" si="1">
        <n x="249"/>
        <n x="10"/>
        <n x="499"/>
        <n x="2" s="1"/>
      </t>
    </mdx>
    <mdx n="0" f="v">
      <t c="4" si="1">
        <n x="248"/>
        <n x="4"/>
        <n x="498"/>
        <n x="2" s="1"/>
      </t>
    </mdx>
    <mdx n="0" f="v">
      <t c="4" si="1">
        <n x="248"/>
        <n x="4"/>
        <n x="499"/>
        <n x="2" s="1"/>
      </t>
    </mdx>
    <mdx n="0" f="v">
      <t c="4" si="1">
        <n x="247"/>
        <n x="4"/>
        <n x="498"/>
        <n x="2" s="1"/>
      </t>
    </mdx>
    <mdx n="0" f="v">
      <t c="4" si="1">
        <n x="247"/>
        <n x="4"/>
        <n x="499"/>
        <n x="2" s="1"/>
      </t>
    </mdx>
    <mdx n="0" f="v">
      <t c="4" si="1">
        <n x="246"/>
        <n x="4"/>
        <n x="498"/>
        <n x="2" s="1"/>
      </t>
    </mdx>
    <mdx n="0" f="v">
      <t c="4" si="1">
        <n x="246"/>
        <n x="4"/>
        <n x="499"/>
        <n x="2" s="1"/>
      </t>
    </mdx>
    <mdx n="0" f="v">
      <t c="4" si="1">
        <n x="245"/>
        <n x="10"/>
        <n x="498"/>
        <n x="2" s="1"/>
      </t>
    </mdx>
    <mdx n="0" f="v">
      <t c="4" si="1">
        <n x="245"/>
        <n x="10"/>
        <n x="499"/>
        <n x="2" s="1"/>
      </t>
    </mdx>
    <mdx n="0" f="v">
      <t c="4" si="1">
        <n x="244"/>
        <n x="4"/>
        <n x="498"/>
        <n x="2" s="1"/>
      </t>
    </mdx>
    <mdx n="0" f="v">
      <t c="4" si="1">
        <n x="244"/>
        <n x="4"/>
        <n x="499"/>
        <n x="2" s="1"/>
      </t>
    </mdx>
    <mdx n="0" f="v">
      <t c="4" si="1">
        <n x="243"/>
        <n x="4"/>
        <n x="498"/>
        <n x="2" s="1"/>
      </t>
    </mdx>
    <mdx n="0" f="v">
      <t c="4" si="1">
        <n x="243"/>
        <n x="4"/>
        <n x="499"/>
        <n x="2" s="1"/>
      </t>
    </mdx>
    <mdx n="0" f="v">
      <t c="4" si="1">
        <n x="242"/>
        <n x="10"/>
        <n x="498"/>
        <n x="2" s="1"/>
      </t>
    </mdx>
    <mdx n="0" f="v">
      <t c="4" si="1">
        <n x="242"/>
        <n x="10"/>
        <n x="499"/>
        <n x="2" s="1"/>
      </t>
    </mdx>
    <mdx n="0" f="v">
      <t c="4" si="1">
        <n x="241"/>
        <n x="10"/>
        <n x="498"/>
        <n x="2" s="1"/>
      </t>
    </mdx>
    <mdx n="0" f="v">
      <t c="4" si="1">
        <n x="241"/>
        <n x="10"/>
        <n x="499"/>
        <n x="2" s="1"/>
      </t>
    </mdx>
    <mdx n="0" f="v">
      <t c="4" si="1">
        <n x="240"/>
        <n x="4"/>
        <n x="498"/>
        <n x="2" s="1"/>
      </t>
    </mdx>
    <mdx n="0" f="v">
      <t c="4" si="1">
        <n x="240"/>
        <n x="4"/>
        <n x="499"/>
        <n x="2" s="1"/>
      </t>
    </mdx>
    <mdx n="0" f="v">
      <t c="4" si="1">
        <n x="239"/>
        <n x="4"/>
        <n x="498"/>
        <n x="2" s="1"/>
      </t>
    </mdx>
    <mdx n="0" f="v">
      <t c="4" si="1">
        <n x="239"/>
        <n x="4"/>
        <n x="499"/>
        <n x="2" s="1"/>
      </t>
    </mdx>
    <mdx n="0" f="v">
      <t c="4" si="1">
        <n x="238"/>
        <n x="4"/>
        <n x="498"/>
        <n x="2" s="1"/>
      </t>
    </mdx>
    <mdx n="0" f="v">
      <t c="4" si="1">
        <n x="238"/>
        <n x="4"/>
        <n x="499"/>
        <n x="2" s="1"/>
      </t>
    </mdx>
    <mdx n="0" f="v">
      <t c="4" si="1">
        <n x="237"/>
        <n x="4"/>
        <n x="498"/>
        <n x="2" s="1"/>
      </t>
    </mdx>
    <mdx n="0" f="v">
      <t c="4" si="1">
        <n x="237"/>
        <n x="4"/>
        <n x="499"/>
        <n x="2" s="1"/>
      </t>
    </mdx>
    <mdx n="0" f="v">
      <t c="4" si="1">
        <n x="236"/>
        <n x="10"/>
        <n x="498"/>
        <n x="2" s="1"/>
      </t>
    </mdx>
    <mdx n="0" f="v">
      <t c="4" si="1">
        <n x="236"/>
        <n x="10"/>
        <n x="499"/>
        <n x="2" s="1"/>
      </t>
    </mdx>
    <mdx n="0" f="v">
      <t c="4" si="1">
        <n x="235"/>
        <n x="10"/>
        <n x="498"/>
        <n x="2" s="1"/>
      </t>
    </mdx>
    <mdx n="0" f="v">
      <t c="4" si="1">
        <n x="235"/>
        <n x="10"/>
        <n x="499"/>
        <n x="2" s="1"/>
      </t>
    </mdx>
    <mdx n="0" f="v">
      <t c="4" si="1">
        <n x="234"/>
        <n x="4"/>
        <n x="498"/>
        <n x="2" s="1"/>
      </t>
    </mdx>
    <mdx n="0" f="v">
      <t c="4" si="1">
        <n x="234"/>
        <n x="4"/>
        <n x="499"/>
        <n x="2" s="1"/>
      </t>
    </mdx>
    <mdx n="0" f="v">
      <t c="4" si="1">
        <n x="233"/>
        <n x="4"/>
        <n x="498"/>
        <n x="2" s="1"/>
      </t>
    </mdx>
    <mdx n="0" f="v">
      <t c="4" si="1">
        <n x="233"/>
        <n x="4"/>
        <n x="499"/>
        <n x="2" s="1"/>
      </t>
    </mdx>
    <mdx n="0" f="v">
      <t c="4" si="1">
        <n x="232"/>
        <n x="4"/>
        <n x="498"/>
        <n x="2" s="1"/>
      </t>
    </mdx>
    <mdx n="0" f="v">
      <t c="4" si="1">
        <n x="232"/>
        <n x="4"/>
        <n x="499"/>
        <n x="2" s="1"/>
      </t>
    </mdx>
    <mdx n="0" f="v">
      <t c="4" si="1">
        <n x="231"/>
        <n x="4"/>
        <n x="498"/>
        <n x="2" s="1"/>
      </t>
    </mdx>
    <mdx n="0" f="v">
      <t c="4" si="1">
        <n x="231"/>
        <n x="4"/>
        <n x="499"/>
        <n x="2" s="1"/>
      </t>
    </mdx>
    <mdx n="0" f="v">
      <t c="4" si="1">
        <n x="230"/>
        <n x="10"/>
        <n x="498"/>
        <n x="2" s="1"/>
      </t>
    </mdx>
    <mdx n="0" f="v">
      <t c="4" si="1">
        <n x="230"/>
        <n x="10"/>
        <n x="499"/>
        <n x="2" s="1"/>
      </t>
    </mdx>
    <mdx n="0" f="v">
      <t c="4" si="1">
        <n x="229"/>
        <n x="10"/>
        <n x="498"/>
        <n x="2" s="1"/>
      </t>
    </mdx>
    <mdx n="0" f="v">
      <t c="4" si="1">
        <n x="229"/>
        <n x="10"/>
        <n x="499"/>
        <n x="2" s="1"/>
      </t>
    </mdx>
    <mdx n="0" f="v">
      <t c="4" si="1">
        <n x="228"/>
        <n x="4"/>
        <n x="498"/>
        <n x="2" s="1"/>
      </t>
    </mdx>
    <mdx n="0" f="v">
      <t c="4" si="1">
        <n x="228"/>
        <n x="4"/>
        <n x="499"/>
        <n x="2" s="1"/>
      </t>
    </mdx>
    <mdx n="0" f="v">
      <t c="4" si="1">
        <n x="227"/>
        <n x="4"/>
        <n x="498"/>
        <n x="2" s="1"/>
      </t>
    </mdx>
    <mdx n="0" f="v">
      <t c="4" si="1">
        <n x="227"/>
        <n x="4"/>
        <n x="499"/>
        <n x="2" s="1"/>
      </t>
    </mdx>
    <mdx n="0" f="v">
      <t c="4" si="1">
        <n x="226"/>
        <n x="4"/>
        <n x="498"/>
        <n x="2" s="1"/>
      </t>
    </mdx>
    <mdx n="0" f="v">
      <t c="4" si="1">
        <n x="226"/>
        <n x="4"/>
        <n x="499"/>
        <n x="2" s="1"/>
      </t>
    </mdx>
    <mdx n="0" f="v">
      <t c="4" si="1">
        <n x="225"/>
        <n x="4"/>
        <n x="498"/>
        <n x="2" s="1"/>
      </t>
    </mdx>
    <mdx n="0" f="v">
      <t c="4" si="1">
        <n x="225"/>
        <n x="4"/>
        <n x="499"/>
        <n x="2" s="1"/>
      </t>
    </mdx>
    <mdx n="0" f="v">
      <t c="4" si="1">
        <n x="224"/>
        <n x="4"/>
        <n x="498"/>
        <n x="2" s="1"/>
      </t>
    </mdx>
    <mdx n="0" f="v">
      <t c="4" si="1">
        <n x="224"/>
        <n x="4"/>
        <n x="499"/>
        <n x="2" s="1"/>
      </t>
    </mdx>
    <mdx n="0" f="v">
      <t c="4" si="1">
        <n x="223"/>
        <n x="10"/>
        <n x="498"/>
        <n x="2" s="1"/>
      </t>
    </mdx>
    <mdx n="0" f="v">
      <t c="4" si="1">
        <n x="223"/>
        <n x="10"/>
        <n x="499"/>
        <n x="2" s="1"/>
      </t>
    </mdx>
    <mdx n="0" f="v">
      <t c="4" si="1">
        <n x="222"/>
        <n x="10"/>
        <n x="498"/>
        <n x="2" s="1"/>
      </t>
    </mdx>
    <mdx n="0" f="v">
      <t c="4" si="1">
        <n x="222"/>
        <n x="10"/>
        <n x="499"/>
        <n x="2" s="1"/>
      </t>
    </mdx>
    <mdx n="0" f="v">
      <t c="4" si="1">
        <n x="221"/>
        <n x="10"/>
        <n x="498"/>
        <n x="2" s="1"/>
      </t>
    </mdx>
    <mdx n="0" f="v">
      <t c="4" si="1">
        <n x="221"/>
        <n x="10"/>
        <n x="499"/>
        <n x="2" s="1"/>
      </t>
    </mdx>
    <mdx n="0" f="v">
      <t c="4" si="1">
        <n x="220"/>
        <n x="4"/>
        <n x="498"/>
        <n x="2" s="1"/>
      </t>
    </mdx>
    <mdx n="0" f="v">
      <t c="4" si="1">
        <n x="220"/>
        <n x="4"/>
        <n x="499"/>
        <n x="2" s="1"/>
      </t>
    </mdx>
    <mdx n="0" f="v">
      <t c="4" si="1">
        <n x="219"/>
        <n x="7"/>
        <n x="498"/>
        <n x="2" s="1"/>
      </t>
    </mdx>
    <mdx n="0" f="v">
      <t c="4" si="1">
        <n x="219"/>
        <n x="7"/>
        <n x="499"/>
        <n x="2" s="1"/>
      </t>
    </mdx>
    <mdx n="0" f="v">
      <t c="4" si="1">
        <n x="218"/>
        <n x="10"/>
        <n x="498"/>
        <n x="2" s="1"/>
      </t>
    </mdx>
    <mdx n="0" f="v">
      <t c="4" si="1">
        <n x="218"/>
        <n x="10"/>
        <n x="499"/>
        <n x="2" s="1"/>
      </t>
    </mdx>
    <mdx n="0" f="v">
      <t c="4" si="1">
        <n x="217"/>
        <n x="10"/>
        <n x="498"/>
        <n x="2" s="1"/>
      </t>
    </mdx>
    <mdx n="0" f="v">
      <t c="4" si="1">
        <n x="217"/>
        <n x="10"/>
        <n x="499"/>
        <n x="2" s="1"/>
      </t>
    </mdx>
    <mdx n="0" f="v">
      <t c="4" si="1">
        <n x="216"/>
        <n x="10"/>
        <n x="498"/>
        <n x="2" s="1"/>
      </t>
    </mdx>
    <mdx n="0" f="v">
      <t c="4" si="1">
        <n x="216"/>
        <n x="10"/>
        <n x="499"/>
        <n x="2" s="1"/>
      </t>
    </mdx>
    <mdx n="0" f="v">
      <t c="4" si="1">
        <n x="215"/>
        <n x="4"/>
        <n x="498"/>
        <n x="2" s="1"/>
      </t>
    </mdx>
    <mdx n="0" f="v">
      <t c="4" si="1">
        <n x="215"/>
        <n x="4"/>
        <n x="499"/>
        <n x="2" s="1"/>
      </t>
    </mdx>
    <mdx n="0" f="v">
      <t c="4" si="1">
        <n x="214"/>
        <n x="7"/>
        <n x="498"/>
        <n x="2" s="1"/>
      </t>
    </mdx>
    <mdx n="0" f="v">
      <t c="4" si="1">
        <n x="214"/>
        <n x="7"/>
        <n x="499"/>
        <n x="2" s="1"/>
      </t>
    </mdx>
    <mdx n="0" f="v">
      <t c="4" si="1">
        <n x="213"/>
        <n x="7"/>
        <n x="498"/>
        <n x="2" s="1"/>
      </t>
    </mdx>
    <mdx n="0" f="v">
      <t c="4" si="1">
        <n x="213"/>
        <n x="7"/>
        <n x="499"/>
        <n x="2" s="1"/>
      </t>
    </mdx>
    <mdx n="0" f="v">
      <t c="4" si="1">
        <n x="212"/>
        <n x="4"/>
        <n x="498"/>
        <n x="2" s="1"/>
      </t>
    </mdx>
    <mdx n="0" f="v">
      <t c="4" si="1">
        <n x="212"/>
        <n x="4"/>
        <n x="499"/>
        <n x="2" s="1"/>
      </t>
    </mdx>
    <mdx n="0" f="v">
      <t c="4" si="1">
        <n x="211"/>
        <n x="10"/>
        <n x="498"/>
        <n x="2" s="1"/>
      </t>
    </mdx>
    <mdx n="0" f="v">
      <t c="4" si="1">
        <n x="211"/>
        <n x="10"/>
        <n x="499"/>
        <n x="2" s="1"/>
      </t>
    </mdx>
    <mdx n="0" f="v">
      <t c="4" si="1">
        <n x="210"/>
        <n x="10"/>
        <n x="498"/>
        <n x="2" s="1"/>
      </t>
    </mdx>
    <mdx n="0" f="v">
      <t c="4" si="1">
        <n x="210"/>
        <n x="10"/>
        <n x="499"/>
        <n x="2" s="1"/>
      </t>
    </mdx>
    <mdx n="0" f="v">
      <t c="4" si="1">
        <n x="209"/>
        <n x="10"/>
        <n x="498"/>
        <n x="2" s="1"/>
      </t>
    </mdx>
    <mdx n="0" f="v">
      <t c="4" si="1">
        <n x="209"/>
        <n x="10"/>
        <n x="499"/>
        <n x="2" s="1"/>
      </t>
    </mdx>
    <mdx n="0" f="v">
      <t c="4" si="1">
        <n x="208"/>
        <n x="4"/>
        <n x="498"/>
        <n x="2" s="1"/>
      </t>
    </mdx>
    <mdx n="0" f="v">
      <t c="4" si="1">
        <n x="208"/>
        <n x="4"/>
        <n x="499"/>
        <n x="2" s="1"/>
      </t>
    </mdx>
    <mdx n="0" f="v">
      <t c="4" si="1">
        <n x="207"/>
        <n x="10"/>
        <n x="498"/>
        <n x="2" s="1"/>
      </t>
    </mdx>
    <mdx n="0" f="v">
      <t c="4" si="1">
        <n x="207"/>
        <n x="10"/>
        <n x="499"/>
        <n x="2" s="1"/>
      </t>
    </mdx>
    <mdx n="0" f="v">
      <t c="4" si="1">
        <n x="206"/>
        <n x="4"/>
        <n x="498"/>
        <n x="2" s="1"/>
      </t>
    </mdx>
    <mdx n="0" f="v">
      <t c="4" si="1">
        <n x="206"/>
        <n x="4"/>
        <n x="499"/>
        <n x="2" s="1"/>
      </t>
    </mdx>
    <mdx n="0" f="v">
      <t c="4" si="1">
        <n x="205"/>
        <n x="7"/>
        <n x="498"/>
        <n x="2" s="1"/>
      </t>
    </mdx>
    <mdx n="0" f="v">
      <t c="4" si="1">
        <n x="205"/>
        <n x="7"/>
        <n x="499"/>
        <n x="2" s="1"/>
      </t>
    </mdx>
    <mdx n="0" f="v">
      <t c="4" si="1">
        <n x="204"/>
        <n x="7"/>
        <n x="498"/>
        <n x="2" s="1"/>
      </t>
    </mdx>
    <mdx n="0" f="v">
      <t c="4" si="1">
        <n x="204"/>
        <n x="7"/>
        <n x="499"/>
        <n x="2" s="1"/>
      </t>
    </mdx>
    <mdx n="0" f="v">
      <t c="4" si="1">
        <n x="203"/>
        <n x="10"/>
        <n x="498"/>
        <n x="2" s="1"/>
      </t>
    </mdx>
    <mdx n="0" f="v">
      <t c="4" si="1">
        <n x="203"/>
        <n x="10"/>
        <n x="499"/>
        <n x="2" s="1"/>
      </t>
    </mdx>
    <mdx n="0" f="v">
      <t c="4" si="1">
        <n x="202"/>
        <n x="10"/>
        <n x="498"/>
        <n x="2" s="1"/>
      </t>
    </mdx>
    <mdx n="0" f="v">
      <t c="4" si="1">
        <n x="202"/>
        <n x="10"/>
        <n x="499"/>
        <n x="2" s="1"/>
      </t>
    </mdx>
    <mdx n="0" f="v">
      <t c="4" si="1">
        <n x="201"/>
        <n x="4"/>
        <n x="498"/>
        <n x="2" s="1"/>
      </t>
    </mdx>
    <mdx n="0" f="v">
      <t c="4" si="1">
        <n x="201"/>
        <n x="4"/>
        <n x="499"/>
        <n x="2" s="1"/>
      </t>
    </mdx>
    <mdx n="0" f="v">
      <t c="4" si="1">
        <n x="200"/>
        <n x="4"/>
        <n x="498"/>
        <n x="2" s="1"/>
      </t>
    </mdx>
    <mdx n="0" f="v">
      <t c="4" si="1">
        <n x="200"/>
        <n x="4"/>
        <n x="499"/>
        <n x="2" s="1"/>
      </t>
    </mdx>
    <mdx n="0" f="v">
      <t c="4" si="1">
        <n x="199"/>
        <n x="4"/>
        <n x="498"/>
        <n x="2" s="1"/>
      </t>
    </mdx>
    <mdx n="0" f="v">
      <t c="4" si="1">
        <n x="199"/>
        <n x="4"/>
        <n x="499"/>
        <n x="2" s="1"/>
      </t>
    </mdx>
    <mdx n="0" f="v">
      <t c="4" si="1">
        <n x="198"/>
        <n x="10"/>
        <n x="498"/>
        <n x="2" s="1"/>
      </t>
    </mdx>
    <mdx n="0" f="v">
      <t c="4" si="1">
        <n x="198"/>
        <n x="10"/>
        <n x="499"/>
        <n x="2" s="1"/>
      </t>
    </mdx>
    <mdx n="0" f="v">
      <t c="4" si="1">
        <n x="197"/>
        <n x="10"/>
        <n x="498"/>
        <n x="2" s="1"/>
      </t>
    </mdx>
    <mdx n="0" f="v">
      <t c="4" si="1">
        <n x="197"/>
        <n x="10"/>
        <n x="499"/>
        <n x="2" s="1"/>
      </t>
    </mdx>
    <mdx n="0" f="v">
      <t c="4" si="1">
        <n x="196"/>
        <n x="4"/>
        <n x="498"/>
        <n x="2" s="1"/>
      </t>
    </mdx>
    <mdx n="0" f="v">
      <t c="4" si="1">
        <n x="196"/>
        <n x="4"/>
        <n x="499"/>
        <n x="2" s="1"/>
      </t>
    </mdx>
    <mdx n="0" f="v">
      <t c="4" si="1">
        <n x="195"/>
        <n x="10"/>
        <n x="498"/>
        <n x="2" s="1"/>
      </t>
    </mdx>
    <mdx n="0" f="v">
      <t c="4" si="1">
        <n x="195"/>
        <n x="10"/>
        <n x="499"/>
        <n x="2" s="1"/>
      </t>
    </mdx>
    <mdx n="0" f="v">
      <t c="4" si="1">
        <n x="194"/>
        <n x="10"/>
        <n x="498"/>
        <n x="2" s="1"/>
      </t>
    </mdx>
    <mdx n="0" f="v">
      <t c="4" si="1">
        <n x="194"/>
        <n x="10"/>
        <n x="499"/>
        <n x="2" s="1"/>
      </t>
    </mdx>
    <mdx n="0" f="v">
      <t c="4" si="1">
        <n x="193"/>
        <n x="7"/>
        <n x="498"/>
        <n x="2" s="1"/>
      </t>
    </mdx>
    <mdx n="0" f="v">
      <t c="4" si="1">
        <n x="193"/>
        <n x="7"/>
        <n x="499"/>
        <n x="2" s="1"/>
      </t>
    </mdx>
    <mdx n="0" f="v">
      <t c="4" si="1">
        <n x="192"/>
        <n x="7"/>
        <n x="498"/>
        <n x="2" s="1"/>
      </t>
    </mdx>
    <mdx n="0" f="v">
      <t c="4" si="1">
        <n x="192"/>
        <n x="7"/>
        <n x="499"/>
        <n x="2" s="1"/>
      </t>
    </mdx>
    <mdx n="0" f="v">
      <t c="4" si="1">
        <n x="191"/>
        <n x="4"/>
        <n x="498"/>
        <n x="2" s="1"/>
      </t>
    </mdx>
    <mdx n="0" f="v">
      <t c="4" si="1">
        <n x="191"/>
        <n x="4"/>
        <n x="499"/>
        <n x="2" s="1"/>
      </t>
    </mdx>
    <mdx n="0" f="v">
      <t c="4" si="1">
        <n x="190"/>
        <n x="4"/>
        <n x="498"/>
        <n x="2" s="1"/>
      </t>
    </mdx>
    <mdx n="0" f="v">
      <t c="4" si="1">
        <n x="190"/>
        <n x="4"/>
        <n x="499"/>
        <n x="2" s="1"/>
      </t>
    </mdx>
    <mdx n="0" f="v">
      <t c="4" si="1">
        <n x="189"/>
        <n x="4"/>
        <n x="498"/>
        <n x="2" s="1"/>
      </t>
    </mdx>
    <mdx n="0" f="v">
      <t c="4" si="1">
        <n x="189"/>
        <n x="4"/>
        <n x="499"/>
        <n x="2" s="1"/>
      </t>
    </mdx>
    <mdx n="0" f="v">
      <t c="4" si="1">
        <n x="188"/>
        <n x="10"/>
        <n x="498"/>
        <n x="2" s="1"/>
      </t>
    </mdx>
    <mdx n="0" f="v">
      <t c="4" si="1">
        <n x="188"/>
        <n x="10"/>
        <n x="499"/>
        <n x="2" s="1"/>
      </t>
    </mdx>
    <mdx n="0" f="v">
      <t c="4" si="1">
        <n x="187"/>
        <n x="10"/>
        <n x="498"/>
        <n x="2" s="1"/>
      </t>
    </mdx>
    <mdx n="0" f="v">
      <t c="4" si="1">
        <n x="187"/>
        <n x="10"/>
        <n x="499"/>
        <n x="2" s="1"/>
      </t>
    </mdx>
    <mdx n="0" f="v">
      <t c="4" si="1">
        <n x="186"/>
        <n x="10"/>
        <n x="498"/>
        <n x="2" s="1"/>
      </t>
    </mdx>
    <mdx n="0" f="v">
      <t c="4" si="1">
        <n x="186"/>
        <n x="10"/>
        <n x="499"/>
        <n x="2" s="1"/>
      </t>
    </mdx>
    <mdx n="0" f="v">
      <t c="4" si="1">
        <n x="185"/>
        <n x="10"/>
        <n x="498"/>
        <n x="2" s="1"/>
      </t>
    </mdx>
    <mdx n="0" f="v">
      <t c="4" si="1">
        <n x="185"/>
        <n x="10"/>
        <n x="499"/>
        <n x="2" s="1"/>
      </t>
    </mdx>
    <mdx n="0" f="v">
      <t c="4" si="1">
        <n x="184"/>
        <n x="10"/>
        <n x="498"/>
        <n x="2" s="1"/>
      </t>
    </mdx>
    <mdx n="0" f="v">
      <t c="4" si="1">
        <n x="184"/>
        <n x="10"/>
        <n x="499"/>
        <n x="2" s="1"/>
      </t>
    </mdx>
    <mdx n="0" f="v">
      <t c="4" si="1">
        <n x="183"/>
        <n x="4"/>
        <n x="498"/>
        <n x="2" s="1"/>
      </t>
    </mdx>
    <mdx n="0" f="v">
      <t c="4" si="1">
        <n x="183"/>
        <n x="4"/>
        <n x="499"/>
        <n x="2" s="1"/>
      </t>
    </mdx>
    <mdx n="0" f="v">
      <t c="4" si="1">
        <n x="182"/>
        <n x="4"/>
        <n x="498"/>
        <n x="2" s="1"/>
      </t>
    </mdx>
    <mdx n="0" f="v">
      <t c="4" si="1">
        <n x="182"/>
        <n x="4"/>
        <n x="499"/>
        <n x="2" s="1"/>
      </t>
    </mdx>
    <mdx n="0" f="v">
      <t c="4" si="1">
        <n x="181"/>
        <n x="10"/>
        <n x="498"/>
        <n x="2" s="1"/>
      </t>
    </mdx>
    <mdx n="0" f="v">
      <t c="4" si="1">
        <n x="181"/>
        <n x="10"/>
        <n x="499"/>
        <n x="2" s="1"/>
      </t>
    </mdx>
    <mdx n="0" f="v">
      <t c="4" si="1">
        <n x="180"/>
        <n x="4"/>
        <n x="498"/>
        <n x="2" s="1"/>
      </t>
    </mdx>
    <mdx n="0" f="v">
      <t c="4" si="1">
        <n x="180"/>
        <n x="4"/>
        <n x="499"/>
        <n x="2" s="1"/>
      </t>
    </mdx>
    <mdx n="0" f="v">
      <t c="4" si="1">
        <n x="179"/>
        <n x="4"/>
        <n x="498"/>
        <n x="2" s="1"/>
      </t>
    </mdx>
    <mdx n="0" f="v">
      <t c="4" si="1">
        <n x="179"/>
        <n x="4"/>
        <n x="499"/>
        <n x="2" s="1"/>
      </t>
    </mdx>
    <mdx n="0" f="v">
      <t c="4" si="1">
        <n x="178"/>
        <n x="10"/>
        <n x="498"/>
        <n x="2" s="1"/>
      </t>
    </mdx>
    <mdx n="0" f="v">
      <t c="4" si="1">
        <n x="178"/>
        <n x="10"/>
        <n x="499"/>
        <n x="2" s="1"/>
      </t>
    </mdx>
    <mdx n="0" f="v">
      <t c="4" si="1">
        <n x="177"/>
        <n x="7"/>
        <n x="498"/>
        <n x="2" s="1"/>
      </t>
    </mdx>
    <mdx n="0" f="v">
      <t c="4" si="1">
        <n x="177"/>
        <n x="7"/>
        <n x="499"/>
        <n x="2" s="1"/>
      </t>
    </mdx>
    <mdx n="0" f="v">
      <t c="4" si="1">
        <n x="176"/>
        <n x="10"/>
        <n x="498"/>
        <n x="2" s="1"/>
      </t>
    </mdx>
    <mdx n="0" f="v">
      <t c="4" si="1">
        <n x="176"/>
        <n x="10"/>
        <n x="499"/>
        <n x="2" s="1"/>
      </t>
    </mdx>
    <mdx n="0" f="v">
      <t c="4" si="1">
        <n x="175"/>
        <n x="10"/>
        <n x="498"/>
        <n x="2" s="1"/>
      </t>
    </mdx>
    <mdx n="0" f="v">
      <t c="4" si="1">
        <n x="175"/>
        <n x="10"/>
        <n x="499"/>
        <n x="2" s="1"/>
      </t>
    </mdx>
    <mdx n="0" f="v">
      <t c="4" si="1">
        <n x="174"/>
        <n x="10"/>
        <n x="498"/>
        <n x="2" s="1"/>
      </t>
    </mdx>
    <mdx n="0" f="v">
      <t c="4" si="1">
        <n x="174"/>
        <n x="10"/>
        <n x="499"/>
        <n x="2" s="1"/>
      </t>
    </mdx>
    <mdx n="0" f="v">
      <t c="4" si="1">
        <n x="173"/>
        <n x="4"/>
        <n x="498"/>
        <n x="2" s="1"/>
      </t>
    </mdx>
    <mdx n="0" f="v">
      <t c="4" si="1">
        <n x="173"/>
        <n x="4"/>
        <n x="499"/>
        <n x="2" s="1"/>
      </t>
    </mdx>
    <mdx n="0" f="v">
      <t c="4" si="1">
        <n x="172"/>
        <n x="7"/>
        <n x="498"/>
        <n x="2" s="1"/>
      </t>
    </mdx>
    <mdx n="0" f="v">
      <t c="4" si="1">
        <n x="172"/>
        <n x="7"/>
        <n x="499"/>
        <n x="2" s="1"/>
      </t>
    </mdx>
    <mdx n="0" f="v">
      <t c="4" si="1">
        <n x="171"/>
        <n x="10"/>
        <n x="498"/>
        <n x="2" s="1"/>
      </t>
    </mdx>
    <mdx n="0" f="v">
      <t c="4" si="1">
        <n x="171"/>
        <n x="10"/>
        <n x="499"/>
        <n x="2" s="1"/>
      </t>
    </mdx>
    <mdx n="0" f="v">
      <t c="4" si="1">
        <n x="170"/>
        <n x="7"/>
        <n x="498"/>
        <n x="2" s="1"/>
      </t>
    </mdx>
    <mdx n="0" f="v">
      <t c="4" si="1">
        <n x="170"/>
        <n x="7"/>
        <n x="499"/>
        <n x="2" s="1"/>
      </t>
    </mdx>
    <mdx n="0" f="v">
      <t c="4" si="1">
        <n x="169"/>
        <n x="7"/>
        <n x="498"/>
        <n x="2" s="1"/>
      </t>
    </mdx>
    <mdx n="0" f="v">
      <t c="4" si="1">
        <n x="169"/>
        <n x="7"/>
        <n x="499"/>
        <n x="2" s="1"/>
      </t>
    </mdx>
    <mdx n="0" f="v">
      <t c="4" si="1">
        <n x="168"/>
        <n x="4"/>
        <n x="498"/>
        <n x="2" s="1"/>
      </t>
    </mdx>
    <mdx n="0" f="v">
      <t c="4" si="1">
        <n x="168"/>
        <n x="4"/>
        <n x="499"/>
        <n x="2" s="1"/>
      </t>
    </mdx>
    <mdx n="0" f="v">
      <t c="4" si="1">
        <n x="167"/>
        <n x="4"/>
        <n x="498"/>
        <n x="2" s="1"/>
      </t>
    </mdx>
    <mdx n="0" f="v">
      <t c="4" si="1">
        <n x="167"/>
        <n x="4"/>
        <n x="499"/>
        <n x="2" s="1"/>
      </t>
    </mdx>
    <mdx n="0" f="v">
      <t c="4" si="1">
        <n x="166"/>
        <n x="10"/>
        <n x="498"/>
        <n x="2" s="1"/>
      </t>
    </mdx>
    <mdx n="0" f="v">
      <t c="4" si="1">
        <n x="166"/>
        <n x="10"/>
        <n x="499"/>
        <n x="2" s="1"/>
      </t>
    </mdx>
    <mdx n="0" f="v">
      <t c="4" si="1">
        <n x="165"/>
        <n x="10"/>
        <n x="498"/>
        <n x="2" s="1"/>
      </t>
    </mdx>
    <mdx n="0" f="v">
      <t c="4" si="1">
        <n x="165"/>
        <n x="10"/>
        <n x="499"/>
        <n x="2" s="1"/>
      </t>
    </mdx>
    <mdx n="0" f="v">
      <t c="4" si="1">
        <n x="164"/>
        <n x="10"/>
        <n x="498"/>
        <n x="2" s="1"/>
      </t>
    </mdx>
    <mdx n="0" f="v">
      <t c="4" si="1">
        <n x="164"/>
        <n x="10"/>
        <n x="499"/>
        <n x="2" s="1"/>
      </t>
    </mdx>
    <mdx n="0" f="v">
      <t c="4" si="1">
        <n x="163"/>
        <n x="10"/>
        <n x="498"/>
        <n x="2" s="1"/>
      </t>
    </mdx>
    <mdx n="0" f="v">
      <t c="4" si="1">
        <n x="163"/>
        <n x="10"/>
        <n x="499"/>
        <n x="2" s="1"/>
      </t>
    </mdx>
    <mdx n="0" f="v">
      <t c="4" si="1">
        <n x="162"/>
        <n x="10"/>
        <n x="498"/>
        <n x="2" s="1"/>
      </t>
    </mdx>
    <mdx n="0" f="v">
      <t c="4" si="1">
        <n x="162"/>
        <n x="10"/>
        <n x="499"/>
        <n x="2" s="1"/>
      </t>
    </mdx>
    <mdx n="0" f="v">
      <t c="4" si="1">
        <n x="161"/>
        <n x="10"/>
        <n x="498"/>
        <n x="2" s="1"/>
      </t>
    </mdx>
    <mdx n="0" f="v">
      <t c="4" si="1">
        <n x="161"/>
        <n x="10"/>
        <n x="499"/>
        <n x="2" s="1"/>
      </t>
    </mdx>
    <mdx n="0" f="v">
      <t c="4" si="1">
        <n x="160"/>
        <n x="10"/>
        <n x="498"/>
        <n x="2" s="1"/>
      </t>
    </mdx>
    <mdx n="0" f="v">
      <t c="4" si="1">
        <n x="160"/>
        <n x="10"/>
        <n x="499"/>
        <n x="2" s="1"/>
      </t>
    </mdx>
    <mdx n="0" f="v">
      <t c="4" si="1">
        <n x="159"/>
        <n x="4"/>
        <n x="498"/>
        <n x="2" s="1"/>
      </t>
    </mdx>
    <mdx n="0" f="v">
      <t c="4" si="1">
        <n x="159"/>
        <n x="4"/>
        <n x="499"/>
        <n x="2" s="1"/>
      </t>
    </mdx>
    <mdx n="0" f="v">
      <t c="4" si="1">
        <n x="158"/>
        <n x="4"/>
        <n x="498"/>
        <n x="2" s="1"/>
      </t>
    </mdx>
    <mdx n="0" f="v">
      <t c="4" si="1">
        <n x="158"/>
        <n x="4"/>
        <n x="499"/>
        <n x="2" s="1"/>
      </t>
    </mdx>
    <mdx n="0" f="v">
      <t c="4" si="1">
        <n x="157"/>
        <n x="7"/>
        <n x="498"/>
        <n x="2" s="1"/>
      </t>
    </mdx>
    <mdx n="0" f="v">
      <t c="4" si="1">
        <n x="157"/>
        <n x="7"/>
        <n x="499"/>
        <n x="2" s="1"/>
      </t>
    </mdx>
    <mdx n="0" f="v">
      <t c="4" si="1">
        <n x="156"/>
        <n x="10"/>
        <n x="498"/>
        <n x="2" s="1"/>
      </t>
    </mdx>
    <mdx n="0" f="v">
      <t c="4" si="1">
        <n x="156"/>
        <n x="10"/>
        <n x="499"/>
        <n x="2" s="1"/>
      </t>
    </mdx>
    <mdx n="0" f="v">
      <t c="4" si="1">
        <n x="155"/>
        <n x="10"/>
        <n x="498"/>
        <n x="2" s="1"/>
      </t>
    </mdx>
    <mdx n="0" f="v">
      <t c="4" si="1">
        <n x="155"/>
        <n x="10"/>
        <n x="499"/>
        <n x="2" s="1"/>
      </t>
    </mdx>
    <mdx n="0" f="v">
      <t c="4" si="1">
        <n x="154"/>
        <n x="4"/>
        <n x="498"/>
        <n x="2" s="1"/>
      </t>
    </mdx>
    <mdx n="0" f="v">
      <t c="4" si="1">
        <n x="154"/>
        <n x="4"/>
        <n x="499"/>
        <n x="2" s="1"/>
      </t>
    </mdx>
    <mdx n="0" f="v">
      <t c="4" si="1">
        <n x="153"/>
        <n x="4"/>
        <n x="498"/>
        <n x="2" s="1"/>
      </t>
    </mdx>
    <mdx n="0" f="v">
      <t c="4" si="1">
        <n x="153"/>
        <n x="4"/>
        <n x="499"/>
        <n x="2" s="1"/>
      </t>
    </mdx>
    <mdx n="0" f="v">
      <t c="4" si="1">
        <n x="152"/>
        <n x="10"/>
        <n x="498"/>
        <n x="2" s="1"/>
      </t>
    </mdx>
    <mdx n="0" f="v">
      <t c="4" si="1">
        <n x="152"/>
        <n x="10"/>
        <n x="499"/>
        <n x="2" s="1"/>
      </t>
    </mdx>
    <mdx n="0" f="v">
      <t c="4" si="1">
        <n x="151"/>
        <n x="7"/>
        <n x="498"/>
        <n x="2" s="1"/>
      </t>
    </mdx>
    <mdx n="0" f="v">
      <t c="4" si="1">
        <n x="151"/>
        <n x="7"/>
        <n x="499"/>
        <n x="2" s="1"/>
      </t>
    </mdx>
    <mdx n="0" f="v">
      <t c="4" si="1">
        <n x="150"/>
        <n x="4"/>
        <n x="498"/>
        <n x="2" s="1"/>
      </t>
    </mdx>
    <mdx n="0" f="v">
      <t c="4" si="1">
        <n x="150"/>
        <n x="4"/>
        <n x="499"/>
        <n x="2" s="1"/>
      </t>
    </mdx>
    <mdx n="0" f="v">
      <t c="4" si="1">
        <n x="149"/>
        <n x="7"/>
        <n x="498"/>
        <n x="2" s="1"/>
      </t>
    </mdx>
    <mdx n="0" f="v">
      <t c="4" si="1">
        <n x="149"/>
        <n x="7"/>
        <n x="499"/>
        <n x="2" s="1"/>
      </t>
    </mdx>
    <mdx n="0" f="v">
      <t c="4" si="1">
        <n x="148"/>
        <n x="4"/>
        <n x="498"/>
        <n x="2" s="1"/>
      </t>
    </mdx>
    <mdx n="0" f="v">
      <t c="4" si="1">
        <n x="148"/>
        <n x="4"/>
        <n x="499"/>
        <n x="2" s="1"/>
      </t>
    </mdx>
    <mdx n="0" f="v">
      <t c="4" si="1">
        <n x="147"/>
        <n x="4"/>
        <n x="498"/>
        <n x="2" s="1"/>
      </t>
    </mdx>
    <mdx n="0" f="v">
      <t c="4" si="1">
        <n x="147"/>
        <n x="4"/>
        <n x="499"/>
        <n x="2" s="1"/>
      </t>
    </mdx>
    <mdx n="0" f="v">
      <t c="4" si="1">
        <n x="146"/>
        <n x="4"/>
        <n x="498"/>
        <n x="2" s="1"/>
      </t>
    </mdx>
    <mdx n="0" f="v">
      <t c="4" si="1">
        <n x="146"/>
        <n x="4"/>
        <n x="499"/>
        <n x="2" s="1"/>
      </t>
    </mdx>
    <mdx n="0" f="v">
      <t c="4" si="1">
        <n x="145"/>
        <n x="10"/>
        <n x="498"/>
        <n x="2" s="1"/>
      </t>
    </mdx>
    <mdx n="0" f="v">
      <t c="4" si="1">
        <n x="145"/>
        <n x="10"/>
        <n x="499"/>
        <n x="2" s="1"/>
      </t>
    </mdx>
    <mdx n="0" f="v">
      <t c="4" si="1">
        <n x="144"/>
        <n x="4"/>
        <n x="498"/>
        <n x="2" s="1"/>
      </t>
    </mdx>
    <mdx n="0" f="v">
      <t c="4" si="1">
        <n x="144"/>
        <n x="4"/>
        <n x="499"/>
        <n x="2" s="1"/>
      </t>
    </mdx>
    <mdx n="0" f="v">
      <t c="4" si="1">
        <n x="143"/>
        <n x="10"/>
        <n x="498"/>
        <n x="2" s="1"/>
      </t>
    </mdx>
    <mdx n="0" f="v">
      <t c="4" si="1">
        <n x="143"/>
        <n x="10"/>
        <n x="499"/>
        <n x="2" s="1"/>
      </t>
    </mdx>
    <mdx n="0" f="v">
      <t c="4" si="1">
        <n x="142"/>
        <n x="10"/>
        <n x="498"/>
        <n x="2" s="1"/>
      </t>
    </mdx>
    <mdx n="0" f="v">
      <t c="4" si="1">
        <n x="142"/>
        <n x="10"/>
        <n x="499"/>
        <n x="2" s="1"/>
      </t>
    </mdx>
    <mdx n="0" f="v">
      <t c="4" si="1">
        <n x="141"/>
        <n x="4"/>
        <n x="498"/>
        <n x="2" s="1"/>
      </t>
    </mdx>
    <mdx n="0" f="v">
      <t c="4" si="1">
        <n x="141"/>
        <n x="4"/>
        <n x="499"/>
        <n x="2" s="1"/>
      </t>
    </mdx>
    <mdx n="0" f="v">
      <t c="4" si="1">
        <n x="140"/>
        <n x="10"/>
        <n x="498"/>
        <n x="2" s="1"/>
      </t>
    </mdx>
    <mdx n="0" f="v">
      <t c="4" si="1">
        <n x="140"/>
        <n x="10"/>
        <n x="499"/>
        <n x="2" s="1"/>
      </t>
    </mdx>
    <mdx n="0" f="v">
      <t c="4" si="1">
        <n x="139"/>
        <n x="4"/>
        <n x="498"/>
        <n x="2" s="1"/>
      </t>
    </mdx>
    <mdx n="0" f="v">
      <t c="4" si="1">
        <n x="139"/>
        <n x="4"/>
        <n x="499"/>
        <n x="2" s="1"/>
      </t>
    </mdx>
    <mdx n="0" f="v">
      <t c="4" si="1">
        <n x="138"/>
        <n x="4"/>
        <n x="498"/>
        <n x="2" s="1"/>
      </t>
    </mdx>
    <mdx n="0" f="v">
      <t c="4" si="1">
        <n x="138"/>
        <n x="4"/>
        <n x="499"/>
        <n x="2" s="1"/>
      </t>
    </mdx>
    <mdx n="0" f="v">
      <t c="4" si="1">
        <n x="137"/>
        <n x="10"/>
        <n x="498"/>
        <n x="2" s="1"/>
      </t>
    </mdx>
    <mdx n="0" f="v">
      <t c="4" si="1">
        <n x="137"/>
        <n x="10"/>
        <n x="499"/>
        <n x="2" s="1"/>
      </t>
    </mdx>
    <mdx n="0" f="v">
      <t c="4" si="1">
        <n x="136"/>
        <n x="7"/>
        <n x="498"/>
        <n x="2" s="1"/>
      </t>
    </mdx>
    <mdx n="0" f="v">
      <t c="4" si="1">
        <n x="136"/>
        <n x="7"/>
        <n x="499"/>
        <n x="2" s="1"/>
      </t>
    </mdx>
    <mdx n="0" f="v">
      <t c="4" si="1">
        <n x="135"/>
        <n x="10"/>
        <n x="498"/>
        <n x="2" s="1"/>
      </t>
    </mdx>
    <mdx n="0" f="v">
      <t c="4" si="1">
        <n x="135"/>
        <n x="10"/>
        <n x="499"/>
        <n x="2" s="1"/>
      </t>
    </mdx>
    <mdx n="0" f="v">
      <t c="4" si="1">
        <n x="134"/>
        <n x="7"/>
        <n x="498"/>
        <n x="2" s="1"/>
      </t>
    </mdx>
    <mdx n="0" f="v">
      <t c="4" si="1">
        <n x="134"/>
        <n x="7"/>
        <n x="499"/>
        <n x="2" s="1"/>
      </t>
    </mdx>
    <mdx n="0" f="v">
      <t c="4" si="1">
        <n x="133"/>
        <n x="10"/>
        <n x="498"/>
        <n x="2" s="1"/>
      </t>
    </mdx>
    <mdx n="0" f="v">
      <t c="4" si="1">
        <n x="133"/>
        <n x="10"/>
        <n x="499"/>
        <n x="2" s="1"/>
      </t>
    </mdx>
    <mdx n="0" f="v">
      <t c="4" si="1">
        <n x="132"/>
        <n x="4"/>
        <n x="498"/>
        <n x="2" s="1"/>
      </t>
    </mdx>
    <mdx n="0" f="v">
      <t c="4" si="1">
        <n x="132"/>
        <n x="4"/>
        <n x="499"/>
        <n x="2" s="1"/>
      </t>
    </mdx>
    <mdx n="0" f="v">
      <t c="4" si="1">
        <n x="131"/>
        <n x="7"/>
        <n x="498"/>
        <n x="2" s="1"/>
      </t>
    </mdx>
    <mdx n="0" f="v">
      <t c="4" si="1">
        <n x="131"/>
        <n x="7"/>
        <n x="499"/>
        <n x="2" s="1"/>
      </t>
    </mdx>
    <mdx n="0" f="v">
      <t c="4" si="1">
        <n x="130"/>
        <n x="10"/>
        <n x="498"/>
        <n x="2" s="1"/>
      </t>
    </mdx>
    <mdx n="0" f="v">
      <t c="4" si="1">
        <n x="130"/>
        <n x="10"/>
        <n x="499"/>
        <n x="2" s="1"/>
      </t>
    </mdx>
    <mdx n="0" f="v">
      <t c="4" si="1">
        <n x="129"/>
        <n x="4"/>
        <n x="498"/>
        <n x="2" s="1"/>
      </t>
    </mdx>
    <mdx n="0" f="v">
      <t c="4" si="1">
        <n x="129"/>
        <n x="4"/>
        <n x="499"/>
        <n x="2" s="1"/>
      </t>
    </mdx>
    <mdx n="0" f="v">
      <t c="4" si="1">
        <n x="128"/>
        <n x="7"/>
        <n x="498"/>
        <n x="2" s="1"/>
      </t>
    </mdx>
    <mdx n="0" f="v">
      <t c="4" si="1">
        <n x="128"/>
        <n x="7"/>
        <n x="499"/>
        <n x="2" s="1"/>
      </t>
    </mdx>
    <mdx n="0" f="v">
      <t c="4" si="1">
        <n x="127"/>
        <n x="4"/>
        <n x="498"/>
        <n x="2" s="1"/>
      </t>
    </mdx>
    <mdx n="0" f="v">
      <t c="4" si="1">
        <n x="127"/>
        <n x="4"/>
        <n x="499"/>
        <n x="2" s="1"/>
      </t>
    </mdx>
    <mdx n="0" f="v">
      <t c="4" si="1">
        <n x="126"/>
        <n x="10"/>
        <n x="498"/>
        <n x="2" s="1"/>
      </t>
    </mdx>
    <mdx n="0" f="v">
      <t c="4" si="1">
        <n x="126"/>
        <n x="10"/>
        <n x="499"/>
        <n x="2" s="1"/>
      </t>
    </mdx>
    <mdx n="0" f="v">
      <t c="4" si="1">
        <n x="125"/>
        <n x="10"/>
        <n x="498"/>
        <n x="2" s="1"/>
      </t>
    </mdx>
    <mdx n="0" f="v">
      <t c="4" si="1">
        <n x="125"/>
        <n x="10"/>
        <n x="499"/>
        <n x="2" s="1"/>
      </t>
    </mdx>
    <mdx n="0" f="v">
      <t c="4" si="1">
        <n x="124"/>
        <n x="4"/>
        <n x="498"/>
        <n x="2" s="1"/>
      </t>
    </mdx>
    <mdx n="0" f="v">
      <t c="4" si="1">
        <n x="124"/>
        <n x="4"/>
        <n x="499"/>
        <n x="2" s="1"/>
      </t>
    </mdx>
    <mdx n="0" f="v">
      <t c="4" si="1">
        <n x="123"/>
        <n x="4"/>
        <n x="498"/>
        <n x="2" s="1"/>
      </t>
    </mdx>
    <mdx n="0" f="v">
      <t c="4" si="1">
        <n x="123"/>
        <n x="4"/>
        <n x="499"/>
        <n x="2" s="1"/>
      </t>
    </mdx>
    <mdx n="0" f="v">
      <t c="4" si="1">
        <n x="122"/>
        <n x="4"/>
        <n x="498"/>
        <n x="2" s="1"/>
      </t>
    </mdx>
    <mdx n="0" f="v">
      <t c="4" si="1">
        <n x="122"/>
        <n x="4"/>
        <n x="499"/>
        <n x="2" s="1"/>
      </t>
    </mdx>
    <mdx n="0" f="v">
      <t c="4" si="1">
        <n x="121"/>
        <n x="4"/>
        <n x="498"/>
        <n x="2" s="1"/>
      </t>
    </mdx>
    <mdx n="0" f="v">
      <t c="4" si="1">
        <n x="121"/>
        <n x="4"/>
        <n x="499"/>
        <n x="2" s="1"/>
      </t>
    </mdx>
    <mdx n="0" f="v">
      <t c="4" si="1">
        <n x="120"/>
        <n x="4"/>
        <n x="498"/>
        <n x="2" s="1"/>
      </t>
    </mdx>
    <mdx n="0" f="v">
      <t c="4" si="1">
        <n x="120"/>
        <n x="4"/>
        <n x="499"/>
        <n x="2" s="1"/>
      </t>
    </mdx>
    <mdx n="0" f="v">
      <t c="4" si="1">
        <n x="119"/>
        <n x="10"/>
        <n x="498"/>
        <n x="2" s="1"/>
      </t>
    </mdx>
    <mdx n="0" f="v">
      <t c="4" si="1">
        <n x="119"/>
        <n x="10"/>
        <n x="499"/>
        <n x="2" s="1"/>
      </t>
    </mdx>
    <mdx n="0" f="v">
      <t c="4" si="1">
        <n x="118"/>
        <n x="10"/>
        <n x="498"/>
        <n x="2" s="1"/>
      </t>
    </mdx>
    <mdx n="0" f="v">
      <t c="4" si="1">
        <n x="118"/>
        <n x="10"/>
        <n x="499"/>
        <n x="2" s="1"/>
      </t>
    </mdx>
    <mdx n="0" f="v">
      <t c="4" si="1">
        <n x="117"/>
        <n x="4"/>
        <n x="498"/>
        <n x="2" s="1"/>
      </t>
    </mdx>
    <mdx n="0" f="v">
      <t c="4" si="1">
        <n x="117"/>
        <n x="4"/>
        <n x="499"/>
        <n x="2" s="1"/>
      </t>
    </mdx>
    <mdx n="0" f="v">
      <t c="4" si="1">
        <n x="116"/>
        <n x="4"/>
        <n x="498"/>
        <n x="2" s="1"/>
      </t>
    </mdx>
    <mdx n="0" f="v">
      <t c="4" si="1">
        <n x="116"/>
        <n x="4"/>
        <n x="499"/>
        <n x="2" s="1"/>
      </t>
    </mdx>
    <mdx n="0" f="v">
      <t c="4" si="1">
        <n x="115"/>
        <n x="4"/>
        <n x="498"/>
        <n x="2" s="1"/>
      </t>
    </mdx>
    <mdx n="0" f="v">
      <t c="4" si="1">
        <n x="115"/>
        <n x="4"/>
        <n x="499"/>
        <n x="2" s="1"/>
      </t>
    </mdx>
    <mdx n="0" f="v">
      <t c="4" si="1">
        <n x="114"/>
        <n x="10"/>
        <n x="498"/>
        <n x="2" s="1"/>
      </t>
    </mdx>
    <mdx n="0" f="v">
      <t c="4" si="1">
        <n x="114"/>
        <n x="10"/>
        <n x="499"/>
        <n x="2" s="1"/>
      </t>
    </mdx>
    <mdx n="0" f="v">
      <t c="4" si="1">
        <n x="113"/>
        <n x="10"/>
        <n x="498"/>
        <n x="2" s="1"/>
      </t>
    </mdx>
    <mdx n="0" f="v">
      <t c="4" si="1">
        <n x="113"/>
        <n x="10"/>
        <n x="499"/>
        <n x="2" s="1"/>
      </t>
    </mdx>
    <mdx n="0" f="v">
      <t c="4" si="1">
        <n x="112"/>
        <n x="4"/>
        <n x="498"/>
        <n x="2" s="1"/>
      </t>
    </mdx>
    <mdx n="0" f="v">
      <t c="4" si="1">
        <n x="112"/>
        <n x="4"/>
        <n x="499"/>
        <n x="2" s="1"/>
      </t>
    </mdx>
    <mdx n="0" f="v">
      <t c="4" si="1">
        <n x="111"/>
        <n x="10"/>
        <n x="498"/>
        <n x="2" s="1"/>
      </t>
    </mdx>
    <mdx n="0" f="v">
      <t c="4" si="1">
        <n x="111"/>
        <n x="10"/>
        <n x="499"/>
        <n x="2" s="1"/>
      </t>
    </mdx>
    <mdx n="0" f="v">
      <t c="4" si="1">
        <n x="110"/>
        <n x="4"/>
        <n x="498"/>
        <n x="2" s="1"/>
      </t>
    </mdx>
    <mdx n="0" f="v">
      <t c="4" si="1">
        <n x="110"/>
        <n x="4"/>
        <n x="499"/>
        <n x="2" s="1"/>
      </t>
    </mdx>
    <mdx n="0" f="v">
      <t c="4" si="1">
        <n x="109"/>
        <n x="4"/>
        <n x="498"/>
        <n x="2" s="1"/>
      </t>
    </mdx>
    <mdx n="0" f="v">
      <t c="4" si="1">
        <n x="109"/>
        <n x="4"/>
        <n x="499"/>
        <n x="2" s="1"/>
      </t>
    </mdx>
    <mdx n="0" f="v">
      <t c="4" si="1">
        <n x="108"/>
        <n x="10"/>
        <n x="498"/>
        <n x="2" s="1"/>
      </t>
    </mdx>
    <mdx n="0" f="v">
      <t c="4" si="1">
        <n x="108"/>
        <n x="10"/>
        <n x="499"/>
        <n x="2" s="1"/>
      </t>
    </mdx>
    <mdx n="0" f="v">
      <t c="4" si="1">
        <n x="107"/>
        <n x="4"/>
        <n x="498"/>
        <n x="2" s="1"/>
      </t>
    </mdx>
    <mdx n="0" f="v">
      <t c="4" si="1">
        <n x="107"/>
        <n x="4"/>
        <n x="499"/>
        <n x="2" s="1"/>
      </t>
    </mdx>
    <mdx n="0" f="v">
      <t c="4" si="1">
        <n x="106"/>
        <n x="4"/>
        <n x="498"/>
        <n x="2" s="1"/>
      </t>
    </mdx>
    <mdx n="0" f="v">
      <t c="4" si="1">
        <n x="106"/>
        <n x="4"/>
        <n x="499"/>
        <n x="2" s="1"/>
      </t>
    </mdx>
    <mdx n="0" f="v">
      <t c="4" si="1">
        <n x="105"/>
        <n x="10"/>
        <n x="498"/>
        <n x="2" s="1"/>
      </t>
    </mdx>
    <mdx n="0" f="v">
      <t c="4" si="1">
        <n x="105"/>
        <n x="10"/>
        <n x="499"/>
        <n x="2" s="1"/>
      </t>
    </mdx>
    <mdx n="0" f="v">
      <t c="4" si="1">
        <n x="104"/>
        <n x="4"/>
        <n x="498"/>
        <n x="2" s="1"/>
      </t>
    </mdx>
    <mdx n="0" f="v">
      <t c="4" si="1">
        <n x="104"/>
        <n x="4"/>
        <n x="499"/>
        <n x="2" s="1"/>
      </t>
    </mdx>
    <mdx n="0" f="v">
      <t c="4" si="1">
        <n x="103"/>
        <n x="10"/>
        <n x="498"/>
        <n x="2" s="1"/>
      </t>
    </mdx>
    <mdx n="0" f="v">
      <t c="4" si="1">
        <n x="103"/>
        <n x="10"/>
        <n x="499"/>
        <n x="2" s="1"/>
      </t>
    </mdx>
    <mdx n="0" f="v">
      <t c="4" si="1">
        <n x="102"/>
        <n x="4"/>
        <n x="498"/>
        <n x="2" s="1"/>
      </t>
    </mdx>
    <mdx n="0" f="v">
      <t c="4" si="1">
        <n x="102"/>
        <n x="4"/>
        <n x="499"/>
        <n x="2" s="1"/>
      </t>
    </mdx>
    <mdx n="0" f="v">
      <t c="4" si="1">
        <n x="101"/>
        <n x="10"/>
        <n x="498"/>
        <n x="2" s="1"/>
      </t>
    </mdx>
    <mdx n="0" f="v">
      <t c="4" si="1">
        <n x="101"/>
        <n x="10"/>
        <n x="499"/>
        <n x="2" s="1"/>
      </t>
    </mdx>
    <mdx n="0" f="v">
      <t c="4" si="1">
        <n x="100"/>
        <n x="4"/>
        <n x="498"/>
        <n x="2" s="1"/>
      </t>
    </mdx>
    <mdx n="0" f="v">
      <t c="4" si="1">
        <n x="100"/>
        <n x="4"/>
        <n x="499"/>
        <n x="2" s="1"/>
      </t>
    </mdx>
    <mdx n="0" f="v">
      <t c="4" si="1">
        <n x="99"/>
        <n x="10"/>
        <n x="498"/>
        <n x="2" s="1"/>
      </t>
    </mdx>
    <mdx n="0" f="v">
      <t c="4" si="1">
        <n x="99"/>
        <n x="10"/>
        <n x="499"/>
        <n x="2" s="1"/>
      </t>
    </mdx>
    <mdx n="0" f="v">
      <t c="4" si="1">
        <n x="98"/>
        <n x="7"/>
        <n x="498"/>
        <n x="2" s="1"/>
      </t>
    </mdx>
    <mdx n="0" f="v">
      <t c="4" si="1">
        <n x="98"/>
        <n x="7"/>
        <n x="499"/>
        <n x="2" s="1"/>
      </t>
    </mdx>
    <mdx n="0" f="v">
      <t c="4" si="1">
        <n x="97"/>
        <n x="4"/>
        <n x="498"/>
        <n x="2" s="1"/>
      </t>
    </mdx>
    <mdx n="0" f="v">
      <t c="4" si="1">
        <n x="97"/>
        <n x="4"/>
        <n x="499"/>
        <n x="2" s="1"/>
      </t>
    </mdx>
    <mdx n="0" f="v">
      <t c="4" si="1">
        <n x="96"/>
        <n x="10"/>
        <n x="498"/>
        <n x="2" s="1"/>
      </t>
    </mdx>
    <mdx n="0" f="v">
      <t c="4" si="1">
        <n x="96"/>
        <n x="10"/>
        <n x="499"/>
        <n x="2" s="1"/>
      </t>
    </mdx>
    <mdx n="0" f="v">
      <t c="4" si="1">
        <n x="95"/>
        <n x="10"/>
        <n x="498"/>
        <n x="2" s="1"/>
      </t>
    </mdx>
    <mdx n="0" f="v">
      <t c="4" si="1">
        <n x="95"/>
        <n x="10"/>
        <n x="499"/>
        <n x="2" s="1"/>
      </t>
    </mdx>
    <mdx n="0" f="v">
      <t c="4" si="1">
        <n x="94"/>
        <n x="4"/>
        <n x="498"/>
        <n x="2" s="1"/>
      </t>
    </mdx>
    <mdx n="0" f="v">
      <t c="4" si="1">
        <n x="94"/>
        <n x="4"/>
        <n x="499"/>
        <n x="2" s="1"/>
      </t>
    </mdx>
    <mdx n="0" f="v">
      <t c="4" si="1">
        <n x="93"/>
        <n x="4"/>
        <n x="498"/>
        <n x="2" s="1"/>
      </t>
    </mdx>
    <mdx n="0" f="v">
      <t c="4" si="1">
        <n x="93"/>
        <n x="4"/>
        <n x="499"/>
        <n x="2" s="1"/>
      </t>
    </mdx>
    <mdx n="0" f="v">
      <t c="4" si="1">
        <n x="92"/>
        <n x="4"/>
        <n x="498"/>
        <n x="2" s="1"/>
      </t>
    </mdx>
    <mdx n="0" f="v">
      <t c="4" si="1">
        <n x="92"/>
        <n x="4"/>
        <n x="499"/>
        <n x="2" s="1"/>
      </t>
    </mdx>
    <mdx n="0" f="v">
      <t c="4" si="1">
        <n x="91"/>
        <n x="4"/>
        <n x="498"/>
        <n x="2" s="1"/>
      </t>
    </mdx>
    <mdx n="0" f="v">
      <t c="4" si="1">
        <n x="91"/>
        <n x="4"/>
        <n x="499"/>
        <n x="2" s="1"/>
      </t>
    </mdx>
    <mdx n="0" f="v">
      <t c="4" si="1">
        <n x="90"/>
        <n x="10"/>
        <n x="498"/>
        <n x="2" s="1"/>
      </t>
    </mdx>
    <mdx n="0" f="v">
      <t c="4" si="1">
        <n x="90"/>
        <n x="10"/>
        <n x="499"/>
        <n x="2" s="1"/>
      </t>
    </mdx>
    <mdx n="0" f="v">
      <t c="4" si="1">
        <n x="89"/>
        <n x="10"/>
        <n x="498"/>
        <n x="2" s="1"/>
      </t>
    </mdx>
    <mdx n="0" f="v">
      <t c="4" si="1">
        <n x="89"/>
        <n x="10"/>
        <n x="499"/>
        <n x="2" s="1"/>
      </t>
    </mdx>
    <mdx n="0" f="v">
      <t c="4" si="1">
        <n x="88"/>
        <n x="10"/>
        <n x="498"/>
        <n x="2" s="1"/>
      </t>
    </mdx>
    <mdx n="0" f="v">
      <t c="4" si="1">
        <n x="88"/>
        <n x="10"/>
        <n x="499"/>
        <n x="2" s="1"/>
      </t>
    </mdx>
    <mdx n="0" f="v">
      <t c="4" si="1">
        <n x="87"/>
        <n x="4"/>
        <n x="498"/>
        <n x="2" s="1"/>
      </t>
    </mdx>
    <mdx n="0" f="v">
      <t c="4" si="1">
        <n x="87"/>
        <n x="4"/>
        <n x="499"/>
        <n x="2" s="1"/>
      </t>
    </mdx>
    <mdx n="0" f="v">
      <t c="4" si="1">
        <n x="86"/>
        <n x="4"/>
        <n x="498"/>
        <n x="2" s="1"/>
      </t>
    </mdx>
    <mdx n="0" f="v">
      <t c="4" si="1">
        <n x="86"/>
        <n x="4"/>
        <n x="499"/>
        <n x="2" s="1"/>
      </t>
    </mdx>
    <mdx n="0" f="v">
      <t c="4" si="1">
        <n x="85"/>
        <n x="4"/>
        <n x="498"/>
        <n x="2" s="1"/>
      </t>
    </mdx>
    <mdx n="0" f="v">
      <t c="4" si="1">
        <n x="85"/>
        <n x="4"/>
        <n x="499"/>
        <n x="2" s="1"/>
      </t>
    </mdx>
    <mdx n="0" f="v">
      <t c="4" si="1">
        <n x="84"/>
        <n x="4"/>
        <n x="498"/>
        <n x="2" s="1"/>
      </t>
    </mdx>
    <mdx n="0" f="v">
      <t c="4" si="1">
        <n x="84"/>
        <n x="4"/>
        <n x="499"/>
        <n x="2" s="1"/>
      </t>
    </mdx>
    <mdx n="0" f="v">
      <t c="4" si="1">
        <n x="83"/>
        <n x="10"/>
        <n x="498"/>
        <n x="2" s="1"/>
      </t>
    </mdx>
    <mdx n="0" f="v">
      <t c="4" si="1">
        <n x="83"/>
        <n x="10"/>
        <n x="499"/>
        <n x="2" s="1"/>
      </t>
    </mdx>
    <mdx n="0" f="v">
      <t c="4" si="1">
        <n x="82"/>
        <n x="10"/>
        <n x="498"/>
        <n x="2" s="1"/>
      </t>
    </mdx>
    <mdx n="0" f="v">
      <t c="4" si="1">
        <n x="82"/>
        <n x="10"/>
        <n x="499"/>
        <n x="2" s="1"/>
      </t>
    </mdx>
    <mdx n="0" f="v">
      <t c="4" si="1">
        <n x="81"/>
        <n x="7"/>
        <n x="498"/>
        <n x="2" s="1"/>
      </t>
    </mdx>
    <mdx n="0" f="v">
      <t c="4" si="1">
        <n x="81"/>
        <n x="7"/>
        <n x="499"/>
        <n x="2" s="1"/>
      </t>
    </mdx>
    <mdx n="0" f="v">
      <t c="4" si="1">
        <n x="80"/>
        <n x="10"/>
        <n x="498"/>
        <n x="2" s="1"/>
      </t>
    </mdx>
    <mdx n="0" f="v">
      <t c="4" si="1">
        <n x="80"/>
        <n x="10"/>
        <n x="499"/>
        <n x="2" s="1"/>
      </t>
    </mdx>
    <mdx n="0" f="v">
      <t c="4" si="1">
        <n x="79"/>
        <n x="10"/>
        <n x="498"/>
        <n x="2" s="1"/>
      </t>
    </mdx>
    <mdx n="0" f="v">
      <t c="4" si="1">
        <n x="79"/>
        <n x="10"/>
        <n x="499"/>
        <n x="2" s="1"/>
      </t>
    </mdx>
    <mdx n="0" f="v">
      <t c="4" si="1">
        <n x="78"/>
        <n x="4"/>
        <n x="498"/>
        <n x="2" s="1"/>
      </t>
    </mdx>
    <mdx n="0" f="v">
      <t c="4" si="1">
        <n x="78"/>
        <n x="4"/>
        <n x="499"/>
        <n x="2" s="1"/>
      </t>
    </mdx>
    <mdx n="0" f="v">
      <t c="4" si="1">
        <n x="77"/>
        <n x="10"/>
        <n x="498"/>
        <n x="2" s="1"/>
      </t>
    </mdx>
    <mdx n="0" f="v">
      <t c="4" si="1">
        <n x="77"/>
        <n x="10"/>
        <n x="499"/>
        <n x="2" s="1"/>
      </t>
    </mdx>
    <mdx n="0" f="v">
      <t c="4" si="1">
        <n x="76"/>
        <n x="10"/>
        <n x="498"/>
        <n x="2" s="1"/>
      </t>
    </mdx>
    <mdx n="0" f="v">
      <t c="4" si="1">
        <n x="76"/>
        <n x="10"/>
        <n x="499"/>
        <n x="2" s="1"/>
      </t>
    </mdx>
    <mdx n="0" f="v">
      <t c="4" si="1">
        <n x="75"/>
        <n x="10"/>
        <n x="498"/>
        <n x="2" s="1"/>
      </t>
    </mdx>
    <mdx n="0" f="v">
      <t c="4" si="1">
        <n x="75"/>
        <n x="10"/>
        <n x="499"/>
        <n x="2" s="1"/>
      </t>
    </mdx>
    <mdx n="0" f="v">
      <t c="4" si="1">
        <n x="74"/>
        <n x="4"/>
        <n x="498"/>
        <n x="2" s="1"/>
      </t>
    </mdx>
    <mdx n="0" f="v">
      <t c="4" si="1">
        <n x="74"/>
        <n x="4"/>
        <n x="499"/>
        <n x="2" s="1"/>
      </t>
    </mdx>
    <mdx n="0" f="v">
      <t c="4" si="1">
        <n x="73"/>
        <n x="4"/>
        <n x="498"/>
        <n x="2" s="1"/>
      </t>
    </mdx>
    <mdx n="0" f="v">
      <t c="4" si="1">
        <n x="73"/>
        <n x="4"/>
        <n x="499"/>
        <n x="2" s="1"/>
      </t>
    </mdx>
    <mdx n="0" f="v">
      <t c="4" si="1">
        <n x="72"/>
        <n x="10"/>
        <n x="498"/>
        <n x="2" s="1"/>
      </t>
    </mdx>
    <mdx n="0" f="v">
      <t c="4" si="1">
        <n x="72"/>
        <n x="10"/>
        <n x="499"/>
        <n x="2" s="1"/>
      </t>
    </mdx>
    <mdx n="0" f="v">
      <t c="4" si="1">
        <n x="71"/>
        <n x="7"/>
        <n x="498"/>
        <n x="2" s="1"/>
      </t>
    </mdx>
    <mdx n="0" f="v">
      <t c="4" si="1">
        <n x="71"/>
        <n x="7"/>
        <n x="499"/>
        <n x="2" s="1"/>
      </t>
    </mdx>
    <mdx n="0" f="v">
      <t c="4" si="1">
        <n x="70"/>
        <n x="4"/>
        <n x="498"/>
        <n x="2" s="1"/>
      </t>
    </mdx>
    <mdx n="0" f="v">
      <t c="4" si="1">
        <n x="70"/>
        <n x="4"/>
        <n x="499"/>
        <n x="2" s="1"/>
      </t>
    </mdx>
    <mdx n="0" f="v">
      <t c="4" si="1">
        <n x="69"/>
        <n x="7"/>
        <n x="498"/>
        <n x="2" s="1"/>
      </t>
    </mdx>
    <mdx n="0" f="v">
      <t c="4" si="1">
        <n x="69"/>
        <n x="7"/>
        <n x="499"/>
        <n x="2" s="1"/>
      </t>
    </mdx>
    <mdx n="0" f="v">
      <t c="4" si="1">
        <n x="68"/>
        <n x="4"/>
        <n x="498"/>
        <n x="2" s="1"/>
      </t>
    </mdx>
    <mdx n="0" f="v">
      <t c="4" si="1">
        <n x="68"/>
        <n x="4"/>
        <n x="499"/>
        <n x="2" s="1"/>
      </t>
    </mdx>
    <mdx n="0" f="v">
      <t c="4" si="1">
        <n x="67"/>
        <n x="4"/>
        <n x="498"/>
        <n x="2" s="1"/>
      </t>
    </mdx>
    <mdx n="0" f="v">
      <t c="4" si="1">
        <n x="67"/>
        <n x="4"/>
        <n x="499"/>
        <n x="2" s="1"/>
      </t>
    </mdx>
    <mdx n="0" f="v">
      <t c="4" si="1">
        <n x="66"/>
        <n x="7"/>
        <n x="498"/>
        <n x="2" s="1"/>
      </t>
    </mdx>
    <mdx n="0" f="v">
      <t c="4" si="1">
        <n x="66"/>
        <n x="7"/>
        <n x="499"/>
        <n x="2" s="1"/>
      </t>
    </mdx>
    <mdx n="0" f="v">
      <t c="4" si="1">
        <n x="65"/>
        <n x="7"/>
        <n x="498"/>
        <n x="2" s="1"/>
      </t>
    </mdx>
    <mdx n="0" f="v">
      <t c="4" si="1">
        <n x="65"/>
        <n x="7"/>
        <n x="499"/>
        <n x="2" s="1"/>
      </t>
    </mdx>
    <mdx n="0" f="v">
      <t c="4" si="1">
        <n x="64"/>
        <n x="4"/>
        <n x="498"/>
        <n x="2" s="1"/>
      </t>
    </mdx>
    <mdx n="0" f="v">
      <t c="4" si="1">
        <n x="64"/>
        <n x="4"/>
        <n x="499"/>
        <n x="2" s="1"/>
      </t>
    </mdx>
    <mdx n="0" f="v">
      <t c="4" si="1">
        <n x="63"/>
        <n x="10"/>
        <n x="498"/>
        <n x="2" s="1"/>
      </t>
    </mdx>
    <mdx n="0" f="v">
      <t c="4" si="1">
        <n x="63"/>
        <n x="10"/>
        <n x="499"/>
        <n x="2" s="1"/>
      </t>
    </mdx>
    <mdx n="0" f="v">
      <t c="4" si="1">
        <n x="62"/>
        <n x="10"/>
        <n x="498"/>
        <n x="2" s="1"/>
      </t>
    </mdx>
    <mdx n="0" f="v">
      <t c="4" si="1">
        <n x="62"/>
        <n x="10"/>
        <n x="499"/>
        <n x="2" s="1"/>
      </t>
    </mdx>
    <mdx n="0" f="v">
      <t c="4" si="1">
        <n x="61"/>
        <n x="4"/>
        <n x="498"/>
        <n x="2" s="1"/>
      </t>
    </mdx>
    <mdx n="0" f="v">
      <t c="4" si="1">
        <n x="61"/>
        <n x="4"/>
        <n x="499"/>
        <n x="2" s="1"/>
      </t>
    </mdx>
    <mdx n="0" f="v">
      <t c="4" si="1">
        <n x="60"/>
        <n x="4"/>
        <n x="498"/>
        <n x="2" s="1"/>
      </t>
    </mdx>
    <mdx n="0" f="v">
      <t c="4" si="1">
        <n x="60"/>
        <n x="4"/>
        <n x="499"/>
        <n x="2" s="1"/>
      </t>
    </mdx>
    <mdx n="0" f="v">
      <t c="4" si="1">
        <n x="59"/>
        <n x="4"/>
        <n x="498"/>
        <n x="2" s="1"/>
      </t>
    </mdx>
    <mdx n="0" f="v">
      <t c="4" si="1">
        <n x="59"/>
        <n x="4"/>
        <n x="499"/>
        <n x="2" s="1"/>
      </t>
    </mdx>
    <mdx n="0" f="v">
      <t c="4" si="1">
        <n x="58"/>
        <n x="4"/>
        <n x="498"/>
        <n x="2" s="1"/>
      </t>
    </mdx>
    <mdx n="0" f="v">
      <t c="4" si="1">
        <n x="58"/>
        <n x="4"/>
        <n x="499"/>
        <n x="2" s="1"/>
      </t>
    </mdx>
    <mdx n="0" f="v">
      <t c="4" si="1">
        <n x="57"/>
        <n x="10"/>
        <n x="498"/>
        <n x="2" s="1"/>
      </t>
    </mdx>
    <mdx n="0" f="v">
      <t c="4" si="1">
        <n x="57"/>
        <n x="10"/>
        <n x="499"/>
        <n x="2" s="1"/>
      </t>
    </mdx>
    <mdx n="0" f="v">
      <t c="4" si="1">
        <n x="56"/>
        <n x="7"/>
        <n x="498"/>
        <n x="2" s="1"/>
      </t>
    </mdx>
    <mdx n="0" f="v">
      <t c="4" si="1">
        <n x="56"/>
        <n x="7"/>
        <n x="499"/>
        <n x="2" s="1"/>
      </t>
    </mdx>
    <mdx n="0" f="v">
      <t c="4" si="1">
        <n x="55"/>
        <n x="4"/>
        <n x="498"/>
        <n x="2" s="1"/>
      </t>
    </mdx>
    <mdx n="0" f="v">
      <t c="4" si="1">
        <n x="55"/>
        <n x="4"/>
        <n x="499"/>
        <n x="2" s="1"/>
      </t>
    </mdx>
    <mdx n="0" f="v">
      <t c="4" si="1">
        <n x="54"/>
        <n x="10"/>
        <n x="498"/>
        <n x="2" s="1"/>
      </t>
    </mdx>
    <mdx n="0" f="v">
      <t c="4" si="1">
        <n x="54"/>
        <n x="10"/>
        <n x="499"/>
        <n x="2" s="1"/>
      </t>
    </mdx>
    <mdx n="0" f="v">
      <t c="4" si="1">
        <n x="53"/>
        <n x="10"/>
        <n x="498"/>
        <n x="2" s="1"/>
      </t>
    </mdx>
    <mdx n="0" f="v">
      <t c="4" si="1">
        <n x="53"/>
        <n x="10"/>
        <n x="499"/>
        <n x="2" s="1"/>
      </t>
    </mdx>
    <mdx n="0" f="v">
      <t c="4" si="1">
        <n x="52"/>
        <n x="4"/>
        <n x="498"/>
        <n x="2" s="1"/>
      </t>
    </mdx>
    <mdx n="0" f="v">
      <t c="4" si="1">
        <n x="52"/>
        <n x="4"/>
        <n x="499"/>
        <n x="2" s="1"/>
      </t>
    </mdx>
    <mdx n="0" f="v">
      <t c="4" si="1">
        <n x="51"/>
        <n x="10"/>
        <n x="498"/>
        <n x="2" s="1"/>
      </t>
    </mdx>
    <mdx n="0" f="v">
      <t c="4" si="1">
        <n x="51"/>
        <n x="10"/>
        <n x="499"/>
        <n x="2" s="1"/>
      </t>
    </mdx>
    <mdx n="0" f="v">
      <t c="4" si="1">
        <n x="50"/>
        <n x="10"/>
        <n x="498"/>
        <n x="2" s="1"/>
      </t>
    </mdx>
    <mdx n="0" f="v">
      <t c="4" si="1">
        <n x="50"/>
        <n x="10"/>
        <n x="499"/>
        <n x="2" s="1"/>
      </t>
    </mdx>
    <mdx n="0" f="v">
      <t c="4" si="1">
        <n x="49"/>
        <n x="7"/>
        <n x="498"/>
        <n x="2" s="1"/>
      </t>
    </mdx>
    <mdx n="0" f="v">
      <t c="4" si="1">
        <n x="49"/>
        <n x="7"/>
        <n x="499"/>
        <n x="2" s="1"/>
      </t>
    </mdx>
    <mdx n="0" f="v">
      <t c="4" si="1">
        <n x="48"/>
        <n x="10"/>
        <n x="498"/>
        <n x="2" s="1"/>
      </t>
    </mdx>
    <mdx n="0" f="v">
      <t c="4" si="1">
        <n x="48"/>
        <n x="10"/>
        <n x="499"/>
        <n x="2" s="1"/>
      </t>
    </mdx>
    <mdx n="0" f="v">
      <t c="4" si="1">
        <n x="47"/>
        <n x="7"/>
        <n x="498"/>
        <n x="2" s="1"/>
      </t>
    </mdx>
    <mdx n="0" f="v">
      <t c="4" si="1">
        <n x="47"/>
        <n x="7"/>
        <n x="499"/>
        <n x="2" s="1"/>
      </t>
    </mdx>
    <mdx n="0" f="v">
      <t c="4" si="1">
        <n x="46"/>
        <n x="10"/>
        <n x="498"/>
        <n x="2" s="1"/>
      </t>
    </mdx>
    <mdx n="0" f="v">
      <t c="4" si="1">
        <n x="46"/>
        <n x="10"/>
        <n x="499"/>
        <n x="2" s="1"/>
      </t>
    </mdx>
    <mdx n="0" f="v">
      <t c="4" si="1">
        <n x="45"/>
        <n x="10"/>
        <n x="498"/>
        <n x="2" s="1"/>
      </t>
    </mdx>
    <mdx n="0" f="v">
      <t c="4" si="1">
        <n x="45"/>
        <n x="10"/>
        <n x="499"/>
        <n x="2" s="1"/>
      </t>
    </mdx>
    <mdx n="0" f="v">
      <t c="4" si="1">
        <n x="44"/>
        <n x="4"/>
        <n x="498"/>
        <n x="2" s="1"/>
      </t>
    </mdx>
    <mdx n="0" f="v">
      <t c="4" si="1">
        <n x="44"/>
        <n x="4"/>
        <n x="499"/>
        <n x="2" s="1"/>
      </t>
    </mdx>
    <mdx n="0" f="v">
      <t c="4" si="1">
        <n x="43"/>
        <n x="7"/>
        <n x="498"/>
        <n x="2" s="1"/>
      </t>
    </mdx>
    <mdx n="0" f="v">
      <t c="4" si="1">
        <n x="43"/>
        <n x="7"/>
        <n x="499"/>
        <n x="2" s="1"/>
      </t>
    </mdx>
    <mdx n="0" f="v">
      <t c="4" si="1">
        <n x="42"/>
        <n x="4"/>
        <n x="498"/>
        <n x="2" s="1"/>
      </t>
    </mdx>
    <mdx n="0" f="v">
      <t c="4" si="1">
        <n x="42"/>
        <n x="4"/>
        <n x="499"/>
        <n x="2" s="1"/>
      </t>
    </mdx>
    <mdx n="0" f="v">
      <t c="4" si="1">
        <n x="41"/>
        <n x="4"/>
        <n x="498"/>
        <n x="2" s="1"/>
      </t>
    </mdx>
    <mdx n="0" f="v">
      <t c="4" si="1">
        <n x="41"/>
        <n x="4"/>
        <n x="499"/>
        <n x="2" s="1"/>
      </t>
    </mdx>
    <mdx n="0" f="v">
      <t c="4" si="1">
        <n x="40"/>
        <n x="10"/>
        <n x="498"/>
        <n x="2" s="1"/>
      </t>
    </mdx>
    <mdx n="0" f="v">
      <t c="4" si="1">
        <n x="40"/>
        <n x="10"/>
        <n x="499"/>
        <n x="2" s="1"/>
      </t>
    </mdx>
    <mdx n="0" f="v">
      <t c="4" si="1">
        <n x="39"/>
        <n x="10"/>
        <n x="498"/>
        <n x="2" s="1"/>
      </t>
    </mdx>
    <mdx n="0" f="v">
      <t c="4" si="1">
        <n x="39"/>
        <n x="10"/>
        <n x="499"/>
        <n x="2" s="1"/>
      </t>
    </mdx>
    <mdx n="0" f="v">
      <t c="4" si="1">
        <n x="38"/>
        <n x="4"/>
        <n x="498"/>
        <n x="2" s="1"/>
      </t>
    </mdx>
    <mdx n="0" f="v">
      <t c="4" si="1">
        <n x="38"/>
        <n x="4"/>
        <n x="499"/>
        <n x="2" s="1"/>
      </t>
    </mdx>
    <mdx n="0" f="v">
      <t c="4" si="1">
        <n x="37"/>
        <n x="10"/>
        <n x="498"/>
        <n x="2" s="1"/>
      </t>
    </mdx>
    <mdx n="0" f="v">
      <t c="4" si="1">
        <n x="37"/>
        <n x="10"/>
        <n x="499"/>
        <n x="2" s="1"/>
      </t>
    </mdx>
    <mdx n="0" f="v">
      <t c="4" si="1">
        <n x="36"/>
        <n x="4"/>
        <n x="498"/>
        <n x="2" s="1"/>
      </t>
    </mdx>
    <mdx n="0" f="v">
      <t c="4" si="1">
        <n x="36"/>
        <n x="4"/>
        <n x="499"/>
        <n x="2" s="1"/>
      </t>
    </mdx>
    <mdx n="0" f="v">
      <t c="4" si="1">
        <n x="35"/>
        <n x="7"/>
        <n x="498"/>
        <n x="2" s="1"/>
      </t>
    </mdx>
    <mdx n="0" f="v">
      <t c="4" si="1">
        <n x="35"/>
        <n x="7"/>
        <n x="499"/>
        <n x="2" s="1"/>
      </t>
    </mdx>
    <mdx n="0" f="v">
      <t c="4" si="1">
        <n x="34"/>
        <n x="4"/>
        <n x="498"/>
        <n x="2" s="1"/>
      </t>
    </mdx>
    <mdx n="0" f="v">
      <t c="4" si="1">
        <n x="34"/>
        <n x="4"/>
        <n x="499"/>
        <n x="2" s="1"/>
      </t>
    </mdx>
    <mdx n="0" f="v">
      <t c="4" si="1">
        <n x="33"/>
        <n x="7"/>
        <n x="498"/>
        <n x="2" s="1"/>
      </t>
    </mdx>
    <mdx n="0" f="v">
      <t c="4" si="1">
        <n x="33"/>
        <n x="7"/>
        <n x="499"/>
        <n x="2" s="1"/>
      </t>
    </mdx>
    <mdx n="0" f="v">
      <t c="4" si="1">
        <n x="32"/>
        <n x="4"/>
        <n x="498"/>
        <n x="2" s="1"/>
      </t>
    </mdx>
    <mdx n="0" f="v">
      <t c="4" si="1">
        <n x="32"/>
        <n x="4"/>
        <n x="499"/>
        <n x="2" s="1"/>
      </t>
    </mdx>
    <mdx n="0" f="v">
      <t c="4" si="1">
        <n x="31"/>
        <n x="10"/>
        <n x="498"/>
        <n x="2" s="1"/>
      </t>
    </mdx>
    <mdx n="0" f="v">
      <t c="4" si="1">
        <n x="31"/>
        <n x="10"/>
        <n x="499"/>
        <n x="2" s="1"/>
      </t>
    </mdx>
    <mdx n="0" f="v">
      <t c="4" si="1">
        <n x="30"/>
        <n x="4"/>
        <n x="498"/>
        <n x="2" s="1"/>
      </t>
    </mdx>
    <mdx n="0" f="v">
      <t c="4" si="1">
        <n x="30"/>
        <n x="4"/>
        <n x="499"/>
        <n x="2" s="1"/>
      </t>
    </mdx>
    <mdx n="0" f="v">
      <t c="4" si="1">
        <n x="29"/>
        <n x="7"/>
        <n x="498"/>
        <n x="2" s="1"/>
      </t>
    </mdx>
    <mdx n="0" f="v">
      <t c="4" si="1">
        <n x="29"/>
        <n x="7"/>
        <n x="499"/>
        <n x="2" s="1"/>
      </t>
    </mdx>
    <mdx n="0" f="v">
      <t c="4" si="1">
        <n x="28"/>
        <n x="10"/>
        <n x="498"/>
        <n x="2" s="1"/>
      </t>
    </mdx>
    <mdx n="0" f="v">
      <t c="4" si="1">
        <n x="28"/>
        <n x="10"/>
        <n x="499"/>
        <n x="2" s="1"/>
      </t>
    </mdx>
    <mdx n="0" f="v">
      <t c="4" si="1">
        <n x="27"/>
        <n x="4"/>
        <n x="498"/>
        <n x="2" s="1"/>
      </t>
    </mdx>
    <mdx n="0" f="v">
      <t c="4" si="1">
        <n x="27"/>
        <n x="4"/>
        <n x="499"/>
        <n x="2" s="1"/>
      </t>
    </mdx>
    <mdx n="0" f="v">
      <t c="4" si="1">
        <n x="26"/>
        <n x="10"/>
        <n x="498"/>
        <n x="2" s="1"/>
      </t>
    </mdx>
    <mdx n="0" f="v">
      <t c="4" si="1">
        <n x="26"/>
        <n x="10"/>
        <n x="499"/>
        <n x="2" s="1"/>
      </t>
    </mdx>
    <mdx n="0" f="v">
      <t c="4" si="1">
        <n x="25"/>
        <n x="4"/>
        <n x="498"/>
        <n x="2" s="1"/>
      </t>
    </mdx>
    <mdx n="0" f="v">
      <t c="4" si="1">
        <n x="25"/>
        <n x="4"/>
        <n x="499"/>
        <n x="2" s="1"/>
      </t>
    </mdx>
    <mdx n="0" f="v">
      <t c="4" si="1">
        <n x="24"/>
        <n x="4"/>
        <n x="498"/>
        <n x="2" s="1"/>
      </t>
    </mdx>
    <mdx n="0" f="v">
      <t c="4" si="1">
        <n x="24"/>
        <n x="4"/>
        <n x="499"/>
        <n x="2" s="1"/>
      </t>
    </mdx>
    <mdx n="0" f="v">
      <t c="4" si="1">
        <n x="23"/>
        <n x="10"/>
        <n x="498"/>
        <n x="2" s="1"/>
      </t>
    </mdx>
    <mdx n="0" f="v">
      <t c="4" si="1">
        <n x="23"/>
        <n x="10"/>
        <n x="499"/>
        <n x="2" s="1"/>
      </t>
    </mdx>
    <mdx n="0" f="v">
      <t c="4" si="1">
        <n x="22"/>
        <n x="4"/>
        <n x="498"/>
        <n x="2" s="1"/>
      </t>
    </mdx>
    <mdx n="0" f="v">
      <t c="4" si="1">
        <n x="22"/>
        <n x="4"/>
        <n x="499"/>
        <n x="2" s="1"/>
      </t>
    </mdx>
    <mdx n="0" f="v">
      <t c="4" si="1">
        <n x="21"/>
        <n x="4"/>
        <n x="498"/>
        <n x="2" s="1"/>
      </t>
    </mdx>
    <mdx n="0" f="v">
      <t c="4" si="1">
        <n x="21"/>
        <n x="4"/>
        <n x="499"/>
        <n x="2" s="1"/>
      </t>
    </mdx>
    <mdx n="0" f="v">
      <t c="4" si="1">
        <n x="20"/>
        <n x="4"/>
        <n x="498"/>
        <n x="2" s="1"/>
      </t>
    </mdx>
    <mdx n="0" f="v">
      <t c="4" si="1">
        <n x="20"/>
        <n x="4"/>
        <n x="499"/>
        <n x="2" s="1"/>
      </t>
    </mdx>
    <mdx n="0" f="v">
      <t c="4" si="1">
        <n x="19"/>
        <n x="7"/>
        <n x="498"/>
        <n x="2" s="1"/>
      </t>
    </mdx>
    <mdx n="0" f="v">
      <t c="4" si="1">
        <n x="19"/>
        <n x="7"/>
        <n x="499"/>
        <n x="2" s="1"/>
      </t>
    </mdx>
    <mdx n="0" f="v">
      <t c="4" si="1">
        <n x="18"/>
        <n x="10"/>
        <n x="498"/>
        <n x="2" s="1"/>
      </t>
    </mdx>
    <mdx n="0" f="v">
      <t c="4" si="1">
        <n x="18"/>
        <n x="10"/>
        <n x="499"/>
        <n x="2" s="1"/>
      </t>
    </mdx>
    <mdx n="0" f="v">
      <t c="4" si="1">
        <n x="17"/>
        <n x="4"/>
        <n x="498"/>
        <n x="2" s="1"/>
      </t>
    </mdx>
    <mdx n="0" f="v">
      <t c="4" si="1">
        <n x="17"/>
        <n x="4"/>
        <n x="499"/>
        <n x="2" s="1"/>
      </t>
    </mdx>
    <mdx n="0" f="v">
      <t c="4" si="1">
        <n x="16"/>
        <n x="4"/>
        <n x="498"/>
        <n x="2" s="1"/>
      </t>
    </mdx>
    <mdx n="0" f="v">
      <t c="4" si="1">
        <n x="16"/>
        <n x="4"/>
        <n x="499"/>
        <n x="2" s="1"/>
      </t>
    </mdx>
    <mdx n="0" f="v">
      <t c="4" si="1">
        <n x="15"/>
        <n x="10"/>
        <n x="498"/>
        <n x="2" s="1"/>
      </t>
    </mdx>
    <mdx n="0" f="v">
      <t c="4" si="1">
        <n x="15"/>
        <n x="10"/>
        <n x="499"/>
        <n x="2" s="1"/>
      </t>
    </mdx>
    <mdx n="0" f="v">
      <t c="4" si="1">
        <n x="14"/>
        <n x="4"/>
        <n x="498"/>
        <n x="2" s="1"/>
      </t>
    </mdx>
    <mdx n="0" f="v">
      <t c="4" si="1">
        <n x="14"/>
        <n x="4"/>
        <n x="499"/>
        <n x="2" s="1"/>
      </t>
    </mdx>
    <mdx n="0" f="v">
      <t c="4" si="1">
        <n x="13"/>
        <n x="10"/>
        <n x="498"/>
        <n x="2" s="1"/>
      </t>
    </mdx>
    <mdx n="0" f="v">
      <t c="4" si="1">
        <n x="13"/>
        <n x="10"/>
        <n x="499"/>
        <n x="2" s="1"/>
      </t>
    </mdx>
    <mdx n="0" f="v">
      <t c="4" si="1">
        <n x="12"/>
        <n x="10"/>
        <n x="498"/>
        <n x="2" s="1"/>
      </t>
    </mdx>
    <mdx n="0" f="v">
      <t c="4" si="1">
        <n x="12"/>
        <n x="10"/>
        <n x="499"/>
        <n x="2" s="1"/>
      </t>
    </mdx>
    <mdx n="0" f="v">
      <t c="4" si="1">
        <n x="11"/>
        <n x="10"/>
        <n x="498"/>
        <n x="2" s="1"/>
      </t>
    </mdx>
    <mdx n="0" f="v">
      <t c="4" si="1">
        <n x="11"/>
        <n x="10"/>
        <n x="499"/>
        <n x="2" s="1"/>
      </t>
    </mdx>
    <mdx n="0" f="v">
      <t c="4" si="1">
        <n x="9"/>
        <n x="10"/>
        <n x="498"/>
        <n x="2" s="1"/>
      </t>
    </mdx>
    <mdx n="0" f="v">
      <t c="4" si="1">
        <n x="9"/>
        <n x="10"/>
        <n x="499"/>
        <n x="2" s="1"/>
      </t>
    </mdx>
    <mdx n="0" f="v">
      <t c="4" si="1">
        <n x="8"/>
        <n x="4"/>
        <n x="498"/>
        <n x="2" s="1"/>
      </t>
    </mdx>
    <mdx n="0" f="v">
      <t c="4" si="1">
        <n x="8"/>
        <n x="4"/>
        <n x="499"/>
        <n x="2" s="1"/>
      </t>
    </mdx>
    <mdx n="0" f="v">
      <t c="4" si="1">
        <n x="6"/>
        <n x="7"/>
        <n x="498"/>
        <n x="2" s="1"/>
      </t>
    </mdx>
    <mdx n="0" f="v">
      <t c="4" si="1">
        <n x="6"/>
        <n x="7"/>
        <n x="499"/>
        <n x="2" s="1"/>
      </t>
    </mdx>
    <mdx n="0" f="v">
      <t c="4" si="1">
        <n x="5"/>
        <n x="4"/>
        <n x="498"/>
        <n x="2" s="1"/>
      </t>
    </mdx>
    <mdx n="0" f="v">
      <t c="4" si="1">
        <n x="5"/>
        <n x="4"/>
        <n x="499"/>
        <n x="2" s="1"/>
      </t>
    </mdx>
    <mdx n="0" f="v">
      <t c="4" si="1">
        <n x="3"/>
        <n x="4"/>
        <n x="498"/>
        <n x="2" s="1"/>
      </t>
    </mdx>
    <mdx n="0" f="v">
      <t c="4" si="1">
        <n x="3"/>
        <n x="4"/>
        <n x="499"/>
        <n x="2" s="1"/>
      </t>
    </mdx>
  </mdxMetadata>
  <futureMetadata name="XLDAPR" count="1">
    <bk>
      <extLst>
        <ext uri="{bdbb8cdc-fa1e-496e-a857-3c3f30c029c3}">
          <xda:dynamicArrayProperties fDynamic="1" fCollapsed="0"/>
        </ext>
      </extLst>
    </bk>
  </futureMetadata>
  <cellMetadata count="1">
    <bk>
      <rc t="1" v="0"/>
    </bk>
  </cellMetadata>
  <valueMetadata count="197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valueMetadata>
</metadata>
</file>

<file path=xl/sharedStrings.xml><?xml version="1.0" encoding="utf-8"?>
<sst xmlns="http://schemas.openxmlformats.org/spreadsheetml/2006/main" count="5931" uniqueCount="1028">
  <si>
    <t>Department</t>
  </si>
  <si>
    <t>Location</t>
  </si>
  <si>
    <t>Corporate Benefit Plan</t>
  </si>
  <si>
    <t>Finance</t>
  </si>
  <si>
    <t>Noida</t>
  </si>
  <si>
    <t>Bronze</t>
  </si>
  <si>
    <t>Individual</t>
  </si>
  <si>
    <t>Hyderabad</t>
  </si>
  <si>
    <t>Operations</t>
  </si>
  <si>
    <t>Gurugram</t>
  </si>
  <si>
    <t>Silver</t>
  </si>
  <si>
    <t>Tech</t>
  </si>
  <si>
    <t>HR</t>
  </si>
  <si>
    <t>Bengaluru</t>
  </si>
  <si>
    <t>Sales</t>
  </si>
  <si>
    <t>Insurance tier</t>
  </si>
  <si>
    <t>Family Floater</t>
  </si>
  <si>
    <t>Gold</t>
  </si>
  <si>
    <t>Above 200k</t>
  </si>
  <si>
    <t>Parents Included</t>
  </si>
  <si>
    <t>Between 50k and 200k</t>
  </si>
  <si>
    <t>Under 50k</t>
  </si>
  <si>
    <t>Gender</t>
  </si>
  <si>
    <t>Female</t>
  </si>
  <si>
    <t>Male</t>
  </si>
  <si>
    <t>Transgender</t>
  </si>
  <si>
    <t>Row Labels</t>
  </si>
  <si>
    <t>Grand Total</t>
  </si>
  <si>
    <t>Column Labels</t>
  </si>
  <si>
    <t>Employee ID</t>
  </si>
  <si>
    <t>Full Name</t>
  </si>
  <si>
    <t>Monthly Base Salary (INR)</t>
  </si>
  <si>
    <t>Monthly Premiums</t>
  </si>
  <si>
    <t>Salary Bracket</t>
  </si>
  <si>
    <t>Emp1085</t>
  </si>
  <si>
    <t>Indira Joshi</t>
  </si>
  <si>
    <t>Emp1307</t>
  </si>
  <si>
    <t>Rajkumar Devi</t>
  </si>
  <si>
    <t>Emp1122</t>
  </si>
  <si>
    <t>Renchamo Kikon</t>
  </si>
  <si>
    <t>Emp1166</t>
  </si>
  <si>
    <t>Sachin Verma</t>
  </si>
  <si>
    <t>Emp1330</t>
  </si>
  <si>
    <t>Sngi Kharkongor</t>
  </si>
  <si>
    <t>Emp1133</t>
  </si>
  <si>
    <t>Subhalata Koloi</t>
  </si>
  <si>
    <t>Emp1281</t>
  </si>
  <si>
    <t>Chidambaram Reddy</t>
  </si>
  <si>
    <t>Emp1194</t>
  </si>
  <si>
    <t>Kersi Vakil</t>
  </si>
  <si>
    <t>Emp1394</t>
  </si>
  <si>
    <t>Aspi Contractor</t>
  </si>
  <si>
    <t>Emp1180</t>
  </si>
  <si>
    <t>Vanlalhruaii Khiangte</t>
  </si>
  <si>
    <t>Emp1063</t>
  </si>
  <si>
    <t>Mark D'Souza</t>
  </si>
  <si>
    <t>Emp1253</t>
  </si>
  <si>
    <t>Kalpana Raman</t>
  </si>
  <si>
    <t>Emp1323</t>
  </si>
  <si>
    <t>Zubin Irani</t>
  </si>
  <si>
    <t>Emp1224</t>
  </si>
  <si>
    <t>Gyati Yein</t>
  </si>
  <si>
    <t>Emp1492</t>
  </si>
  <si>
    <t>Xavier Mondal</t>
  </si>
  <si>
    <t>Emp1268</t>
  </si>
  <si>
    <t>Hemant Joshi</t>
  </si>
  <si>
    <t>Emp1236</t>
  </si>
  <si>
    <t>Rajkumari Laishram</t>
  </si>
  <si>
    <t>Emp1379</t>
  </si>
  <si>
    <t>Jyoti Srivastava</t>
  </si>
  <si>
    <t>Emp1386</t>
  </si>
  <si>
    <t>Xavier Mendes</t>
  </si>
  <si>
    <t>Emp1466</t>
  </si>
  <si>
    <t>Ruth Mendes</t>
  </si>
  <si>
    <t>Emp1019</t>
  </si>
  <si>
    <t>Farokh Panthaki</t>
  </si>
  <si>
    <t>Emp1416</t>
  </si>
  <si>
    <t>Aloo Engineer</t>
  </si>
  <si>
    <t>Emp1269</t>
  </si>
  <si>
    <t>Uma Krishnan</t>
  </si>
  <si>
    <t>Emp1250</t>
  </si>
  <si>
    <t>Kmen Nongrum</t>
  </si>
  <si>
    <t>Emp1016</t>
  </si>
  <si>
    <t>Ankit Chauhan</t>
  </si>
  <si>
    <t>Emp1036</t>
  </si>
  <si>
    <t>Phiroz Engineer</t>
  </si>
  <si>
    <t>Emp1023</t>
  </si>
  <si>
    <t>Laksh Puri</t>
  </si>
  <si>
    <t>Emp1246</t>
  </si>
  <si>
    <t>Dwmsri Islary</t>
  </si>
  <si>
    <t>Emp1397</t>
  </si>
  <si>
    <t>Lamyanbi Laishram</t>
  </si>
  <si>
    <t>Emp1018</t>
  </si>
  <si>
    <t>Bheem .</t>
  </si>
  <si>
    <t>Emp1039</t>
  </si>
  <si>
    <t>Umesh Yadav</t>
  </si>
  <si>
    <t>Emp1426</t>
  </si>
  <si>
    <t>Tarsem Dhaliwal</t>
  </si>
  <si>
    <t>Emp1482</t>
  </si>
  <si>
    <t>Saad Siddiqui</t>
  </si>
  <si>
    <t>Emp1024</t>
  </si>
  <si>
    <t>Pemba Rai</t>
  </si>
  <si>
    <t>Emp1494</t>
  </si>
  <si>
    <t>Tejinder Gill</t>
  </si>
  <si>
    <t>Emp1286</t>
  </si>
  <si>
    <t>Reena Colaco</t>
  </si>
  <si>
    <t>Emp1153</t>
  </si>
  <si>
    <t>Pervin Engineer</t>
  </si>
  <si>
    <t>Emp1455</t>
  </si>
  <si>
    <t>Ashok Kohli</t>
  </si>
  <si>
    <t>Emp1095</t>
  </si>
  <si>
    <t>David Colaco</t>
  </si>
  <si>
    <t>Emp1097</t>
  </si>
  <si>
    <t>Khriekuolie Kikon</t>
  </si>
  <si>
    <t>Emp1328</t>
  </si>
  <si>
    <t>Dinshaw Elavia</t>
  </si>
  <si>
    <t>Emp1160</t>
  </si>
  <si>
    <t>Saurabh Agarwal</t>
  </si>
  <si>
    <t>Emp1243</t>
  </si>
  <si>
    <t>Vikram Kapoor</t>
  </si>
  <si>
    <t>Emp1443</t>
  </si>
  <si>
    <t>Meenakshi Pillai</t>
  </si>
  <si>
    <t>Emp1392</t>
  </si>
  <si>
    <t>Wandik Manda</t>
  </si>
  <si>
    <t>Emp1442</t>
  </si>
  <si>
    <t>Jeroo Vakil</t>
  </si>
  <si>
    <t>Emp1000</t>
  </si>
  <si>
    <t>Jagan Chettiar</t>
  </si>
  <si>
    <t>Emp1348</t>
  </si>
  <si>
    <t>Chandrika Riang</t>
  </si>
  <si>
    <t>Emp1251</t>
  </si>
  <si>
    <t>Srinivas Raman</t>
  </si>
  <si>
    <t>Emp1177</t>
  </si>
  <si>
    <t>Vimenuo Jamir</t>
  </si>
  <si>
    <t>Emp1360</t>
  </si>
  <si>
    <t>Chandni Malhotra</t>
  </si>
  <si>
    <t>Emp1060</t>
  </si>
  <si>
    <t>Prakash Rao</t>
  </si>
  <si>
    <t>Emp1227</t>
  </si>
  <si>
    <t>Joan Gonsalves</t>
  </si>
  <si>
    <t>Emp1344</t>
  </si>
  <si>
    <t>Sudha Naidu</t>
  </si>
  <si>
    <t>Emp1316</t>
  </si>
  <si>
    <t>Him Chettri Lepcha</t>
  </si>
  <si>
    <t>Emp1391</t>
  </si>
  <si>
    <t>Sneha Mishra</t>
  </si>
  <si>
    <t>Emp1141</t>
  </si>
  <si>
    <t>Lalramfeli Zuala</t>
  </si>
  <si>
    <t>Emp1105</t>
  </si>
  <si>
    <t>Bimala Uchoi</t>
  </si>
  <si>
    <t>Emp1190</t>
  </si>
  <si>
    <t>Deepak Rai Sherpa</t>
  </si>
  <si>
    <t>Emp1222</t>
  </si>
  <si>
    <t>Narayan Iyengar</t>
  </si>
  <si>
    <t>Emp1283</t>
  </si>
  <si>
    <t>Chaobi Singh</t>
  </si>
  <si>
    <t>Emp1259</t>
  </si>
  <si>
    <t>Noshir Wadia</t>
  </si>
  <si>
    <t>Emp1037</t>
  </si>
  <si>
    <t>Prasad Raj</t>
  </si>
  <si>
    <t>Emp1370</t>
  </si>
  <si>
    <t>Sanjay Gupta</t>
  </si>
  <si>
    <t>Emp1433</t>
  </si>
  <si>
    <t>Shankar Bhat</t>
  </si>
  <si>
    <t>Emp1206</t>
  </si>
  <si>
    <t>Hema Pandey</t>
  </si>
  <si>
    <t>Emp1400</t>
  </si>
  <si>
    <t>Jayaram Gowda</t>
  </si>
  <si>
    <t>Emp1123</t>
  </si>
  <si>
    <t>Manikandan Balan</t>
  </si>
  <si>
    <t>Emp1079</t>
  </si>
  <si>
    <t>Sohrab Cooper</t>
  </si>
  <si>
    <t>Emp1333</t>
  </si>
  <si>
    <t>Lobsang Bagra</t>
  </si>
  <si>
    <t>Emp1460</t>
  </si>
  <si>
    <t>Kong Syiem</t>
  </si>
  <si>
    <t>Emp1380</t>
  </si>
  <si>
    <t>Renla Aier</t>
  </si>
  <si>
    <t>Emp1167</t>
  </si>
  <si>
    <t>Pesi Contractor</t>
  </si>
  <si>
    <t>Emp1234</t>
  </si>
  <si>
    <t>Simran Virk</t>
  </si>
  <si>
    <t>Emp1071</t>
  </si>
  <si>
    <t>Murali Pai</t>
  </si>
  <si>
    <t>Emp1297</t>
  </si>
  <si>
    <t>Chungkham Chungkham</t>
  </si>
  <si>
    <t>Emp1468</t>
  </si>
  <si>
    <t>Mohammed Farooqui</t>
  </si>
  <si>
    <t>Emp1213</t>
  </si>
  <si>
    <t>Dhananjoy Uchoi</t>
  </si>
  <si>
    <t>Emp1173</t>
  </si>
  <si>
    <t>Rojer Dkhar</t>
  </si>
  <si>
    <t>Emp1108</t>
  </si>
  <si>
    <t>Madhavi Iyengar</t>
  </si>
  <si>
    <t>Emp1215</t>
  </si>
  <si>
    <t>Akumla Longkumer</t>
  </si>
  <si>
    <t>Emp1225</t>
  </si>
  <si>
    <t>Joshua Pinto</t>
  </si>
  <si>
    <t>Emp1329</t>
  </si>
  <si>
    <t>Jyotiprasad Gogoi</t>
  </si>
  <si>
    <t>Emp1015</t>
  </si>
  <si>
    <t>Sathish Chettiar</t>
  </si>
  <si>
    <t>Emp1014</t>
  </si>
  <si>
    <t>Zhale Imsong</t>
  </si>
  <si>
    <t>Emp1459</t>
  </si>
  <si>
    <t>Sheela Thomas</t>
  </si>
  <si>
    <t>Emp1090</t>
  </si>
  <si>
    <t>Thoibi Nongthombam</t>
  </si>
  <si>
    <t>Emp1132</t>
  </si>
  <si>
    <t>Satnam Aujla</t>
  </si>
  <si>
    <t>Emp1294</t>
  </si>
  <si>
    <t>Hem Chettri Gyatso</t>
  </si>
  <si>
    <t>Emp1021</t>
  </si>
  <si>
    <t>Irfan Shakir</t>
  </si>
  <si>
    <t>Emp1066</t>
  </si>
  <si>
    <t>Himesh .</t>
  </si>
  <si>
    <t>Emp1430</t>
  </si>
  <si>
    <t>Yumnam Thokchom</t>
  </si>
  <si>
    <t>Emp1319</t>
  </si>
  <si>
    <t>Champa Mochahari</t>
  </si>
  <si>
    <t>Emp1318</t>
  </si>
  <si>
    <t>Vimeinuo Ao</t>
  </si>
  <si>
    <t>Emp1111</t>
  </si>
  <si>
    <t>Rajinder Mann</t>
  </si>
  <si>
    <t>Emp1317</t>
  </si>
  <si>
    <t>Agnes Rodrigues</t>
  </si>
  <si>
    <t>Emp1004</t>
  </si>
  <si>
    <t>Hemanta Saikia</t>
  </si>
  <si>
    <t>Emp1275</t>
  </si>
  <si>
    <t>Sandeep Toor</t>
  </si>
  <si>
    <t>Emp1477</t>
  </si>
  <si>
    <t>Kyrmenlang Rynjah</t>
  </si>
  <si>
    <t>Emp1187</t>
  </si>
  <si>
    <t>Leo Coelho</t>
  </si>
  <si>
    <t>Emp1255</t>
  </si>
  <si>
    <t>Anjali Daimary</t>
  </si>
  <si>
    <t>Emp1320</t>
  </si>
  <si>
    <t>Alphonsa Lobo</t>
  </si>
  <si>
    <t>Emp1048</t>
  </si>
  <si>
    <t>Shabana Pathan</t>
  </si>
  <si>
    <t>Emp1147</t>
  </si>
  <si>
    <t>Vanlalhruaia Zote</t>
  </si>
  <si>
    <t>Emp1103</t>
  </si>
  <si>
    <t>Tariq Sayyed</t>
  </si>
  <si>
    <t>Emp1306</t>
  </si>
  <si>
    <t>Himangshu Mahanta</t>
  </si>
  <si>
    <t>Emp1263</t>
  </si>
  <si>
    <t>Amandeep Singh</t>
  </si>
  <si>
    <t>Emp1136</t>
  </si>
  <si>
    <t>Elizabeth Abraham</t>
  </si>
  <si>
    <t>Emp1295</t>
  </si>
  <si>
    <t>Sentila Angami</t>
  </si>
  <si>
    <t>Emp1096</t>
  </si>
  <si>
    <t>Meher Malik</t>
  </si>
  <si>
    <t>Emp1474</t>
  </si>
  <si>
    <t>Raman Kumar</t>
  </si>
  <si>
    <t>Emp1163</t>
  </si>
  <si>
    <t>Talom Loyi</t>
  </si>
  <si>
    <t>Emp1287</t>
  </si>
  <si>
    <t>Emp1065</t>
  </si>
  <si>
    <t>Senthil Shetty</t>
  </si>
  <si>
    <t>Emp1210</t>
  </si>
  <si>
    <t>Rahat Khan</t>
  </si>
  <si>
    <t>Emp1051</t>
  </si>
  <si>
    <t>Lalrindika Lalrinchhana</t>
  </si>
  <si>
    <t>Emp1199</t>
  </si>
  <si>
    <t>Kirandeep Dhillon</t>
  </si>
  <si>
    <t>Emp1421</t>
  </si>
  <si>
    <t>Anand Krishnan</t>
  </si>
  <si>
    <t>Emp1230</t>
  </si>
  <si>
    <t>Kulwinder Randhawa</t>
  </si>
  <si>
    <t>Emp1308</t>
  </si>
  <si>
    <t>Anna Colaco</t>
  </si>
  <si>
    <t>Emp1279</t>
  </si>
  <si>
    <t>Rani Dubey</t>
  </si>
  <si>
    <t>Emp1276</t>
  </si>
  <si>
    <t>Subhashini Iyengar</t>
  </si>
  <si>
    <t>Emp1067</t>
  </si>
  <si>
    <t>Deepika Khanna</t>
  </si>
  <si>
    <t>Emp1385</t>
  </si>
  <si>
    <t>Dilip Bhuyan</t>
  </si>
  <si>
    <t>Emp1389</t>
  </si>
  <si>
    <t>Karamjit Sandhu</t>
  </si>
  <si>
    <t>Emp1120</t>
  </si>
  <si>
    <t>Emp1113</t>
  </si>
  <si>
    <t>Abdul Siddiqui</t>
  </si>
  <si>
    <t>Emp1035</t>
  </si>
  <si>
    <t>Ibomcha Huidrom</t>
  </si>
  <si>
    <t>Emp1270</t>
  </si>
  <si>
    <t>Ganapathy Yadav</t>
  </si>
  <si>
    <t>Emp1271</t>
  </si>
  <si>
    <t>Mebandari Nongsiej</t>
  </si>
  <si>
    <t>Emp1321</t>
  </si>
  <si>
    <t>Tejinder Kang</t>
  </si>
  <si>
    <t>Emp1304</t>
  </si>
  <si>
    <t>Grikdik Chisim</t>
  </si>
  <si>
    <t>Emp1086</t>
  </si>
  <si>
    <t>Nish Kapoor</t>
  </si>
  <si>
    <t>Emp1265</t>
  </si>
  <si>
    <t>Emp1398</t>
  </si>
  <si>
    <t>Lakhi Rajkhowa</t>
  </si>
  <si>
    <t>Emp1419</t>
  </si>
  <si>
    <t>Damida Wahlang</t>
  </si>
  <si>
    <t>Emp1447</t>
  </si>
  <si>
    <t>Iaidor Nongbet</t>
  </si>
  <si>
    <t>Emp1399</t>
  </si>
  <si>
    <t>Karma Lepcha</t>
  </si>
  <si>
    <t>Emp1107</t>
  </si>
  <si>
    <t>Gulnaz Khan</t>
  </si>
  <si>
    <t>Emp1331</t>
  </si>
  <si>
    <t>Radhika Chettiar</t>
  </si>
  <si>
    <t>Emp1431</t>
  </si>
  <si>
    <t>Francis Varghese</t>
  </si>
  <si>
    <t>Emp1094</t>
  </si>
  <si>
    <t>Sanjenbam Meitei</t>
  </si>
  <si>
    <t>Emp1292</t>
  </si>
  <si>
    <t>Coomi Panthaki</t>
  </si>
  <si>
    <t>Emp1118</t>
  </si>
  <si>
    <t>John George</t>
  </si>
  <si>
    <t>Emp1405</t>
  </si>
  <si>
    <t>Nyari Tayeng</t>
  </si>
  <si>
    <t>Emp1203</t>
  </si>
  <si>
    <t>Tashi Doma Dorjee</t>
  </si>
  <si>
    <t>Emp1192</t>
  </si>
  <si>
    <t>Emp1485</t>
  </si>
  <si>
    <t>Jonali Phukan</t>
  </si>
  <si>
    <t>Emp1401</t>
  </si>
  <si>
    <t>Chibri Ch. Marak</t>
  </si>
  <si>
    <t>Emp1453</t>
  </si>
  <si>
    <t>Zhale Ao</t>
  </si>
  <si>
    <t>Emp1150</t>
  </si>
  <si>
    <t>Saba Qureshi</t>
  </si>
  <si>
    <t>Emp1043</t>
  </si>
  <si>
    <t>Pema Chettri</t>
  </si>
  <si>
    <t>Emp1242</t>
  </si>
  <si>
    <t>Rikynti Suchiang</t>
  </si>
  <si>
    <t>Emp1182</t>
  </si>
  <si>
    <t>Rituraj Das</t>
  </si>
  <si>
    <t>Emp1112</t>
  </si>
  <si>
    <t>Shubham Singh</t>
  </si>
  <si>
    <t>Emp1395</t>
  </si>
  <si>
    <t>Kumar Raman</t>
  </si>
  <si>
    <t>Emp1473</t>
  </si>
  <si>
    <t>Lalthanzara Ralte</t>
  </si>
  <si>
    <t>Emp1489</t>
  </si>
  <si>
    <t>Nagendra Murasingh</t>
  </si>
  <si>
    <t>Emp1280</t>
  </si>
  <si>
    <t>Rajesh Joshi</t>
  </si>
  <si>
    <t>Emp1062</t>
  </si>
  <si>
    <t>Vidya Gowda</t>
  </si>
  <si>
    <t>Emp1314</t>
  </si>
  <si>
    <t>Arjun Yadav</t>
  </si>
  <si>
    <t>Emp1376</t>
  </si>
  <si>
    <t>Wasim Baig</t>
  </si>
  <si>
    <t>Emp1219</t>
  </si>
  <si>
    <t>Dipika Sarma</t>
  </si>
  <si>
    <t>Emp1249</t>
  </si>
  <si>
    <t>Akum Koi</t>
  </si>
  <si>
    <t>Emp1336</t>
  </si>
  <si>
    <t>Sukhwinder Bal</t>
  </si>
  <si>
    <t>Emp1396</t>
  </si>
  <si>
    <t>Kersi Anand</t>
  </si>
  <si>
    <t>Emp1080</t>
  </si>
  <si>
    <t>Sengchim Sangma</t>
  </si>
  <si>
    <t>Emp1115</t>
  </si>
  <si>
    <t>Imnaila Sangtam</t>
  </si>
  <si>
    <t>Emp1183</t>
  </si>
  <si>
    <t>Behram Engineer</t>
  </si>
  <si>
    <t>Emp1264</t>
  </si>
  <si>
    <t>Kevi Chang</t>
  </si>
  <si>
    <t>Emp1198</t>
  </si>
  <si>
    <t>Gopal Nair</t>
  </si>
  <si>
    <t>Emp1088</t>
  </si>
  <si>
    <t>Milind Panday</t>
  </si>
  <si>
    <t>Emp1093</t>
  </si>
  <si>
    <t>Angela Dias</t>
  </si>
  <si>
    <t>Emp1232</t>
  </si>
  <si>
    <t>Rehan Sheikh</t>
  </si>
  <si>
    <t>Emp1284</t>
  </si>
  <si>
    <t>Veronica Mathew</t>
  </si>
  <si>
    <t>Emp1463</t>
  </si>
  <si>
    <t>Kausar Mirza</t>
  </si>
  <si>
    <t>Emp1074</t>
  </si>
  <si>
    <t>Priya Saxena</t>
  </si>
  <si>
    <t>Emp1357</t>
  </si>
  <si>
    <t>Emp1289</t>
  </si>
  <si>
    <t>AK Dhilion</t>
  </si>
  <si>
    <t>Emp1169</t>
  </si>
  <si>
    <t>Grasing Chisim</t>
  </si>
  <si>
    <t>Emp1054</t>
  </si>
  <si>
    <t>Maria Lobo</t>
  </si>
  <si>
    <t>Emp1008</t>
  </si>
  <si>
    <t>Aditya Thakur</t>
  </si>
  <si>
    <t>Emp1484</t>
  </si>
  <si>
    <t>Saroja Raman</t>
  </si>
  <si>
    <t>Emp1020</t>
  </si>
  <si>
    <t>Bhavesh Kapoor</t>
  </si>
  <si>
    <t>Emp1220</t>
  </si>
  <si>
    <t>Emp1352</t>
  </si>
  <si>
    <t>Mridula Chaliha</t>
  </si>
  <si>
    <t>Emp1185</t>
  </si>
  <si>
    <t>Chikbal Manda</t>
  </si>
  <si>
    <t>Emp1045</t>
  </si>
  <si>
    <t>Emp1207</t>
  </si>
  <si>
    <t>Thinley Limbu</t>
  </si>
  <si>
    <t>Emp1176</t>
  </si>
  <si>
    <t>Emp1211</t>
  </si>
  <si>
    <t>Piroja Daruwala</t>
  </si>
  <si>
    <t>Emp1481</t>
  </si>
  <si>
    <t>Navjot Sodhi</t>
  </si>
  <si>
    <t>Emp1315</t>
  </si>
  <si>
    <t>Manashi Bora</t>
  </si>
  <si>
    <t>Emp1381</t>
  </si>
  <si>
    <t>Karin Tapin</t>
  </si>
  <si>
    <t>Emp1266</t>
  </si>
  <si>
    <t>Talin Tayeng</t>
  </si>
  <si>
    <t>Emp1435</t>
  </si>
  <si>
    <t>Khadija Sayyed</t>
  </si>
  <si>
    <t>Emp1337</t>
  </si>
  <si>
    <t>Kaif Pathan</t>
  </si>
  <si>
    <t>Emp1432</t>
  </si>
  <si>
    <t>Savitri Varma</t>
  </si>
  <si>
    <t>Emp1491</t>
  </si>
  <si>
    <t>Kitboklang Pariat</t>
  </si>
  <si>
    <t>Emp1298</t>
  </si>
  <si>
    <t>Emp1382</t>
  </si>
  <si>
    <t>Gursharan Dhaliwal</t>
  </si>
  <si>
    <t>Emp1480</t>
  </si>
  <si>
    <t>Ardeshir Wadia</t>
  </si>
  <si>
    <t>Emp1345</t>
  </si>
  <si>
    <t>Saraswati Hegde</t>
  </si>
  <si>
    <t>Emp1238</t>
  </si>
  <si>
    <t>Emp1361</t>
  </si>
  <si>
    <t>Dhanush Rao</t>
  </si>
  <si>
    <t>Emp1355</t>
  </si>
  <si>
    <t>Rwswmwi Boro</t>
  </si>
  <si>
    <t>Emp1200</t>
  </si>
  <si>
    <t>Rashmi Rekha Choudhury</t>
  </si>
  <si>
    <t>Emp1303</t>
  </si>
  <si>
    <t>Hussain Ansari</t>
  </si>
  <si>
    <t>Emp1101</t>
  </si>
  <si>
    <t>Kamal Sanggam</t>
  </si>
  <si>
    <t>Emp1044</t>
  </si>
  <si>
    <t>Emp1201</t>
  </si>
  <si>
    <t>Tara Yadav</t>
  </si>
  <si>
    <t>Emp1440</t>
  </si>
  <si>
    <t>Soni Jain</t>
  </si>
  <si>
    <t>Emp1299</t>
  </si>
  <si>
    <t>Lakhi Rani Halam</t>
  </si>
  <si>
    <t>Emp1056</t>
  </si>
  <si>
    <t>Selvam Gowda</t>
  </si>
  <si>
    <t>Emp1164</t>
  </si>
  <si>
    <t>Sunita Goyari</t>
  </si>
  <si>
    <t>Emp1434</t>
  </si>
  <si>
    <t>Albirth Koch</t>
  </si>
  <si>
    <t>Emp1335</t>
  </si>
  <si>
    <t>Khodadad Dalal</t>
  </si>
  <si>
    <t>Emp1168</t>
  </si>
  <si>
    <t>Tali Walling</t>
  </si>
  <si>
    <t>Emp1472</t>
  </si>
  <si>
    <t>Anjali Chauhan</t>
  </si>
  <si>
    <t>Emp1058</t>
  </si>
  <si>
    <t>Chuba Jamir</t>
  </si>
  <si>
    <t>Emp1334</t>
  </si>
  <si>
    <t>Emp1029</t>
  </si>
  <si>
    <t>Harjit Kang</t>
  </si>
  <si>
    <t>Emp1300</t>
  </si>
  <si>
    <t>Shalini Verma</t>
  </si>
  <si>
    <t>Emp1424</t>
  </si>
  <si>
    <t>Tashi Riba</t>
  </si>
  <si>
    <t>Emp1006</t>
  </si>
  <si>
    <t>Rony Vaz</t>
  </si>
  <si>
    <t>Emp1083</t>
  </si>
  <si>
    <t>Emp1032</t>
  </si>
  <si>
    <t>Amit Upadhyay</t>
  </si>
  <si>
    <t>Emp1374</t>
  </si>
  <si>
    <t>Raman Rastogi</t>
  </si>
  <si>
    <t>Emp1476</t>
  </si>
  <si>
    <t>Emp1497</t>
  </si>
  <si>
    <t>Rikdik Sangma</t>
  </si>
  <si>
    <t>Emp1439</t>
  </si>
  <si>
    <t>Satish Chaudhary</t>
  </si>
  <si>
    <t>Emp1007</t>
  </si>
  <si>
    <t>Abhi Rawat</t>
  </si>
  <si>
    <t>Emp1449</t>
  </si>
  <si>
    <t>Cyril Dias</t>
  </si>
  <si>
    <t>Emp1311</t>
  </si>
  <si>
    <t>Emp1347</t>
  </si>
  <si>
    <t>Emp1486</t>
  </si>
  <si>
    <t>Dhruv Saxena</t>
  </si>
  <si>
    <t>Emp1148</t>
  </si>
  <si>
    <t>Emp1458</t>
  </si>
  <si>
    <t>Marbom Rina</t>
  </si>
  <si>
    <t>Emp1369</t>
  </si>
  <si>
    <t>Heer Ahirwar</t>
  </si>
  <si>
    <t>Emp1354</t>
  </si>
  <si>
    <t>Wanshai Wahlang</t>
  </si>
  <si>
    <t>Emp1436</t>
  </si>
  <si>
    <t>Naseem Farooqui</t>
  </si>
  <si>
    <t>Emp1068</t>
  </si>
  <si>
    <t>Jannat Qureshi</t>
  </si>
  <si>
    <t>Emp1109</t>
  </si>
  <si>
    <t>Emp1076</t>
  </si>
  <si>
    <t>Rwmwi Islary</t>
  </si>
  <si>
    <t>Emp1462</t>
  </si>
  <si>
    <t>Rinzing Mondal</t>
  </si>
  <si>
    <t>Emp1327</t>
  </si>
  <si>
    <t>Emp1393</t>
  </si>
  <si>
    <t>Emp1450</t>
  </si>
  <si>
    <t>Soli Bilimoria</t>
  </si>
  <si>
    <t>Emp1025</t>
  </si>
  <si>
    <t>Emp1420</t>
  </si>
  <si>
    <t>Margaret Rodrigues</t>
  </si>
  <si>
    <t>Emp1116</t>
  </si>
  <si>
    <t>Framroze Cama</t>
  </si>
  <si>
    <t>Emp1444</t>
  </si>
  <si>
    <t>Kaling Nyodu</t>
  </si>
  <si>
    <t>Emp1378</t>
  </si>
  <si>
    <t>Rabindra Molsom</t>
  </si>
  <si>
    <t>Emp1073</t>
  </si>
  <si>
    <t>Lalhriatpuii Chinzah</t>
  </si>
  <si>
    <t>Emp1070</t>
  </si>
  <si>
    <t>Somendro Laishram</t>
  </si>
  <si>
    <t>Emp1186</t>
  </si>
  <si>
    <t>Anita Fernandez</t>
  </si>
  <si>
    <t>Emp1296</t>
  </si>
  <si>
    <t>Afsana Sayyed</t>
  </si>
  <si>
    <t>Emp1091</t>
  </si>
  <si>
    <t>Lilian Fernandes</t>
  </si>
  <si>
    <t>Emp1235</t>
  </si>
  <si>
    <t>Zohmingliani Vanlalvena</t>
  </si>
  <si>
    <t>Emp1196</t>
  </si>
  <si>
    <t>Suresh Balan</t>
  </si>
  <si>
    <t>Emp1159</t>
  </si>
  <si>
    <t>Emp1075</t>
  </si>
  <si>
    <t>Ashok Rathore</t>
  </si>
  <si>
    <t>Emp1384</t>
  </si>
  <si>
    <t>Dawa Zangmo Lama</t>
  </si>
  <si>
    <t>Emp1325</t>
  </si>
  <si>
    <t>Clara Mathew</t>
  </si>
  <si>
    <t>Emp1217</t>
  </si>
  <si>
    <t>Emp1388</t>
  </si>
  <si>
    <t>Jasvinder Brar</t>
  </si>
  <si>
    <t>Emp1157</t>
  </si>
  <si>
    <t>Lamyanba Devi</t>
  </si>
  <si>
    <t>Emp1126</t>
  </si>
  <si>
    <t>Emp1437</t>
  </si>
  <si>
    <t>Gurjeet Sodhi</t>
  </si>
  <si>
    <t>Emp1053</t>
  </si>
  <si>
    <t>Seema Varma</t>
  </si>
  <si>
    <t>Emp1121</t>
  </si>
  <si>
    <t>Shirin Elavia</t>
  </si>
  <si>
    <t>Emp1197</t>
  </si>
  <si>
    <t>Mohit Kapoor</t>
  </si>
  <si>
    <t>Emp1191</t>
  </si>
  <si>
    <t>Emp1367</t>
  </si>
  <si>
    <t>Zothanmawia Chhangte</t>
  </si>
  <si>
    <t>Emp1408</t>
  </si>
  <si>
    <t>Zain Khan</t>
  </si>
  <si>
    <t>Emp1104</t>
  </si>
  <si>
    <t>Trishna Neog</t>
  </si>
  <si>
    <t>Emp1273</t>
  </si>
  <si>
    <t>Emp1055</t>
  </si>
  <si>
    <t>Peviyi Yepthomi</t>
  </si>
  <si>
    <t>Emp1245</t>
  </si>
  <si>
    <t>Chetan Malhotra</t>
  </si>
  <si>
    <t>Emp1228</t>
  </si>
  <si>
    <t>Mahmood Rizvi</t>
  </si>
  <si>
    <t>Emp1403</t>
  </si>
  <si>
    <t>Seema Sharma</t>
  </si>
  <si>
    <t>Emp1012</t>
  </si>
  <si>
    <t>Suresh Tiwari</t>
  </si>
  <si>
    <t>Emp1165</t>
  </si>
  <si>
    <t>Indu Shetty</t>
  </si>
  <si>
    <t>Emp1252</t>
  </si>
  <si>
    <t>Maryam Pathan</t>
  </si>
  <si>
    <t>Emp1351</t>
  </si>
  <si>
    <t>Prasanta Mochahari</t>
  </si>
  <si>
    <t>Emp1214</t>
  </si>
  <si>
    <t>Emp1272</t>
  </si>
  <si>
    <t>Murali Pathan</t>
  </si>
  <si>
    <t>Emp1467</t>
  </si>
  <si>
    <t>George Mathew</t>
  </si>
  <si>
    <t>Emp1383</t>
  </si>
  <si>
    <t>Ibarilin Kharshiing</t>
  </si>
  <si>
    <t>Emp1427</t>
  </si>
  <si>
    <t>Aisha Baig</t>
  </si>
  <si>
    <t>Emp1127</t>
  </si>
  <si>
    <t>Emp1009</t>
  </si>
  <si>
    <t>Mangala Reddy</t>
  </si>
  <si>
    <t>Emp1002</t>
  </si>
  <si>
    <t>Aadya .</t>
  </si>
  <si>
    <t>Emp1438</t>
  </si>
  <si>
    <t>Naslen Goofer</t>
  </si>
  <si>
    <t>Emp1221</t>
  </si>
  <si>
    <t>Bijoy Dutta</t>
  </si>
  <si>
    <t>Emp1258</t>
  </si>
  <si>
    <t>Damari Lyngwa</t>
  </si>
  <si>
    <t>Emp1413</t>
  </si>
  <si>
    <t>Emp1359</t>
  </si>
  <si>
    <t>Emp1496</t>
  </si>
  <si>
    <t>Katayun Dalal</t>
  </si>
  <si>
    <t>Emp1028</t>
  </si>
  <si>
    <t>Kannan Singhal</t>
  </si>
  <si>
    <t>Emp1003</t>
  </si>
  <si>
    <t>Emp1204</t>
  </si>
  <si>
    <t>Nagaraj Iyer</t>
  </si>
  <si>
    <t>Emp1030</t>
  </si>
  <si>
    <t>Aatif Sheikh</t>
  </si>
  <si>
    <t>Emp1146</t>
  </si>
  <si>
    <t>Emp1322</t>
  </si>
  <si>
    <t>Nyage Pertin</t>
  </si>
  <si>
    <t>Emp1156</t>
  </si>
  <si>
    <t>Silloo Panthaki</t>
  </si>
  <si>
    <t>Emp1418</t>
  </si>
  <si>
    <t>Emp1373</t>
  </si>
  <si>
    <t>Charanjit Randhawa</t>
  </si>
  <si>
    <t>Emp1038</t>
  </si>
  <si>
    <t>Emp1257</t>
  </si>
  <si>
    <t>Emp1278</t>
  </si>
  <si>
    <t>Lalrinpuii Ralte</t>
  </si>
  <si>
    <t>Emp1267</t>
  </si>
  <si>
    <t>Emp1137</t>
  </si>
  <si>
    <t>Emp1212</t>
  </si>
  <si>
    <t>Basanta Halam</t>
  </si>
  <si>
    <t>Emp1277</t>
  </si>
  <si>
    <t>Javed Baig</t>
  </si>
  <si>
    <t>Emp1461</t>
  </si>
  <si>
    <t>Sameera Baig</t>
  </si>
  <si>
    <t>Emp1260</t>
  </si>
  <si>
    <t>Lhamu Riba</t>
  </si>
  <si>
    <t>Emp1218</t>
  </si>
  <si>
    <t>Wari Momin</t>
  </si>
  <si>
    <t>Emp1081</t>
  </si>
  <si>
    <t>Emp1483</t>
  </si>
  <si>
    <t>Firdaus Naqvi</t>
  </si>
  <si>
    <t>Emp1414</t>
  </si>
  <si>
    <t>Pulin Tripura</t>
  </si>
  <si>
    <t>Emp1161</t>
  </si>
  <si>
    <t>Chaoba Konthoujam</t>
  </si>
  <si>
    <t>Emp1114</t>
  </si>
  <si>
    <t>Wanphrang Pariat</t>
  </si>
  <si>
    <t>Emp1193</t>
  </si>
  <si>
    <t>Emp1174</t>
  </si>
  <si>
    <t>Imnala Yanthan</t>
  </si>
  <si>
    <t>Emp1346</t>
  </si>
  <si>
    <t>Madhuri Tiwari</t>
  </si>
  <si>
    <t>Emp1162</t>
  </si>
  <si>
    <t>Aarti Agarwal</t>
  </si>
  <si>
    <t>Emp1087</t>
  </si>
  <si>
    <t>Emp1059</t>
  </si>
  <si>
    <t>Zonunmawii Sailo</t>
  </si>
  <si>
    <t>Emp1135</t>
  </si>
  <si>
    <t>Kamala Varma</t>
  </si>
  <si>
    <t>Emp1375</t>
  </si>
  <si>
    <t>Kavi .</t>
  </si>
  <si>
    <t>Emp1404</t>
  </si>
  <si>
    <t>Vasudevan Iyer</t>
  </si>
  <si>
    <t>Emp1410</t>
  </si>
  <si>
    <t>Emp1216</t>
  </si>
  <si>
    <t>Pinki Gujjar</t>
  </si>
  <si>
    <t>Emp1417</t>
  </si>
  <si>
    <t>Emp1195</t>
  </si>
  <si>
    <t>Kunja Rupini</t>
  </si>
  <si>
    <t>Emp1428</t>
  </si>
  <si>
    <t>Zarine Dastur</t>
  </si>
  <si>
    <t>Emp1495</t>
  </si>
  <si>
    <t>Tanaz Irani</t>
  </si>
  <si>
    <t>Emp1078</t>
  </si>
  <si>
    <t>Emp1082</t>
  </si>
  <si>
    <t>Irfan Sayyed</t>
  </si>
  <si>
    <t>Emp1102</t>
  </si>
  <si>
    <t>Rafiq Naqvi</t>
  </si>
  <si>
    <t>Emp1084</t>
  </si>
  <si>
    <t>Priyanka Rout</t>
  </si>
  <si>
    <t>Emp1309</t>
  </si>
  <si>
    <t>Rustom Daruwala</t>
  </si>
  <si>
    <t>Emp1061</t>
  </si>
  <si>
    <t>Suman Narwaar</t>
  </si>
  <si>
    <t>Emp1149</t>
  </si>
  <si>
    <t>Vilato Chishi</t>
  </si>
  <si>
    <t>Emp1064</t>
  </si>
  <si>
    <t>Anthony Pereira</t>
  </si>
  <si>
    <t>Emp1487</t>
  </si>
  <si>
    <t>Khriezo Longkumer</t>
  </si>
  <si>
    <t>Emp1288</t>
  </si>
  <si>
    <t>Emp1110</t>
  </si>
  <si>
    <t>Manjeet Cheema</t>
  </si>
  <si>
    <t>Emp1022</t>
  </si>
  <si>
    <t>Akum Aier</t>
  </si>
  <si>
    <t>Emp1143</t>
  </si>
  <si>
    <t>Meera Vankodoth</t>
  </si>
  <si>
    <t>Emp1046</t>
  </si>
  <si>
    <t>Aravind Iyer</t>
  </si>
  <si>
    <t>Emp1293</t>
  </si>
  <si>
    <t>Emp1406</t>
  </si>
  <si>
    <t>Aaron D'Souza</t>
  </si>
  <si>
    <t>Emp1343</t>
  </si>
  <si>
    <t>Emp1310</t>
  </si>
  <si>
    <t>Emp1415</t>
  </si>
  <si>
    <t>Jatin Srivastava</t>
  </si>
  <si>
    <t>Emp1490</t>
  </si>
  <si>
    <t>Harjeet Kaur</t>
  </si>
  <si>
    <t>Emp1362</t>
  </si>
  <si>
    <t>Neikuolie Walling</t>
  </si>
  <si>
    <t>Emp1457</t>
  </si>
  <si>
    <t>Swati Chauhan</t>
  </si>
  <si>
    <t>Emp1341</t>
  </si>
  <si>
    <t>Baljeet Sandhu</t>
  </si>
  <si>
    <t>Emp1338</t>
  </si>
  <si>
    <t>Asha Rathore</t>
  </si>
  <si>
    <t>Emp1340</t>
  </si>
  <si>
    <t>Emp1233</t>
  </si>
  <si>
    <t>Vinod Rao</t>
  </si>
  <si>
    <t>Emp1423</t>
  </si>
  <si>
    <t>Mustafa Nizami</t>
  </si>
  <si>
    <t>Emp1138</t>
  </si>
  <si>
    <t>Emp1125</t>
  </si>
  <si>
    <t>Bina Reang Murasingh</t>
  </si>
  <si>
    <t>Emp1223</t>
  </si>
  <si>
    <t>Zeenat Chaudhary</t>
  </si>
  <si>
    <t>Emp1465</t>
  </si>
  <si>
    <t>Chumbeno Lotha</t>
  </si>
  <si>
    <t>Emp1282</t>
  </si>
  <si>
    <t>Bijoy Meitei Sanasam</t>
  </si>
  <si>
    <t>Emp1448</t>
  </si>
  <si>
    <t>Emp1365</t>
  </si>
  <si>
    <t>Haiyer Kang</t>
  </si>
  <si>
    <t>Emp1184</t>
  </si>
  <si>
    <t>Ronald Fernandez</t>
  </si>
  <si>
    <t>Emp1106</t>
  </si>
  <si>
    <t>Kunzang Tamang</t>
  </si>
  <si>
    <t>Emp1130</t>
  </si>
  <si>
    <t>Emp1452</t>
  </si>
  <si>
    <t>Emp1057</t>
  </si>
  <si>
    <t>Saira Sayyed</t>
  </si>
  <si>
    <t>Emp1422</t>
  </si>
  <si>
    <t>Ganesh Pillai</t>
  </si>
  <si>
    <t>Emp1409</t>
  </si>
  <si>
    <t>Mamta Biswaas</t>
  </si>
  <si>
    <t>Emp1372</t>
  </si>
  <si>
    <t>Sabiha Mirza</t>
  </si>
  <si>
    <t>Emp1339</t>
  </si>
  <si>
    <t>Avan Cooper</t>
  </si>
  <si>
    <t>Emp1099</t>
  </si>
  <si>
    <t>Emp1454</t>
  </si>
  <si>
    <t>Emp1181</t>
  </si>
  <si>
    <t>Emp1429</t>
  </si>
  <si>
    <t>Rinzing Chettri</t>
  </si>
  <si>
    <t>Emp1117</t>
  </si>
  <si>
    <t>Divya Bhatia</t>
  </si>
  <si>
    <t>Emp1493</t>
  </si>
  <si>
    <t>Devi Krishnan</t>
  </si>
  <si>
    <t>Emp1368</t>
  </si>
  <si>
    <t>Emp1041</t>
  </si>
  <si>
    <t>Rokhumi Fanai</t>
  </si>
  <si>
    <t>Emp1026</t>
  </si>
  <si>
    <t>Gongdik Sibrang</t>
  </si>
  <si>
    <t>Emp1013</t>
  </si>
  <si>
    <t>Padmanabhan Reddy</t>
  </si>
  <si>
    <t>Emp1131</t>
  </si>
  <si>
    <t>Emp1124</t>
  </si>
  <si>
    <t>Emp1158</t>
  </si>
  <si>
    <t>Emp1151</t>
  </si>
  <si>
    <t>Ambreen Malik</t>
  </si>
  <si>
    <t>Emp1189</t>
  </si>
  <si>
    <t>Ayaan Chaudhary</t>
  </si>
  <si>
    <t>Emp1155</t>
  </si>
  <si>
    <t>Sowmya Pai</t>
  </si>
  <si>
    <t>Emp1049</t>
  </si>
  <si>
    <t>Ibadari Sawian</t>
  </si>
  <si>
    <t>Emp1387</t>
  </si>
  <si>
    <t>Sanjenbi Ningombam</t>
  </si>
  <si>
    <t>Emp1040</t>
  </si>
  <si>
    <t>Yasmeen Rizvi</t>
  </si>
  <si>
    <t>Emp1179</t>
  </si>
  <si>
    <t>Mangi Meitei</t>
  </si>
  <si>
    <t>Emp1262</t>
  </si>
  <si>
    <t>Vanlaltana Vanlalvena</t>
  </si>
  <si>
    <t>Emp1152</t>
  </si>
  <si>
    <t>Emp1005</t>
  </si>
  <si>
    <t>Sneha Gupta</t>
  </si>
  <si>
    <t>Emp1209</t>
  </si>
  <si>
    <t>Abhinav Rajesh</t>
  </si>
  <si>
    <t>Emp1202</t>
  </si>
  <si>
    <t>Emp1353</t>
  </si>
  <si>
    <t>Emp1254</t>
  </si>
  <si>
    <t>Wetshoyi Chang</t>
  </si>
  <si>
    <t>Emp1031</t>
  </si>
  <si>
    <t>Hiranya Das</t>
  </si>
  <si>
    <t>Emp1342</t>
  </si>
  <si>
    <t>Sonram Areng</t>
  </si>
  <si>
    <t>Emp1175</t>
  </si>
  <si>
    <t>Ambika Tiwari</t>
  </si>
  <si>
    <t>Emp1239</t>
  </si>
  <si>
    <t>Lucy Pereira</t>
  </si>
  <si>
    <t>Emp1142</t>
  </si>
  <si>
    <t>Emp1027</t>
  </si>
  <si>
    <t>Bijoya Sibrang</t>
  </si>
  <si>
    <t>Emp1231</t>
  </si>
  <si>
    <t>Yamuna Shetty</t>
  </si>
  <si>
    <t>Emp1326</t>
  </si>
  <si>
    <t>Usha Subramaniam</t>
  </si>
  <si>
    <t>Emp1451</t>
  </si>
  <si>
    <t>Shiva Hegde</t>
  </si>
  <si>
    <t>Emp1425</t>
  </si>
  <si>
    <t>Shabnam Malik</t>
  </si>
  <si>
    <t>Emp1350</t>
  </si>
  <si>
    <t>Emp1402</t>
  </si>
  <si>
    <t>Bidik Marak</t>
  </si>
  <si>
    <t>Emp1129</t>
  </si>
  <si>
    <t>Emp1274</t>
  </si>
  <si>
    <t>Emp1172</t>
  </si>
  <si>
    <t>Chandran Naidu</t>
  </si>
  <si>
    <t>Emp1479</t>
  </si>
  <si>
    <t>Hasima Muchahary</t>
  </si>
  <si>
    <t>Emp1017</t>
  </si>
  <si>
    <t>Freny Batliwala</t>
  </si>
  <si>
    <t>Emp1188</t>
  </si>
  <si>
    <t>Srividya Iyer</t>
  </si>
  <si>
    <t>Emp1301</t>
  </si>
  <si>
    <t>Deepa Menon</t>
  </si>
  <si>
    <t>Emp1119</t>
  </si>
  <si>
    <t>Emp1302</t>
  </si>
  <si>
    <t>Sukhdeep Singh</t>
  </si>
  <si>
    <t>Emp1363</t>
  </si>
  <si>
    <t>Anupam Phukan</t>
  </si>
  <si>
    <t>Emp1170</t>
  </si>
  <si>
    <t>Peter Ao Sangtam</t>
  </si>
  <si>
    <t>Emp1475</t>
  </si>
  <si>
    <t>Gurdeep Mann</t>
  </si>
  <si>
    <t>Emp1464</t>
  </si>
  <si>
    <t>Vasudevan Kamal</t>
  </si>
  <si>
    <t>Emp1366</t>
  </si>
  <si>
    <t>Emp1324</t>
  </si>
  <si>
    <t>Jaspreet Brar</t>
  </si>
  <si>
    <t>Emp1241</t>
  </si>
  <si>
    <t>Zonunmawia Zuala</t>
  </si>
  <si>
    <t>Emp1001</t>
  </si>
  <si>
    <t>Kunzang Kevin</t>
  </si>
  <si>
    <t>Emp1412</t>
  </si>
  <si>
    <t>Ambika Reddy</t>
  </si>
  <si>
    <t>Emp1488</t>
  </si>
  <si>
    <t>Emp1140</t>
  </si>
  <si>
    <t>Dorendri Devi</t>
  </si>
  <si>
    <t>Emp1411</t>
  </si>
  <si>
    <t>Aasiya Mirza</t>
  </si>
  <si>
    <t>Emp1134</t>
  </si>
  <si>
    <t>Emp1364</t>
  </si>
  <si>
    <t>Emp1240</t>
  </si>
  <si>
    <t>Krishna Pradhan Wangdi</t>
  </si>
  <si>
    <t>Emp1358</t>
  </si>
  <si>
    <t>Nongthombam Nongthombam</t>
  </si>
  <si>
    <t>Emp1052</t>
  </si>
  <si>
    <t>Emp1178</t>
  </si>
  <si>
    <t>Emp1256</t>
  </si>
  <si>
    <t>Emp1033</t>
  </si>
  <si>
    <t>Roshan Cooper</t>
  </si>
  <si>
    <t>Emp1313</t>
  </si>
  <si>
    <t>Emp1445</t>
  </si>
  <si>
    <t>Harjeet Kang</t>
  </si>
  <si>
    <t>Emp1248</t>
  </si>
  <si>
    <t>Amrinder Gill</t>
  </si>
  <si>
    <t>Emp1469</t>
  </si>
  <si>
    <t>Emp1390</t>
  </si>
  <si>
    <t>Mahendran Achari</t>
  </si>
  <si>
    <t>Emp1261</t>
  </si>
  <si>
    <t>Amrit Sandhu</t>
  </si>
  <si>
    <t>Emp1069</t>
  </si>
  <si>
    <t>Chetan Pippli</t>
  </si>
  <si>
    <t>Emp1441</t>
  </si>
  <si>
    <t>Michael Pereira</t>
  </si>
  <si>
    <t>Emp1446</t>
  </si>
  <si>
    <t>Harish Pandey</t>
  </si>
  <si>
    <t>Emp1154</t>
  </si>
  <si>
    <t>Emp1305</t>
  </si>
  <si>
    <t>Emp1499</t>
  </si>
  <si>
    <t>Emp1226</t>
  </si>
  <si>
    <t>Chandni Kushwaha</t>
  </si>
  <si>
    <t>Emp1139</t>
  </si>
  <si>
    <t>Gurpreet Bal</t>
  </si>
  <si>
    <t>Emp1011</t>
  </si>
  <si>
    <t>Philip Dias</t>
  </si>
  <si>
    <t>Emp1471</t>
  </si>
  <si>
    <t>Arif Hashmi</t>
  </si>
  <si>
    <t>Emp1050</t>
  </si>
  <si>
    <t>Navdeep Mann</t>
  </si>
  <si>
    <t>Emp1478</t>
  </si>
  <si>
    <t>Bineswar Ramchiary</t>
  </si>
  <si>
    <t>Emp1247</t>
  </si>
  <si>
    <t>Ayesha Nizami</t>
  </si>
  <si>
    <t>Emp1498</t>
  </si>
  <si>
    <t>Amandeep Sidhu</t>
  </si>
  <si>
    <t>Emp1034</t>
  </si>
  <si>
    <t>Emp1128</t>
  </si>
  <si>
    <t>Emp1010</t>
  </si>
  <si>
    <t>Rosemary Vaz</t>
  </si>
  <si>
    <t>Emp1407</t>
  </si>
  <si>
    <t>Emp1456</t>
  </si>
  <si>
    <t>Daniel Fernandez</t>
  </si>
  <si>
    <t>Emp1470</t>
  </si>
  <si>
    <t>Emp1332</t>
  </si>
  <si>
    <t>Parminder Toor</t>
  </si>
  <si>
    <t>Emp1244</t>
  </si>
  <si>
    <t>Navdeep Cheema</t>
  </si>
  <si>
    <t>Emp1171</t>
  </si>
  <si>
    <t>Kishore Mishra</t>
  </si>
  <si>
    <t>Emp1371</t>
  </si>
  <si>
    <t>Carmel Thomas</t>
  </si>
  <si>
    <t>Emp1377</t>
  </si>
  <si>
    <t>Emp1100</t>
  </si>
  <si>
    <t>Om Bhatia</t>
  </si>
  <si>
    <t>Emp1312</t>
  </si>
  <si>
    <t>Emp1098</t>
  </si>
  <si>
    <t>Jasvir Sandhu</t>
  </si>
  <si>
    <t>Emp1356</t>
  </si>
  <si>
    <t>Khalid Hashmi</t>
  </si>
  <si>
    <t>Emp1290</t>
  </si>
  <si>
    <t>Hormuz Dastur</t>
  </si>
  <si>
    <t>Emp1042</t>
  </si>
  <si>
    <t>Emp1285</t>
  </si>
  <si>
    <t>Emp1145</t>
  </si>
  <si>
    <t>Hasan Siddiqui</t>
  </si>
  <si>
    <t>Emp1291</t>
  </si>
  <si>
    <t>Emp1072</t>
  </si>
  <si>
    <t>Bridget Mendes</t>
  </si>
  <si>
    <t>Emp1237</t>
  </si>
  <si>
    <t>Kabita Dutta</t>
  </si>
  <si>
    <t>Emp1208</t>
  </si>
  <si>
    <t>Varun Rathore</t>
  </si>
  <si>
    <t>Gender Pay Gap</t>
  </si>
  <si>
    <t>Average of Monthly Base Salary (INR)</t>
  </si>
  <si>
    <t>Count of Department</t>
  </si>
  <si>
    <t>IQR</t>
  </si>
  <si>
    <t>Salary Tier</t>
  </si>
  <si>
    <t>Range of Salary</t>
  </si>
  <si>
    <t>Min</t>
  </si>
  <si>
    <t>Max</t>
  </si>
  <si>
    <t>Mid</t>
  </si>
  <si>
    <t>Junior</t>
  </si>
  <si>
    <t>Senior</t>
  </si>
  <si>
    <t>Lead</t>
  </si>
  <si>
    <t>Internal Department</t>
  </si>
  <si>
    <t>Vendor Survey Job Code</t>
  </si>
  <si>
    <t>Vendor Global Group Name</t>
  </si>
  <si>
    <t>Industry Peer Segment</t>
  </si>
  <si>
    <t>IN-TECH-04</t>
  </si>
  <si>
    <t>High-Value Technical Core</t>
  </si>
  <si>
    <t>Technology / Energy</t>
  </si>
  <si>
    <t>IN-OPS-02</t>
  </si>
  <si>
    <t>Core Operations Specialist</t>
  </si>
  <si>
    <t>Industrial Operations</t>
  </si>
  <si>
    <t>IN-SLS-01</t>
  </si>
  <si>
    <t>Field Sales Execution</t>
  </si>
  <si>
    <t>Commercial &amp; Retail</t>
  </si>
  <si>
    <t>IN-FIN-03</t>
  </si>
  <si>
    <t>Corporate Finance Core</t>
  </si>
  <si>
    <t>Shared Services</t>
  </si>
  <si>
    <t>IN-HR-02</t>
  </si>
  <si>
    <t>Corporate Talent Admin</t>
  </si>
  <si>
    <t>Count of Insurance tier</t>
  </si>
  <si>
    <t>Max of Monthly Base Salary (INR)</t>
  </si>
  <si>
    <t>Min of Monthly Base Salary (INR)</t>
  </si>
  <si>
    <t>Average of Monthly Premiums</t>
  </si>
  <si>
    <t>Max of Monthly Premiums</t>
  </si>
  <si>
    <t>Min of Monthly Premiums</t>
  </si>
  <si>
    <t>Count of Monthly Premiums</t>
  </si>
  <si>
    <t>Each band's gap is under 3% of that band's average, and the direction flips (women ahead in three bands, men ahead in one). This pattern is consistent with normal variation rather than a systematic gap — no band shows a one-sided, consistent disadvantage for either gender.</t>
  </si>
  <si>
    <t>Note: The Transgender group is too small for standalone statistical comparison and is excluded from the gender pay analysis below — noted here as a scope limitation, not an omission.</t>
  </si>
  <si>
    <t>Gap (M-F)</t>
  </si>
  <si>
    <t>Outlier check</t>
  </si>
  <si>
    <t>Salary Band</t>
  </si>
  <si>
    <t>Lower bound</t>
  </si>
  <si>
    <t>Upper Bound</t>
  </si>
  <si>
    <t>High Outliers Exist</t>
  </si>
  <si>
    <t>No Low Outliers</t>
  </si>
  <si>
    <t>Headcount</t>
  </si>
  <si>
    <t>Total Monthly Premium Cost</t>
  </si>
  <si>
    <t>Average Salary</t>
  </si>
  <si>
    <t>High-Cost Employee %</t>
  </si>
  <si>
    <t>Rewards &amp; Benefits Analytics Dashboard</t>
  </si>
  <si>
    <t>McKinsey-style executive view using live formulas, pivots, and all employee records.</t>
  </si>
  <si>
    <t>CONTENTS</t>
  </si>
  <si>
    <t>DESCRIPTION</t>
  </si>
  <si>
    <t>Rewards Dashboard</t>
  </si>
  <si>
    <t>Interactive executive dashboard with filters, KPI cards, charts, benchmarking table, and narrative insights.</t>
  </si>
  <si>
    <t>Employee Data</t>
  </si>
  <si>
    <t>Source employee table used for the live dashboard calculations.</t>
  </si>
  <si>
    <t>Rewards &amp; Benefits Allocation</t>
  </si>
  <si>
    <t>Existing pivot allocation view used as a validation source for premium and high-cost totals.</t>
  </si>
  <si>
    <t>Gender Pay Equity</t>
  </si>
  <si>
    <t>Existing gender pay pivot analysis referenced in the pay-gap visualization.</t>
  </si>
  <si>
    <t>Basic Analysis</t>
  </si>
  <si>
    <t>Existing pivot-table workbook analysis supporting the dashboard.</t>
  </si>
  <si>
    <t>Dashboard Data</t>
  </si>
  <si>
    <t>Hidden helper sheet with live formulas feeding dashboard charts.</t>
  </si>
  <si>
    <t>Locations</t>
  </si>
  <si>
    <t>Genders</t>
  </si>
  <si>
    <t>Departments</t>
  </si>
  <si>
    <t>Tiers</t>
  </si>
  <si>
    <t>Plans</t>
  </si>
  <si>
    <t>Salary Bands</t>
  </si>
  <si>
    <t>All</t>
  </si>
  <si>
    <t>Salary band</t>
  </si>
  <si>
    <t>Avg salary</t>
  </si>
  <si>
    <t>Avg premium</t>
  </si>
  <si>
    <t>High-cost %</t>
  </si>
  <si>
    <t>Rewards operations dashboard</t>
  </si>
  <si>
    <t>Interactive rewards, benefits, pay equity and benchmarking view — change filters to refresh KPIs, charts and table.</t>
  </si>
  <si>
    <t>Total premium</t>
  </si>
  <si>
    <t>AVG PREMIUM BY DEPARTMENT X LOCATION</t>
  </si>
  <si>
    <t>PLAN MIX BY TIER</t>
  </si>
  <si>
    <t>HEADCOUNT BY DEPARTMENT</t>
  </si>
  <si>
    <t>GENDER PAY GAP BY SALARY BAND</t>
  </si>
  <si>
    <t>BENCHMARKING SUBMISSION VIEW</t>
  </si>
  <si>
    <t>RAW DATA TABLE</t>
  </si>
  <si>
    <t>Raw data table: the dashboard is powered by `Employee Data` rows with validated Location, Department, Gender, Insurance tier and Corporate Benefit Plan fields. The hidden `Dashboard Data` helper sheet holds live formulas that feed the charts; source records remain on the original data sheet.</t>
  </si>
  <si>
    <t>Source: Demo Data created with 492 rows</t>
  </si>
  <si>
    <t>Insurance Tier</t>
  </si>
  <si>
    <t>Story in brief: High-cost employees are defined as employees with monthly premiums over ₹7,000. Under this threshold, high-premium benefit combinations are the main cost concentration. Use the filters above to isolate a city, gender, or department; every KPI, chart and benchmarking row recalculates from the employee-level source table.</t>
  </si>
  <si>
    <t>Bronze Salary X</t>
  </si>
  <si>
    <t>Silver Salary X</t>
  </si>
  <si>
    <t>Gold Salary X</t>
  </si>
  <si>
    <t>Bronze Premium Y</t>
  </si>
  <si>
    <t>Silver Premium Y</t>
  </si>
  <si>
    <t>Gold Premium Y</t>
  </si>
  <si>
    <t>Benefit Plan</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</si>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</sst>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 #,##0.00"/>
    <numFmt numFmtId="165" formatCode="&quot;₹&quot;\ #,##0"/>
    <numFmt numFmtId="166" formatCode="0.0%"/>
    <numFmt numFmtId="167" formatCode="\₹#,##0"/>
    <numFmt numFmtId="168" formatCode="\₹\ #,##0"/>
    <numFmt numFmtId="170" formatCode="&quot;₹&quot;\ #,##0;#,##0\ \-&quot;₹&quot;;&quot;₹&quot;\ #,##0"/>
    <numFmt numFmtId="171" formatCode="&quot;₹&quot;\ #,##0;#,##0\ \-&quot;₹&quot;;&quot;₹&quot;\ #,##0"/>
  </numFmts>
  <fonts count="22"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family val="2"/>
    </font>
    <font>
      <b/>
      <sz val="20"/>
      <color rgb="FFFFFFFF"/>
      <name val="Aptos Narrow"/>
      <family val="2"/>
      <scheme val="minor"/>
    </font>
    <font>
      <i/>
      <sz val="11"/>
      <color rgb="FFAAB4C3"/>
      <name val="Aptos Narrow"/>
      <family val="2"/>
      <scheme val="minor"/>
    </font>
    <font>
      <sz val="11"/>
      <color rgb="FFFFFFFF"/>
      <name val="Aptos"/>
      <family val="2"/>
    </font>
    <font>
      <b/>
      <sz val="11"/>
      <color rgb="FFFFFFFF"/>
      <name val="Aptos"/>
      <family val="2"/>
    </font>
    <font>
      <b/>
      <sz val="11"/>
      <color rgb="FF7DB5FF"/>
      <name val="Aptos"/>
      <family val="2"/>
    </font>
    <font>
      <sz val="11"/>
      <color rgb="FFD7DEE8"/>
      <name val="Aptos"/>
      <family val="2"/>
    </font>
    <font>
      <sz val="11"/>
      <color rgb="FFE8EEF7"/>
      <name val="Aptos"/>
      <family val="2"/>
    </font>
    <font>
      <i/>
      <sz val="11"/>
      <color rgb="FFAAB4C3"/>
      <name val="Aptos"/>
      <family val="2"/>
    </font>
    <font>
      <b/>
      <sz val="11"/>
      <color rgb="FFAAB4C3"/>
      <name val="Aptos"/>
      <family val="2"/>
    </font>
    <font>
      <sz val="11"/>
      <color rgb="FFAAB4C3"/>
      <name val="Aptos"/>
      <family val="2"/>
    </font>
    <font>
      <sz val="12"/>
      <color rgb="FFE8EEF7"/>
      <name val="Aptos"/>
      <family val="2"/>
    </font>
    <font>
      <b/>
      <sz val="22"/>
      <color rgb="FFFFFFFF"/>
      <name val="Aptos"/>
      <family val="2"/>
    </font>
    <font>
      <sz val="10"/>
      <color rgb="FFD7DEE8"/>
      <name val="Aptos"/>
      <family val="2"/>
    </font>
    <font>
      <b/>
      <sz val="14"/>
      <color rgb="FFAAB4C3"/>
      <name val="Aptos"/>
      <family val="2"/>
    </font>
    <font>
      <sz val="14"/>
      <color rgb="FFE8EEF7"/>
      <name val="Aptos"/>
      <family val="2"/>
    </font>
    <font>
      <sz val="22"/>
      <color rgb="FFE8EEF7"/>
      <name val="Aptos"/>
      <family val="2"/>
    </font>
    <font>
      <sz val="10"/>
      <color theme="1"/>
      <name val="Aptos Narrow"/>
      <family val="2"/>
      <scheme val="minor"/>
    </font>
    <font>
      <sz val="9"/>
      <color theme="1"/>
      <name val="Aptos Narrow"/>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rgb="FF0E1117"/>
        <bgColor indexed="64"/>
      </patternFill>
    </fill>
    <fill>
      <patternFill patternType="solid">
        <fgColor rgb="FF111827"/>
        <bgColor indexed="64"/>
      </patternFill>
    </fill>
    <fill>
      <patternFill patternType="solid">
        <fgColor rgb="FF2F80ED"/>
        <bgColor indexed="64"/>
      </patternFill>
    </fill>
    <fill>
      <patternFill patternType="solid">
        <fgColor rgb="FF1D2430"/>
        <bgColor indexed="64"/>
      </patternFill>
    </fill>
    <fill>
      <patternFill patternType="solid">
        <fgColor rgb="FF151A24"/>
        <bgColor indexed="64"/>
      </patternFill>
    </fill>
    <fill>
      <patternFill patternType="solid">
        <fgColor rgb="FF243041"/>
        <bgColor indexed="64"/>
      </patternFill>
    </fill>
    <fill>
      <patternFill patternType="solid">
        <fgColor theme="4" tint="0.79998168889431442"/>
        <bgColor indexed="64"/>
      </patternFill>
    </fill>
  </fills>
  <borders count="8">
    <border>
      <left/>
      <right/>
      <top/>
      <bottom/>
      <diagonal/>
    </border>
    <border>
      <left/>
      <right/>
      <top/>
      <bottom style="thin">
        <color theme="4" tint="0.39997558519241921"/>
      </bottom>
      <diagonal/>
    </border>
    <border>
      <left/>
      <right/>
      <top style="thin">
        <color theme="4" tint="0.39997558519241921"/>
      </top>
      <bottom/>
      <diagonal/>
    </border>
    <border>
      <left/>
      <right/>
      <top/>
      <bottom style="thin">
        <color rgb="FF2B3442"/>
      </bottom>
      <diagonal/>
    </border>
    <border>
      <left/>
      <right/>
      <top style="thin">
        <color rgb="FF2B3442"/>
      </top>
      <bottom style="thin">
        <color rgb="FF2B3442"/>
      </bottom>
      <diagonal/>
    </border>
    <border>
      <left/>
      <right/>
      <top style="thin">
        <color rgb="FF2B3442"/>
      </top>
      <bottom/>
      <diagonal/>
    </border>
    <border>
      <left/>
      <right/>
      <top/>
      <bottom style="thin">
        <color rgb="FF2F80ED"/>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164" fontId="0" fillId="0" borderId="0" xfId="0" applyNumberFormat="1"/>
    <xf numFmtId="1" fontId="0" fillId="0" borderId="0" xfId="0" applyNumberFormat="1"/>
    <xf numFmtId="164" fontId="1" fillId="0" borderId="0" xfId="0" applyNumberFormat="1" applyFont="1"/>
    <xf numFmtId="0" fontId="1" fillId="2" borderId="0" xfId="0" applyFont="1" applyFill="1"/>
    <xf numFmtId="0" fontId="1" fillId="2" borderId="1" xfId="0" applyFont="1" applyFill="1" applyBorder="1"/>
    <xf numFmtId="0" fontId="0" fillId="0" borderId="0" xfId="0" applyAlignment="1">
      <alignment horizontal="left" indent="1"/>
    </xf>
    <xf numFmtId="0" fontId="0" fillId="0" borderId="0" xfId="0" applyAlignment="1">
      <alignment horizontal="left" wrapText="1"/>
    </xf>
    <xf numFmtId="165" fontId="1" fillId="2" borderId="2" xfId="0" applyNumberFormat="1" applyFont="1" applyFill="1" applyBorder="1"/>
    <xf numFmtId="10" fontId="0" fillId="0" borderId="0" xfId="0" applyNumberFormat="1"/>
    <xf numFmtId="0" fontId="3" fillId="3" borderId="0" xfId="0" applyFont="1" applyFill="1"/>
    <xf numFmtId="0" fontId="3" fillId="0" borderId="0" xfId="0" applyFont="1"/>
    <xf numFmtId="0" fontId="7" fillId="5" borderId="3" xfId="0" applyFont="1" applyFill="1" applyBorder="1"/>
    <xf numFmtId="0" fontId="8" fillId="3" borderId="4" xfId="0" applyFont="1" applyFill="1" applyBorder="1"/>
    <xf numFmtId="0" fontId="9" fillId="3" borderId="4" xfId="0" applyFont="1" applyFill="1" applyBorder="1" applyAlignment="1">
      <alignment wrapText="1"/>
    </xf>
    <xf numFmtId="0" fontId="10" fillId="3" borderId="0" xfId="0" applyFont="1" applyFill="1"/>
    <xf numFmtId="0" fontId="10" fillId="0" borderId="0" xfId="0" applyFont="1"/>
    <xf numFmtId="0" fontId="6" fillId="6" borderId="6" xfId="0" applyFont="1" applyFill="1" applyBorder="1"/>
    <xf numFmtId="0" fontId="10" fillId="7" borderId="0" xfId="0" applyFont="1" applyFill="1"/>
    <xf numFmtId="0" fontId="10" fillId="7" borderId="3" xfId="0" applyFont="1" applyFill="1" applyBorder="1"/>
    <xf numFmtId="0" fontId="12" fillId="3" borderId="0" xfId="0" applyFont="1" applyFill="1"/>
    <xf numFmtId="0" fontId="14" fillId="7" borderId="0" xfId="0" applyFont="1" applyFill="1"/>
    <xf numFmtId="0" fontId="7" fillId="5" borderId="3" xfId="0" applyFont="1" applyFill="1" applyBorder="1" applyAlignment="1">
      <alignment horizontal="center"/>
    </xf>
    <xf numFmtId="167" fontId="10" fillId="7" borderId="4" xfId="0" applyNumberFormat="1" applyFont="1" applyFill="1" applyBorder="1" applyAlignment="1">
      <alignment horizontal="right"/>
    </xf>
    <xf numFmtId="3" fontId="10" fillId="7" borderId="4" xfId="0" applyNumberFormat="1" applyFont="1" applyFill="1" applyBorder="1" applyAlignment="1">
      <alignment horizontal="right"/>
    </xf>
    <xf numFmtId="166" fontId="10" fillId="7" borderId="4" xfId="0" applyNumberFormat="1" applyFont="1" applyFill="1" applyBorder="1" applyAlignment="1">
      <alignment horizontal="right"/>
    </xf>
    <xf numFmtId="167" fontId="10" fillId="7" borderId="5" xfId="0" applyNumberFormat="1" applyFont="1" applyFill="1" applyBorder="1" applyAlignment="1">
      <alignment horizontal="right"/>
    </xf>
    <xf numFmtId="3" fontId="10" fillId="7" borderId="5" xfId="0" applyNumberFormat="1" applyFont="1" applyFill="1" applyBorder="1" applyAlignment="1">
      <alignment horizontal="right"/>
    </xf>
    <xf numFmtId="166" fontId="10" fillId="7" borderId="5" xfId="0" applyNumberFormat="1" applyFont="1" applyFill="1" applyBorder="1" applyAlignment="1">
      <alignment horizontal="right"/>
    </xf>
    <xf numFmtId="0" fontId="10" fillId="7" borderId="4" xfId="0" applyFont="1" applyFill="1" applyBorder="1" applyAlignment="1">
      <alignment horizontal="left"/>
    </xf>
    <xf numFmtId="0" fontId="10" fillId="7" borderId="5" xfId="0" applyFont="1" applyFill="1" applyBorder="1" applyAlignment="1">
      <alignment horizontal="left"/>
    </xf>
    <xf numFmtId="0" fontId="21" fillId="0" borderId="0" xfId="0" applyFont="1" applyAlignment="1">
      <alignment horizontal="left" wrapText="1"/>
    </xf>
    <xf numFmtId="0" fontId="0" fillId="0" borderId="7" xfId="0" applyBorder="1"/>
    <xf numFmtId="168" fontId="0" fillId="0" borderId="7" xfId="0" applyNumberFormat="1" applyBorder="1"/>
    <xf numFmtId="0" fontId="1" fillId="9" borderId="7" xfId="0" applyFont="1" applyFill="1" applyBorder="1"/>
    <xf numFmtId="0" fontId="0" fillId="9" borderId="7" xfId="0" applyFill="1" applyBorder="1"/>
    <xf numFmtId="170" fontId="0" fillId="0" borderId="0" xfId="0" applyNumberFormat="1"/>
    <xf numFmtId="9" fontId="0" fillId="0" borderId="0" xfId="0" applyNumberFormat="1"/>
    <xf numFmtId="0" fontId="0" fillId="0" borderId="0" xfId="0" applyAlignment="1">
      <alignment horizontal="center" vertical="center" wrapText="1"/>
    </xf>
    <xf numFmtId="0" fontId="4" fillId="4" borderId="0" xfId="0" applyFont="1" applyFill="1"/>
    <xf numFmtId="0" fontId="0" fillId="0" borderId="0" xfId="0"/>
    <xf numFmtId="0" fontId="5" fillId="0" borderId="0" xfId="0" applyFont="1"/>
    <xf numFmtId="0" fontId="0" fillId="0" borderId="0" xfId="0" applyAlignment="1">
      <alignment horizontal="center" wrapText="1"/>
    </xf>
    <xf numFmtId="0" fontId="20" fillId="0" borderId="0" xfId="0" applyFont="1" applyAlignment="1">
      <alignment horizontal="center" wrapText="1"/>
    </xf>
    <xf numFmtId="0" fontId="7" fillId="8" borderId="5" xfId="0" applyFont="1" applyFill="1" applyBorder="1"/>
    <xf numFmtId="0" fontId="10" fillId="8" borderId="5" xfId="0" applyFont="1" applyFill="1" applyBorder="1"/>
    <xf numFmtId="0" fontId="16" fillId="7" borderId="0" xfId="0" applyFont="1" applyFill="1" applyAlignment="1">
      <alignment vertical="top" wrapText="1"/>
    </xf>
    <xf numFmtId="0" fontId="10" fillId="7" borderId="0" xfId="0" applyFont="1" applyFill="1" applyAlignment="1">
      <alignment wrapText="1"/>
    </xf>
    <xf numFmtId="0" fontId="13" fillId="7" borderId="0" xfId="0" applyFont="1" applyFill="1" applyAlignment="1">
      <alignment vertical="top" wrapText="1"/>
    </xf>
    <xf numFmtId="0" fontId="17" fillId="7" borderId="5" xfId="0" applyFont="1" applyFill="1" applyBorder="1" applyAlignment="1">
      <alignment horizontal="center"/>
    </xf>
    <xf numFmtId="0" fontId="18" fillId="7" borderId="5" xfId="0" applyFont="1" applyFill="1" applyBorder="1" applyAlignment="1">
      <alignment horizontal="center"/>
    </xf>
    <xf numFmtId="166" fontId="15" fillId="7" borderId="0" xfId="0" applyNumberFormat="1" applyFont="1" applyFill="1" applyAlignment="1">
      <alignment horizontal="center" vertical="center"/>
    </xf>
    <xf numFmtId="0" fontId="10" fillId="7" borderId="0" xfId="0" applyFont="1" applyFill="1" applyAlignment="1">
      <alignment horizontal="center"/>
    </xf>
    <xf numFmtId="0" fontId="10" fillId="7" borderId="3" xfId="0" applyFont="1" applyFill="1" applyBorder="1" applyAlignment="1">
      <alignment horizontal="center"/>
    </xf>
    <xf numFmtId="0" fontId="15" fillId="4" borderId="0" xfId="0" applyFont="1" applyFill="1"/>
    <xf numFmtId="0" fontId="19" fillId="4" borderId="0" xfId="0" applyFont="1" applyFill="1"/>
    <xf numFmtId="0" fontId="11" fillId="3" borderId="0" xfId="0" applyFont="1" applyFill="1"/>
    <xf numFmtId="0" fontId="10" fillId="3" borderId="0" xfId="0" applyFont="1" applyFill="1"/>
    <xf numFmtId="3" fontId="15" fillId="7" borderId="0" xfId="0" applyNumberFormat="1" applyFont="1" applyFill="1" applyAlignment="1">
      <alignment horizontal="center" vertical="center"/>
    </xf>
    <xf numFmtId="167" fontId="15" fillId="7" borderId="0" xfId="0" applyNumberFormat="1" applyFont="1" applyFill="1" applyAlignment="1">
      <alignment horizontal="center" vertical="center"/>
    </xf>
    <xf numFmtId="167" fontId="10" fillId="7" borderId="0" xfId="0" applyNumberFormat="1" applyFont="1" applyFill="1" applyAlignment="1">
      <alignment horizontal="center"/>
    </xf>
    <xf numFmtId="171" fontId="0" fillId="0" borderId="0" xfId="0" applyNumberFormat="1"/>
    <xf numFmtId="0" fontId="0" fillId="0" borderId="0" xfId="0" applyNumberFormat="1"/>
  </cellXfs>
  <cellStyles count="1">
    <cellStyle name="Normal" xfId="0" builtinId="0"/>
  </cellStyles>
  <dxfs count="20">
    <dxf>
      <numFmt numFmtId="165" formatCode="&quot;₹&quot;\ #,##0"/>
    </dxf>
    <dxf>
      <numFmt numFmtId="164" formatCode="&quot;₹&quot;\ #,##0.00"/>
    </dxf>
    <dxf>
      <numFmt numFmtId="13" formatCode="0%"/>
    </dxf>
    <dxf>
      <alignment vertical="center"/>
    </dxf>
    <dxf>
      <alignment horizontal="center"/>
    </dxf>
    <dxf>
      <alignment wrapText="1"/>
    </dxf>
    <dxf>
      <numFmt numFmtId="14" formatCode="0.00%"/>
    </dxf>
    <dxf>
      <numFmt numFmtId="164" formatCode="&quot;₹&quot;\ #,##0.00"/>
    </dxf>
    <dxf>
      <numFmt numFmtId="164" formatCode="&quot;₹&quot;\ #,##0.00"/>
    </dxf>
    <dxf>
      <numFmt numFmtId="0" formatCode="General"/>
    </dxf>
    <dxf>
      <numFmt numFmtId="0" formatCode="General"/>
    </dxf>
    <dxf>
      <numFmt numFmtId="0" formatCode="General"/>
    </dxf>
    <dxf>
      <numFmt numFmtId="165" formatCode="&quot;₹&quot;\ #,##0"/>
    </dxf>
    <dxf>
      <numFmt numFmtId="164" formatCode="&quot;₹&quot;\ #,##0.00"/>
    </dxf>
    <dxf>
      <numFmt numFmtId="164" formatCode="&quot;₹&quot;\ #,##0.00"/>
    </dxf>
    <dxf>
      <numFmt numFmtId="14" formatCode="0.00%"/>
    </dxf>
    <dxf>
      <font>
        <sz val="20"/>
        <name val="Aptos Narrow"/>
        <family val="2"/>
        <scheme val="minor"/>
      </font>
    </dxf>
    <dxf>
      <fill>
        <patternFill>
          <bgColor theme="1" tint="4.9989318521683403E-2"/>
        </patternFill>
      </fill>
    </dxf>
    <dxf>
      <fill>
        <patternFill patternType="none">
          <bgColor auto="1"/>
        </patternFill>
      </fill>
    </dxf>
    <dxf>
      <fill>
        <patternFill patternType="none">
          <bgColor auto="1"/>
        </patternFill>
      </fill>
    </dxf>
  </dxfs>
  <tableStyles count="8" defaultTableStyle="TableStyleMedium2" defaultPivotStyle="PivotStyleLight16">
    <tableStyle name="PivotTable Style 1" table="0" count="0" xr9:uid="{7441385E-A180-427A-B0E2-F73CD4A61E8A}"/>
    <tableStyle name="Slicer Style 1" pivot="0" table="0" count="0" xr9:uid="{CCF6EF52-FB47-4D33-A4A3-A84DFFBA9C3A}"/>
    <tableStyle name="Slicer Style 2" pivot="0" table="0" count="1" xr9:uid="{242C84DE-A174-433A-A406-952A3E5548DE}">
      <tableStyleElement type="wholeTable" dxfId="19"/>
    </tableStyle>
    <tableStyle name="Slicer Style 3" pivot="0" table="0" count="0" xr9:uid="{5CFDAC0E-C57C-4729-83EF-B57A0CFAA028}"/>
    <tableStyle name="Slicer Style 4" pivot="0" table="0" count="0" xr9:uid="{A684FC15-EC9C-4B92-8977-637AABCF3FDC}"/>
    <tableStyle name="Slicer Style 5" pivot="0" table="0" count="1" xr9:uid="{323D9B1D-D63B-4D60-B5FC-1DBE1FBAE7F6}">
      <tableStyleElement type="wholeTable" dxfId="18"/>
    </tableStyle>
    <tableStyle name="Slicer Style 6" pivot="0" table="0" count="1" xr9:uid="{A7389E8B-042A-4318-B936-4638022242C4}">
      <tableStyleElement type="wholeTable" dxfId="17"/>
    </tableStyle>
    <tableStyle name="Slicer Style 7" pivot="0" table="0" count="1" xr9:uid="{1B3DC33D-D665-46A3-B6FA-59E7B5BD1FAE}">
      <tableStyleElement type="wholeTable" dxfId="16"/>
    </tableStyle>
  </tableStyles>
  <colors>
    <mruColors>
      <color rgb="FF61661C"/>
      <color rgb="FFA59417"/>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M521" s="29"/>
        <tr r="M521" s="29"/>
        <tr r="L521" s="29"/>
        <tr r="L521" s="29"/>
        <tr r="M520" s="29"/>
        <tr r="M520" s="29"/>
        <tr r="L520" s="29"/>
        <tr r="L520" s="29"/>
        <tr r="M519" s="29"/>
        <tr r="M519" s="29"/>
        <tr r="L519" s="29"/>
        <tr r="L519" s="29"/>
        <tr r="M518" s="29"/>
        <tr r="M518" s="29"/>
        <tr r="L518" s="29"/>
        <tr r="L518" s="29"/>
        <tr r="M517" s="29"/>
        <tr r="M517" s="29"/>
        <tr r="L517" s="29"/>
        <tr r="L517" s="29"/>
        <tr r="M516" s="29"/>
        <tr r="M516" s="29"/>
        <tr r="L516" s="29"/>
        <tr r="L516" s="29"/>
        <tr r="M515" s="29"/>
        <tr r="M515" s="29"/>
        <tr r="L515" s="29"/>
        <tr r="L515" s="29"/>
        <tr r="M514" s="29"/>
        <tr r="M514" s="29"/>
        <tr r="L514" s="29"/>
        <tr r="L514" s="29"/>
        <tr r="M513" s="29"/>
        <tr r="M513" s="29"/>
        <tr r="L513" s="29"/>
        <tr r="L513" s="29"/>
        <tr r="M512" s="29"/>
        <tr r="M512" s="29"/>
        <tr r="L512" s="29"/>
        <tr r="L512" s="29"/>
        <tr r="M511" s="29"/>
        <tr r="M511" s="29"/>
        <tr r="L511" s="29"/>
        <tr r="L511" s="29"/>
        <tr r="M510" s="29"/>
        <tr r="M510" s="29"/>
        <tr r="L510" s="29"/>
        <tr r="L510" s="29"/>
        <tr r="M509" s="29"/>
        <tr r="M509" s="29"/>
        <tr r="L509" s="29"/>
        <tr r="L509" s="29"/>
        <tr r="M508" s="29"/>
        <tr r="M508" s="29"/>
        <tr r="L508" s="29"/>
        <tr r="L508" s="29"/>
        <tr r="M507" s="29"/>
        <tr r="M507" s="29"/>
        <tr r="L507" s="29"/>
        <tr r="L507" s="29"/>
        <tr r="M506" s="29"/>
        <tr r="M506" s="29"/>
        <tr r="L506" s="29"/>
        <tr r="L506" s="29"/>
        <tr r="M505" s="29"/>
        <tr r="M505" s="29"/>
        <tr r="L505" s="29"/>
        <tr r="L505" s="29"/>
        <tr r="M504" s="29"/>
        <tr r="M504" s="29"/>
        <tr r="L504" s="29"/>
        <tr r="L504" s="29"/>
        <tr r="M503" s="29"/>
        <tr r="M503" s="29"/>
        <tr r="L503" s="29"/>
        <tr r="L503" s="29"/>
        <tr r="M502" s="29"/>
        <tr r="M502" s="29"/>
        <tr r="L502" s="29"/>
        <tr r="L502" s="29"/>
        <tr r="M501" s="29"/>
        <tr r="M501" s="29"/>
        <tr r="L501" s="29"/>
        <tr r="L501" s="29"/>
        <tr r="M500" s="29"/>
        <tr r="M500" s="29"/>
        <tr r="L500" s="29"/>
        <tr r="L500" s="29"/>
        <tr r="M499" s="29"/>
        <tr r="M499" s="29"/>
        <tr r="L499" s="29"/>
        <tr r="L499" s="29"/>
        <tr r="M498" s="29"/>
        <tr r="M498" s="29"/>
        <tr r="L498" s="29"/>
        <tr r="L498" s="29"/>
        <tr r="M497" s="29"/>
        <tr r="M497" s="29"/>
        <tr r="L497" s="29"/>
        <tr r="L497" s="29"/>
        <tr r="M496" s="29"/>
        <tr r="M496" s="29"/>
        <tr r="L496" s="29"/>
        <tr r="L496" s="29"/>
        <tr r="M495" s="29"/>
        <tr r="M495" s="29"/>
        <tr r="L495" s="29"/>
        <tr r="L495" s="29"/>
        <tr r="M494" s="29"/>
        <tr r="M494" s="29"/>
        <tr r="L494" s="29"/>
        <tr r="L494" s="29"/>
        <tr r="M493" s="29"/>
        <tr r="M493" s="29"/>
        <tr r="L493" s="29"/>
        <tr r="L493" s="29"/>
        <tr r="M492" s="29"/>
        <tr r="M492" s="29"/>
        <tr r="L492" s="29"/>
        <tr r="L492" s="29"/>
        <tr r="M491" s="29"/>
        <tr r="M491" s="29"/>
        <tr r="L491" s="29"/>
        <tr r="L491" s="29"/>
        <tr r="M490" s="29"/>
        <tr r="M490" s="29"/>
        <tr r="L490" s="29"/>
        <tr r="L490" s="29"/>
        <tr r="M489" s="29"/>
        <tr r="M489" s="29"/>
        <tr r="L489" s="29"/>
        <tr r="L489" s="29"/>
        <tr r="M488" s="29"/>
        <tr r="M488" s="29"/>
        <tr r="L488" s="29"/>
        <tr r="L488" s="29"/>
        <tr r="M487" s="29"/>
        <tr r="M487" s="29"/>
        <tr r="L487" s="29"/>
        <tr r="L487" s="29"/>
        <tr r="M486" s="29"/>
        <tr r="M486" s="29"/>
        <tr r="L486" s="29"/>
        <tr r="L486" s="29"/>
        <tr r="M485" s="29"/>
        <tr r="M485" s="29"/>
        <tr r="L485" s="29"/>
        <tr r="L485" s="29"/>
        <tr r="M484" s="29"/>
        <tr r="M484" s="29"/>
        <tr r="L484" s="29"/>
        <tr r="L484" s="29"/>
        <tr r="M483" s="29"/>
        <tr r="M483" s="29"/>
        <tr r="L483" s="29"/>
        <tr r="L483" s="29"/>
        <tr r="M482" s="29"/>
        <tr r="M482" s="29"/>
        <tr r="L482" s="29"/>
        <tr r="L482" s="29"/>
        <tr r="M481" s="29"/>
        <tr r="M481" s="29"/>
        <tr r="L481" s="29"/>
        <tr r="L481" s="29"/>
        <tr r="M480" s="29"/>
        <tr r="M480" s="29"/>
        <tr r="L480" s="29"/>
        <tr r="L480" s="29"/>
        <tr r="M479" s="29"/>
        <tr r="M479" s="29"/>
        <tr r="L479" s="29"/>
        <tr r="L479" s="29"/>
        <tr r="M478" s="29"/>
        <tr r="M478" s="29"/>
        <tr r="L478" s="29"/>
        <tr r="L478" s="29"/>
        <tr r="M477" s="29"/>
        <tr r="M477" s="29"/>
        <tr r="L477" s="29"/>
        <tr r="L477" s="29"/>
        <tr r="M476" s="29"/>
        <tr r="M476" s="29"/>
        <tr r="L476" s="29"/>
        <tr r="L476" s="29"/>
        <tr r="M475" s="29"/>
        <tr r="M475" s="29"/>
        <tr r="L475" s="29"/>
        <tr r="L475" s="29"/>
        <tr r="M474" s="29"/>
        <tr r="M474" s="29"/>
        <tr r="L474" s="29"/>
        <tr r="L474" s="29"/>
        <tr r="M473" s="29"/>
        <tr r="M473" s="29"/>
        <tr r="L473" s="29"/>
        <tr r="L473" s="29"/>
        <tr r="M472" s="29"/>
        <tr r="M472" s="29"/>
        <tr r="L472" s="29"/>
        <tr r="L472" s="29"/>
        <tr r="M471" s="29"/>
        <tr r="M471" s="29"/>
        <tr r="L471" s="29"/>
        <tr r="L471" s="29"/>
        <tr r="M470" s="29"/>
        <tr r="M470" s="29"/>
        <tr r="L470" s="29"/>
        <tr r="L470" s="29"/>
        <tr r="M469" s="29"/>
        <tr r="M469" s="29"/>
        <tr r="L469" s="29"/>
        <tr r="L469" s="29"/>
        <tr r="M468" s="29"/>
        <tr r="M468" s="29"/>
        <tr r="L468" s="29"/>
        <tr r="L468" s="29"/>
        <tr r="M467" s="29"/>
        <tr r="M467" s="29"/>
        <tr r="L467" s="29"/>
        <tr r="L467" s="29"/>
        <tr r="M466" s="29"/>
        <tr r="M466" s="29"/>
        <tr r="L466" s="29"/>
        <tr r="L466" s="29"/>
        <tr r="M465" s="29"/>
        <tr r="M465" s="29"/>
        <tr r="L465" s="29"/>
        <tr r="L465" s="29"/>
        <tr r="M464" s="29"/>
        <tr r="M464" s="29"/>
        <tr r="L464" s="29"/>
        <tr r="L464" s="29"/>
        <tr r="M463" s="29"/>
        <tr r="M463" s="29"/>
        <tr r="L463" s="29"/>
        <tr r="L463" s="29"/>
        <tr r="M462" s="29"/>
        <tr r="M462" s="29"/>
        <tr r="L462" s="29"/>
        <tr r="L462" s="29"/>
        <tr r="M461" s="29"/>
        <tr r="M461" s="29"/>
        <tr r="L461" s="29"/>
        <tr r="L461" s="29"/>
        <tr r="M460" s="29"/>
        <tr r="M460" s="29"/>
        <tr r="L460" s="29"/>
        <tr r="L460" s="29"/>
        <tr r="M459" s="29"/>
        <tr r="M459" s="29"/>
        <tr r="L459" s="29"/>
        <tr r="L459" s="29"/>
        <tr r="M458" s="29"/>
        <tr r="M458" s="29"/>
        <tr r="L458" s="29"/>
        <tr r="L458" s="29"/>
        <tr r="M457" s="29"/>
        <tr r="M457" s="29"/>
        <tr r="L457" s="29"/>
        <tr r="L457" s="29"/>
        <tr r="M456" s="29"/>
        <tr r="M456" s="29"/>
        <tr r="L456" s="29"/>
        <tr r="L456" s="29"/>
        <tr r="M455" s="29"/>
        <tr r="M455" s="29"/>
        <tr r="L455" s="29"/>
        <tr r="L455" s="29"/>
        <tr r="M454" s="29"/>
        <tr r="M454" s="29"/>
        <tr r="L454" s="29"/>
        <tr r="L454" s="29"/>
        <tr r="M453" s="29"/>
        <tr r="M453" s="29"/>
        <tr r="L453" s="29"/>
        <tr r="L453" s="29"/>
        <tr r="M452" s="29"/>
        <tr r="M452" s="29"/>
        <tr r="L452" s="29"/>
        <tr r="L452" s="29"/>
        <tr r="M451" s="29"/>
        <tr r="M451" s="29"/>
        <tr r="L451" s="29"/>
        <tr r="L451" s="29"/>
        <tr r="M450" s="29"/>
        <tr r="M450" s="29"/>
        <tr r="L450" s="29"/>
        <tr r="L450" s="29"/>
        <tr r="M449" s="29"/>
        <tr r="M449" s="29"/>
        <tr r="L449" s="29"/>
        <tr r="L449" s="29"/>
        <tr r="M448" s="29"/>
        <tr r="M448" s="29"/>
        <tr r="L448" s="29"/>
        <tr r="L448" s="29"/>
        <tr r="M447" s="29"/>
        <tr r="M447" s="29"/>
        <tr r="L447" s="29"/>
        <tr r="L447" s="29"/>
        <tr r="M446" s="29"/>
        <tr r="M446" s="29"/>
        <tr r="L446" s="29"/>
        <tr r="L446" s="29"/>
        <tr r="M445" s="29"/>
        <tr r="M445" s="29"/>
        <tr r="L445" s="29"/>
        <tr r="L445" s="29"/>
        <tr r="M444" s="29"/>
        <tr r="M444" s="29"/>
        <tr r="L444" s="29"/>
        <tr r="L444" s="29"/>
        <tr r="M443" s="29"/>
        <tr r="M443" s="29"/>
        <tr r="L443" s="29"/>
        <tr r="L443" s="29"/>
        <tr r="M442" s="29"/>
        <tr r="M442" s="29"/>
        <tr r="L442" s="29"/>
        <tr r="L442" s="29"/>
        <tr r="M441" s="29"/>
        <tr r="M441" s="29"/>
        <tr r="L441" s="29"/>
        <tr r="L441" s="29"/>
        <tr r="M440" s="29"/>
        <tr r="M440" s="29"/>
        <tr r="L440" s="29"/>
        <tr r="L440" s="29"/>
        <tr r="M439" s="29"/>
        <tr r="M439" s="29"/>
        <tr r="L439" s="29"/>
        <tr r="L439" s="29"/>
        <tr r="M438" s="29"/>
        <tr r="M438" s="29"/>
        <tr r="L438" s="29"/>
        <tr r="L438" s="29"/>
        <tr r="M437" s="29"/>
        <tr r="M437" s="29"/>
        <tr r="L437" s="29"/>
        <tr r="L437" s="29"/>
        <tr r="M436" s="29"/>
        <tr r="M436" s="29"/>
        <tr r="L436" s="29"/>
        <tr r="L436" s="29"/>
        <tr r="M435" s="29"/>
        <tr r="M435" s="29"/>
        <tr r="L435" s="29"/>
        <tr r="L435" s="29"/>
        <tr r="M434" s="29"/>
        <tr r="M434" s="29"/>
        <tr r="L434" s="29"/>
        <tr r="L434" s="29"/>
        <tr r="M433" s="29"/>
        <tr r="M433" s="29"/>
        <tr r="L433" s="29"/>
        <tr r="L433" s="29"/>
        <tr r="M432" s="29"/>
        <tr r="M432" s="29"/>
        <tr r="L432" s="29"/>
        <tr r="L432" s="29"/>
        <tr r="M431" s="29"/>
        <tr r="M431" s="29"/>
        <tr r="L431" s="29"/>
        <tr r="L431" s="29"/>
        <tr r="M430" s="29"/>
        <tr r="M430" s="29"/>
        <tr r="L430" s="29"/>
        <tr r="L430" s="29"/>
        <tr r="M429" s="29"/>
        <tr r="M429" s="29"/>
        <tr r="L429" s="29"/>
        <tr r="L429" s="29"/>
        <tr r="M428" s="29"/>
        <tr r="M428" s="29"/>
        <tr r="L428" s="29"/>
        <tr r="L428" s="29"/>
        <tr r="M427" s="29"/>
        <tr r="M427" s="29"/>
        <tr r="L427" s="29"/>
        <tr r="L427" s="29"/>
        <tr r="M426" s="29"/>
        <tr r="M426" s="29"/>
        <tr r="L426" s="29"/>
        <tr r="L426" s="29"/>
        <tr r="M425" s="29"/>
        <tr r="M425" s="29"/>
        <tr r="L425" s="29"/>
        <tr r="L425" s="29"/>
        <tr r="M424" s="29"/>
        <tr r="M424" s="29"/>
        <tr r="L424" s="29"/>
        <tr r="L424" s="29"/>
        <tr r="M423" s="29"/>
        <tr r="M423" s="29"/>
        <tr r="L423" s="29"/>
        <tr r="L423" s="29"/>
        <tr r="M422" s="29"/>
        <tr r="M422" s="29"/>
        <tr r="L422" s="29"/>
        <tr r="L422" s="29"/>
        <tr r="M421" s="29"/>
        <tr r="M421" s="29"/>
        <tr r="L421" s="29"/>
        <tr r="L421" s="29"/>
        <tr r="M420" s="29"/>
        <tr r="M420" s="29"/>
        <tr r="L420" s="29"/>
        <tr r="L420" s="29"/>
        <tr r="M419" s="29"/>
        <tr r="M419" s="29"/>
        <tr r="L419" s="29"/>
        <tr r="L419" s="29"/>
        <tr r="M418" s="29"/>
        <tr r="M418" s="29"/>
        <tr r="L418" s="29"/>
        <tr r="L418" s="29"/>
        <tr r="M417" s="29"/>
        <tr r="M417" s="29"/>
        <tr r="L417" s="29"/>
        <tr r="L417" s="29"/>
        <tr r="M416" s="29"/>
        <tr r="M416" s="29"/>
        <tr r="L416" s="29"/>
        <tr r="L416" s="29"/>
        <tr r="M415" s="29"/>
        <tr r="M415" s="29"/>
        <tr r="L415" s="29"/>
        <tr r="L415" s="29"/>
        <tr r="M414" s="29"/>
        <tr r="M414" s="29"/>
        <tr r="L414" s="29"/>
        <tr r="L414" s="29"/>
        <tr r="M413" s="29"/>
        <tr r="M413" s="29"/>
        <tr r="L413" s="29"/>
        <tr r="L413" s="29"/>
        <tr r="M412" s="29"/>
        <tr r="M412" s="29"/>
        <tr r="L412" s="29"/>
        <tr r="L412" s="29"/>
        <tr r="M411" s="29"/>
        <tr r="M411" s="29"/>
        <tr r="L411" s="29"/>
        <tr r="L411" s="29"/>
        <tr r="M410" s="29"/>
        <tr r="M410" s="29"/>
        <tr r="L410" s="29"/>
        <tr r="L410" s="29"/>
        <tr r="M409" s="29"/>
        <tr r="M409" s="29"/>
        <tr r="L409" s="29"/>
        <tr r="L409" s="29"/>
        <tr r="M408" s="29"/>
        <tr r="M408" s="29"/>
        <tr r="L408" s="29"/>
        <tr r="L408" s="29"/>
        <tr r="M407" s="29"/>
        <tr r="M407" s="29"/>
        <tr r="L407" s="29"/>
        <tr r="L407" s="29"/>
        <tr r="M406" s="29"/>
        <tr r="M406" s="29"/>
        <tr r="L406" s="29"/>
        <tr r="L406" s="29"/>
        <tr r="M405" s="29"/>
        <tr r="M405" s="29"/>
        <tr r="L405" s="29"/>
        <tr r="L405" s="29"/>
        <tr r="M404" s="29"/>
        <tr r="M404" s="29"/>
        <tr r="L404" s="29"/>
        <tr r="L404" s="29"/>
        <tr r="M403" s="29"/>
        <tr r="M403" s="29"/>
        <tr r="L403" s="29"/>
        <tr r="L403" s="29"/>
        <tr r="M402" s="29"/>
        <tr r="M402" s="29"/>
        <tr r="L402" s="29"/>
        <tr r="L402" s="29"/>
        <tr r="M401" s="29"/>
        <tr r="M401" s="29"/>
        <tr r="L401" s="29"/>
        <tr r="L401" s="29"/>
        <tr r="M400" s="29"/>
        <tr r="M400" s="29"/>
        <tr r="L400" s="29"/>
        <tr r="L400" s="29"/>
        <tr r="M399" s="29"/>
        <tr r="M399" s="29"/>
        <tr r="L399" s="29"/>
        <tr r="L399" s="29"/>
        <tr r="M398" s="29"/>
        <tr r="M398" s="29"/>
        <tr r="L398" s="29"/>
        <tr r="L398" s="29"/>
        <tr r="M397" s="29"/>
        <tr r="M397" s="29"/>
        <tr r="L397" s="29"/>
        <tr r="L397" s="29"/>
        <tr r="M396" s="29"/>
        <tr r="M396" s="29"/>
        <tr r="L396" s="29"/>
        <tr r="L396" s="29"/>
        <tr r="M395" s="29"/>
        <tr r="M395" s="29"/>
        <tr r="L395" s="29"/>
        <tr r="L395" s="29"/>
        <tr r="M394" s="29"/>
        <tr r="M394" s="29"/>
        <tr r="L394" s="29"/>
        <tr r="L394" s="29"/>
        <tr r="M393" s="29"/>
        <tr r="M393" s="29"/>
        <tr r="L393" s="29"/>
        <tr r="L393" s="29"/>
        <tr r="M392" s="29"/>
        <tr r="M392" s="29"/>
        <tr r="L392" s="29"/>
        <tr r="L392" s="29"/>
        <tr r="M391" s="29"/>
        <tr r="M391" s="29"/>
        <tr r="L391" s="29"/>
        <tr r="L391" s="29"/>
        <tr r="M390" s="29"/>
        <tr r="M390" s="29"/>
        <tr r="L390" s="29"/>
        <tr r="L390" s="29"/>
        <tr r="M389" s="29"/>
        <tr r="M389" s="29"/>
        <tr r="L389" s="29"/>
        <tr r="L389" s="29"/>
        <tr r="M388" s="29"/>
        <tr r="M388" s="29"/>
        <tr r="L388" s="29"/>
        <tr r="L388" s="29"/>
        <tr r="M387" s="29"/>
        <tr r="M387" s="29"/>
        <tr r="L387" s="29"/>
        <tr r="L387" s="29"/>
        <tr r="M386" s="29"/>
        <tr r="M386" s="29"/>
        <tr r="L386" s="29"/>
        <tr r="L386" s="29"/>
        <tr r="M385" s="29"/>
        <tr r="M385" s="29"/>
        <tr r="L385" s="29"/>
        <tr r="L385" s="29"/>
        <tr r="M384" s="29"/>
        <tr r="M384" s="29"/>
        <tr r="L384" s="29"/>
        <tr r="L384" s="29"/>
        <tr r="M383" s="29"/>
        <tr r="M383" s="29"/>
        <tr r="L383" s="29"/>
        <tr r="L383" s="29"/>
        <tr r="M382" s="29"/>
        <tr r="M382" s="29"/>
        <tr r="L382" s="29"/>
        <tr r="L382" s="29"/>
        <tr r="M381" s="29"/>
        <tr r="M381" s="29"/>
        <tr r="L381" s="29"/>
        <tr r="L381" s="29"/>
        <tr r="M380" s="29"/>
        <tr r="M380" s="29"/>
        <tr r="L380" s="29"/>
        <tr r="L380" s="29"/>
        <tr r="M379" s="29"/>
        <tr r="M379" s="29"/>
        <tr r="L379" s="29"/>
        <tr r="L379" s="29"/>
        <tr r="M378" s="29"/>
        <tr r="M378" s="29"/>
        <tr r="L378" s="29"/>
        <tr r="L378" s="29"/>
        <tr r="M377" s="29"/>
        <tr r="M377" s="29"/>
        <tr r="L377" s="29"/>
        <tr r="L377" s="29"/>
        <tr r="M376" s="29"/>
        <tr r="M376" s="29"/>
        <tr r="L376" s="29"/>
        <tr r="L376" s="29"/>
        <tr r="M375" s="29"/>
        <tr r="M375" s="29"/>
        <tr r="L375" s="29"/>
        <tr r="L375" s="29"/>
        <tr r="M374" s="29"/>
        <tr r="M374" s="29"/>
        <tr r="L374" s="29"/>
        <tr r="L374" s="29"/>
        <tr r="M373" s="29"/>
        <tr r="M373" s="29"/>
        <tr r="L373" s="29"/>
        <tr r="L373" s="29"/>
        <tr r="M372" s="29"/>
        <tr r="M372" s="29"/>
        <tr r="L372" s="29"/>
        <tr r="L372" s="29"/>
        <tr r="M371" s="29"/>
        <tr r="M371" s="29"/>
        <tr r="L371" s="29"/>
        <tr r="L371" s="29"/>
        <tr r="M370" s="29"/>
        <tr r="M370" s="29"/>
        <tr r="L370" s="29"/>
        <tr r="L370" s="29"/>
        <tr r="M369" s="29"/>
        <tr r="M369" s="29"/>
        <tr r="L369" s="29"/>
        <tr r="L369" s="29"/>
        <tr r="M368" s="29"/>
        <tr r="M368" s="29"/>
        <tr r="L368" s="29"/>
        <tr r="L368" s="29"/>
        <tr r="M367" s="29"/>
        <tr r="M367" s="29"/>
        <tr r="L367" s="29"/>
        <tr r="L367" s="29"/>
        <tr r="M366" s="29"/>
        <tr r="M366" s="29"/>
        <tr r="L366" s="29"/>
        <tr r="L366" s="29"/>
        <tr r="M365" s="29"/>
        <tr r="M365" s="29"/>
        <tr r="L365" s="29"/>
        <tr r="L365" s="29"/>
        <tr r="M364" s="29"/>
        <tr r="M364" s="29"/>
        <tr r="L364" s="29"/>
        <tr r="L364" s="29"/>
        <tr r="M363" s="29"/>
        <tr r="M363" s="29"/>
        <tr r="L363" s="29"/>
        <tr r="L363" s="29"/>
        <tr r="M362" s="29"/>
        <tr r="M362" s="29"/>
        <tr r="L362" s="29"/>
        <tr r="L362" s="29"/>
        <tr r="M361" s="29"/>
        <tr r="M361" s="29"/>
        <tr r="L361" s="29"/>
        <tr r="L361" s="29"/>
        <tr r="M360" s="29"/>
        <tr r="M360" s="29"/>
        <tr r="L360" s="29"/>
        <tr r="L360" s="29"/>
        <tr r="M359" s="29"/>
        <tr r="M359" s="29"/>
        <tr r="L359" s="29"/>
        <tr r="L359" s="29"/>
        <tr r="M358" s="29"/>
        <tr r="M358" s="29"/>
        <tr r="L358" s="29"/>
        <tr r="L358" s="29"/>
        <tr r="M357" s="29"/>
        <tr r="M357" s="29"/>
        <tr r="L357" s="29"/>
        <tr r="L357" s="29"/>
        <tr r="M356" s="29"/>
        <tr r="M356" s="29"/>
        <tr r="L356" s="29"/>
        <tr r="L356" s="29"/>
        <tr r="M355" s="29"/>
        <tr r="M355" s="29"/>
        <tr r="L355" s="29"/>
        <tr r="L355" s="29"/>
        <tr r="M354" s="29"/>
        <tr r="M354" s="29"/>
        <tr r="L354" s="29"/>
        <tr r="L354" s="29"/>
        <tr r="M353" s="29"/>
        <tr r="M353" s="29"/>
        <tr r="L353" s="29"/>
        <tr r="L353" s="29"/>
        <tr r="M352" s="29"/>
        <tr r="M352" s="29"/>
        <tr r="L352" s="29"/>
        <tr r="L352" s="29"/>
        <tr r="M351" s="29"/>
        <tr r="M351" s="29"/>
        <tr r="L351" s="29"/>
        <tr r="L351" s="29"/>
        <tr r="M350" s="29"/>
        <tr r="M350" s="29"/>
        <tr r="L350" s="29"/>
        <tr r="L350" s="29"/>
        <tr r="M349" s="29"/>
        <tr r="M349" s="29"/>
        <tr r="L349" s="29"/>
        <tr r="L349" s="29"/>
        <tr r="M348" s="29"/>
        <tr r="M348" s="29"/>
        <tr r="L348" s="29"/>
        <tr r="L348" s="29"/>
        <tr r="M347" s="29"/>
        <tr r="M347" s="29"/>
        <tr r="L347" s="29"/>
        <tr r="L347" s="29"/>
        <tr r="M346" s="29"/>
        <tr r="M346" s="29"/>
        <tr r="L346" s="29"/>
        <tr r="L346" s="29"/>
        <tr r="M345" s="29"/>
        <tr r="M345" s="29"/>
        <tr r="L345" s="29"/>
        <tr r="L345" s="29"/>
        <tr r="M344" s="29"/>
        <tr r="M344" s="29"/>
        <tr r="L344" s="29"/>
        <tr r="L344" s="29"/>
        <tr r="M343" s="29"/>
        <tr r="M343" s="29"/>
        <tr r="L343" s="29"/>
        <tr r="L343" s="29"/>
        <tr r="M342" s="29"/>
        <tr r="M342" s="29"/>
        <tr r="L342" s="29"/>
        <tr r="L342" s="29"/>
        <tr r="M341" s="29"/>
        <tr r="M341" s="29"/>
        <tr r="L341" s="29"/>
        <tr r="L341" s="29"/>
        <tr r="M340" s="29"/>
        <tr r="M340" s="29"/>
        <tr r="L340" s="29"/>
        <tr r="L340" s="29"/>
        <tr r="M339" s="29"/>
        <tr r="M339" s="29"/>
        <tr r="L339" s="29"/>
        <tr r="L339" s="29"/>
        <tr r="M338" s="29"/>
        <tr r="M338" s="29"/>
        <tr r="L338" s="29"/>
        <tr r="L338" s="29"/>
        <tr r="M337" s="29"/>
        <tr r="M337" s="29"/>
        <tr r="L337" s="29"/>
        <tr r="L337" s="29"/>
        <tr r="M336" s="29"/>
        <tr r="M336" s="29"/>
        <tr r="L336" s="29"/>
        <tr r="L336" s="29"/>
        <tr r="M335" s="29"/>
        <tr r="M335" s="29"/>
        <tr r="L335" s="29"/>
        <tr r="L335" s="29"/>
        <tr r="M334" s="29"/>
        <tr r="M334" s="29"/>
        <tr r="L334" s="29"/>
        <tr r="L334" s="29"/>
        <tr r="M333" s="29"/>
        <tr r="M333" s="29"/>
        <tr r="L333" s="29"/>
        <tr r="L333" s="29"/>
        <tr r="M332" s="29"/>
        <tr r="M332" s="29"/>
        <tr r="L332" s="29"/>
        <tr r="L332" s="29"/>
        <tr r="M331" s="29"/>
        <tr r="M331" s="29"/>
        <tr r="L331" s="29"/>
        <tr r="L331" s="29"/>
        <tr r="M330" s="29"/>
        <tr r="M330" s="29"/>
        <tr r="L330" s="29"/>
        <tr r="L330" s="29"/>
        <tr r="M329" s="29"/>
        <tr r="M329" s="29"/>
        <tr r="L329" s="29"/>
        <tr r="L329" s="29"/>
        <tr r="M328" s="29"/>
        <tr r="M328" s="29"/>
        <tr r="L328" s="29"/>
        <tr r="L328" s="29"/>
        <tr r="M327" s="29"/>
        <tr r="M327" s="29"/>
        <tr r="L327" s="29"/>
        <tr r="L327" s="29"/>
        <tr r="M326" s="29"/>
        <tr r="M326" s="29"/>
        <tr r="L326" s="29"/>
        <tr r="L326" s="29"/>
        <tr r="M325" s="29"/>
        <tr r="M325" s="29"/>
        <tr r="L325" s="29"/>
        <tr r="L325" s="29"/>
        <tr r="M324" s="29"/>
        <tr r="M324" s="29"/>
        <tr r="L324" s="29"/>
        <tr r="L324" s="29"/>
        <tr r="M323" s="29"/>
        <tr r="M323" s="29"/>
        <tr r="L323" s="29"/>
        <tr r="L323" s="29"/>
        <tr r="M322" s="29"/>
        <tr r="M322" s="29"/>
        <tr r="L322" s="29"/>
        <tr r="L322" s="29"/>
        <tr r="M321" s="29"/>
        <tr r="M321" s="29"/>
        <tr r="L321" s="29"/>
        <tr r="L321" s="29"/>
        <tr r="M320" s="29"/>
        <tr r="M320" s="29"/>
        <tr r="L320" s="29"/>
        <tr r="L320" s="29"/>
        <tr r="M319" s="29"/>
        <tr r="M319" s="29"/>
        <tr r="L319" s="29"/>
        <tr r="L319" s="29"/>
        <tr r="M318" s="29"/>
        <tr r="M318" s="29"/>
        <tr r="L318" s="29"/>
        <tr r="L318" s="29"/>
        <tr r="M317" s="29"/>
        <tr r="M317" s="29"/>
        <tr r="L317" s="29"/>
        <tr r="L317" s="29"/>
        <tr r="M316" s="29"/>
        <tr r="M316" s="29"/>
        <tr r="L316" s="29"/>
        <tr r="L316" s="29"/>
        <tr r="M315" s="29"/>
        <tr r="M315" s="29"/>
        <tr r="L315" s="29"/>
        <tr r="L315" s="29"/>
        <tr r="M314" s="29"/>
        <tr r="M314" s="29"/>
        <tr r="L314" s="29"/>
        <tr r="L314" s="29"/>
        <tr r="M313" s="29"/>
        <tr r="M313" s="29"/>
        <tr r="L313" s="29"/>
        <tr r="L313" s="29"/>
        <tr r="M312" s="29"/>
        <tr r="M312" s="29"/>
        <tr r="L312" s="29"/>
        <tr r="L312" s="29"/>
        <tr r="M311" s="29"/>
        <tr r="M311" s="29"/>
        <tr r="L311" s="29"/>
        <tr r="L311" s="29"/>
        <tr r="M310" s="29"/>
        <tr r="M310" s="29"/>
        <tr r="L310" s="29"/>
        <tr r="L310" s="29"/>
        <tr r="M309" s="29"/>
        <tr r="M309" s="29"/>
        <tr r="L309" s="29"/>
        <tr r="L309" s="29"/>
        <tr r="M308" s="29"/>
        <tr r="M308" s="29"/>
        <tr r="L308" s="29"/>
        <tr r="L308" s="29"/>
        <tr r="M307" s="29"/>
        <tr r="M307" s="29"/>
        <tr r="L307" s="29"/>
        <tr r="L307" s="29"/>
        <tr r="M306" s="29"/>
        <tr r="M306" s="29"/>
        <tr r="L306" s="29"/>
        <tr r="L306" s="29"/>
        <tr r="M305" s="29"/>
        <tr r="M305" s="29"/>
        <tr r="L305" s="29"/>
        <tr r="L305" s="29"/>
        <tr r="M304" s="29"/>
        <tr r="M304" s="29"/>
        <tr r="L304" s="29"/>
        <tr r="L304" s="29"/>
        <tr r="M303" s="29"/>
        <tr r="M303" s="29"/>
        <tr r="L303" s="29"/>
        <tr r="L303" s="29"/>
        <tr r="M302" s="29"/>
        <tr r="M302" s="29"/>
        <tr r="L302" s="29"/>
        <tr r="L302" s="29"/>
        <tr r="M301" s="29"/>
        <tr r="M301" s="29"/>
        <tr r="L301" s="29"/>
        <tr r="L301" s="29"/>
        <tr r="M300" s="29"/>
        <tr r="M300" s="29"/>
        <tr r="L300" s="29"/>
        <tr r="L300" s="29"/>
        <tr r="M299" s="29"/>
        <tr r="M299" s="29"/>
        <tr r="L299" s="29"/>
        <tr r="L299" s="29"/>
        <tr r="M298" s="29"/>
        <tr r="M298" s="29"/>
        <tr r="L298" s="29"/>
        <tr r="L298" s="29"/>
        <tr r="M297" s="29"/>
        <tr r="M297" s="29"/>
        <tr r="L297" s="29"/>
        <tr r="L297" s="29"/>
        <tr r="M296" s="29"/>
        <tr r="M296" s="29"/>
        <tr r="L296" s="29"/>
        <tr r="L296" s="29"/>
        <tr r="M295" s="29"/>
        <tr r="M295" s="29"/>
        <tr r="L295" s="29"/>
        <tr r="L295" s="29"/>
        <tr r="M294" s="29"/>
        <tr r="M294" s="29"/>
        <tr r="L294" s="29"/>
        <tr r="L294" s="29"/>
        <tr r="M293" s="29"/>
        <tr r="M293" s="29"/>
        <tr r="L293" s="29"/>
        <tr r="L293" s="29"/>
        <tr r="M292" s="29"/>
        <tr r="M292" s="29"/>
        <tr r="L292" s="29"/>
        <tr r="L292" s="29"/>
        <tr r="M291" s="29"/>
        <tr r="M291" s="29"/>
        <tr r="L291" s="29"/>
        <tr r="L291" s="29"/>
        <tr r="M290" s="29"/>
        <tr r="M290" s="29"/>
        <tr r="L290" s="29"/>
        <tr r="L290" s="29"/>
        <tr r="M289" s="29"/>
        <tr r="M289" s="29"/>
        <tr r="L289" s="29"/>
        <tr r="L289" s="29"/>
        <tr r="M288" s="29"/>
        <tr r="M288" s="29"/>
        <tr r="L288" s="29"/>
        <tr r="L288" s="29"/>
        <tr r="M287" s="29"/>
        <tr r="M287" s="29"/>
        <tr r="L287" s="29"/>
        <tr r="L287" s="29"/>
        <tr r="M286" s="29"/>
        <tr r="M286" s="29"/>
        <tr r="L286" s="29"/>
        <tr r="L286" s="29"/>
        <tr r="M285" s="29"/>
        <tr r="M285" s="29"/>
        <tr r="L285" s="29"/>
        <tr r="L285" s="29"/>
        <tr r="M284" s="29"/>
        <tr r="M284" s="29"/>
        <tr r="L284" s="29"/>
        <tr r="L284" s="29"/>
        <tr r="M283" s="29"/>
        <tr r="M283" s="29"/>
        <tr r="L283" s="29"/>
        <tr r="L283" s="29"/>
        <tr r="M282" s="29"/>
        <tr r="M282" s="29"/>
        <tr r="L282" s="29"/>
        <tr r="L282" s="29"/>
        <tr r="M281" s="29"/>
        <tr r="M281" s="29"/>
        <tr r="L281" s="29"/>
        <tr r="L281" s="29"/>
        <tr r="M280" s="29"/>
        <tr r="M280" s="29"/>
        <tr r="L280" s="29"/>
        <tr r="L280" s="29"/>
        <tr r="M279" s="29"/>
        <tr r="M279" s="29"/>
        <tr r="L279" s="29"/>
        <tr r="L279" s="29"/>
        <tr r="M278" s="29"/>
        <tr r="M278" s="29"/>
        <tr r="L278" s="29"/>
        <tr r="L278" s="29"/>
        <tr r="M277" s="29"/>
        <tr r="M277" s="29"/>
        <tr r="L277" s="29"/>
        <tr r="L277" s="29"/>
        <tr r="M276" s="29"/>
        <tr r="M276" s="29"/>
        <tr r="L276" s="29"/>
        <tr r="L276" s="29"/>
        <tr r="M275" s="29"/>
        <tr r="M275" s="29"/>
        <tr r="L275" s="29"/>
        <tr r="L275" s="29"/>
        <tr r="M274" s="29"/>
        <tr r="M274" s="29"/>
        <tr r="L274" s="29"/>
        <tr r="L274" s="29"/>
        <tr r="M273" s="29"/>
        <tr r="M273" s="29"/>
        <tr r="L273" s="29"/>
        <tr r="L273" s="29"/>
        <tr r="M272" s="29"/>
        <tr r="M272" s="29"/>
        <tr r="L272" s="29"/>
        <tr r="L272" s="29"/>
        <tr r="M271" s="29"/>
        <tr r="M271" s="29"/>
        <tr r="L271" s="29"/>
        <tr r="L271" s="29"/>
        <tr r="M270" s="29"/>
        <tr r="M270" s="29"/>
        <tr r="L270" s="29"/>
        <tr r="L270" s="29"/>
        <tr r="M269" s="29"/>
        <tr r="M269" s="29"/>
        <tr r="L269" s="29"/>
        <tr r="L269" s="29"/>
        <tr r="M268" s="29"/>
        <tr r="M268" s="29"/>
        <tr r="L268" s="29"/>
        <tr r="L268" s="29"/>
        <tr r="M267" s="29"/>
        <tr r="M267" s="29"/>
        <tr r="L267" s="29"/>
        <tr r="L267" s="29"/>
        <tr r="M266" s="29"/>
        <tr r="M266" s="29"/>
        <tr r="L266" s="29"/>
        <tr r="L266" s="29"/>
        <tr r="M265" s="29"/>
        <tr r="M265" s="29"/>
        <tr r="L265" s="29"/>
        <tr r="L265" s="29"/>
        <tr r="M264" s="29"/>
        <tr r="M264" s="29"/>
        <tr r="L264" s="29"/>
        <tr r="L264" s="29"/>
        <tr r="M263" s="29"/>
        <tr r="M263" s="29"/>
        <tr r="L263" s="29"/>
        <tr r="L263" s="29"/>
        <tr r="M262" s="29"/>
        <tr r="M262" s="29"/>
        <tr r="L262" s="29"/>
        <tr r="L262" s="29"/>
        <tr r="M261" s="29"/>
        <tr r="M261" s="29"/>
        <tr r="L261" s="29"/>
        <tr r="L261" s="29"/>
        <tr r="M260" s="29"/>
        <tr r="M260" s="29"/>
        <tr r="L260" s="29"/>
        <tr r="L260" s="29"/>
        <tr r="M259" s="29"/>
        <tr r="M259" s="29"/>
        <tr r="L259" s="29"/>
        <tr r="L259" s="29"/>
        <tr r="M258" s="29"/>
        <tr r="M258" s="29"/>
        <tr r="L258" s="29"/>
        <tr r="L258" s="29"/>
        <tr r="M257" s="29"/>
        <tr r="M257" s="29"/>
        <tr r="L257" s="29"/>
        <tr r="L257" s="29"/>
        <tr r="M256" s="29"/>
        <tr r="M256" s="29"/>
        <tr r="L256" s="29"/>
        <tr r="L256" s="29"/>
        <tr r="M255" s="29"/>
        <tr r="M255" s="29"/>
        <tr r="L255" s="29"/>
        <tr r="L255" s="29"/>
        <tr r="M254" s="29"/>
        <tr r="M254" s="29"/>
        <tr r="L254" s="29"/>
        <tr r="L254" s="29"/>
        <tr r="M253" s="29"/>
        <tr r="M253" s="29"/>
        <tr r="L253" s="29"/>
        <tr r="L253" s="29"/>
        <tr r="M252" s="29"/>
        <tr r="M252" s="29"/>
        <tr r="L252" s="29"/>
        <tr r="L252" s="29"/>
        <tr r="M251" s="29"/>
        <tr r="M251" s="29"/>
        <tr r="L251" s="29"/>
        <tr r="L251" s="29"/>
        <tr r="M250" s="29"/>
        <tr r="M250" s="29"/>
        <tr r="L250" s="29"/>
        <tr r="L250" s="29"/>
        <tr r="M249" s="29"/>
        <tr r="M249" s="29"/>
        <tr r="L249" s="29"/>
        <tr r="L249" s="29"/>
        <tr r="M248" s="29"/>
        <tr r="M248" s="29"/>
        <tr r="L248" s="29"/>
        <tr r="L248" s="29"/>
        <tr r="M247" s="29"/>
        <tr r="M247" s="29"/>
        <tr r="L247" s="29"/>
        <tr r="L247" s="29"/>
        <tr r="M246" s="29"/>
        <tr r="M246" s="29"/>
        <tr r="L246" s="29"/>
        <tr r="L246" s="29"/>
        <tr r="M245" s="29"/>
        <tr r="M245" s="29"/>
        <tr r="L245" s="29"/>
        <tr r="L245" s="29"/>
        <tr r="M244" s="29"/>
        <tr r="M244" s="29"/>
        <tr r="L244" s="29"/>
        <tr r="L244" s="29"/>
        <tr r="M243" s="29"/>
        <tr r="M243" s="29"/>
        <tr r="L243" s="29"/>
        <tr r="L243" s="29"/>
        <tr r="M242" s="29"/>
        <tr r="M242" s="29"/>
        <tr r="L242" s="29"/>
        <tr r="L242" s="29"/>
        <tr r="M241" s="29"/>
        <tr r="M241" s="29"/>
        <tr r="L241" s="29"/>
        <tr r="L241" s="29"/>
        <tr r="M240" s="29"/>
        <tr r="M240" s="29"/>
        <tr r="L240" s="29"/>
        <tr r="L240" s="29"/>
        <tr r="M239" s="29"/>
        <tr r="M239" s="29"/>
        <tr r="L239" s="29"/>
        <tr r="L239" s="29"/>
        <tr r="M238" s="29"/>
        <tr r="M238" s="29"/>
        <tr r="L238" s="29"/>
        <tr r="L238" s="29"/>
        <tr r="M237" s="29"/>
        <tr r="M237" s="29"/>
        <tr r="L237" s="29"/>
        <tr r="L237" s="29"/>
        <tr r="M236" s="29"/>
        <tr r="M236" s="29"/>
        <tr r="L236" s="29"/>
        <tr r="L236" s="29"/>
        <tr r="M235" s="29"/>
        <tr r="M235" s="29"/>
        <tr r="L235" s="29"/>
        <tr r="L235" s="29"/>
        <tr r="M234" s="29"/>
        <tr r="M234" s="29"/>
        <tr r="L234" s="29"/>
        <tr r="L234" s="29"/>
        <tr r="M233" s="29"/>
        <tr r="M233" s="29"/>
        <tr r="L233" s="29"/>
        <tr r="L233" s="29"/>
        <tr r="M232" s="29"/>
        <tr r="M232" s="29"/>
        <tr r="L232" s="29"/>
        <tr r="L232" s="29"/>
        <tr r="M231" s="29"/>
        <tr r="M231" s="29"/>
        <tr r="L231" s="29"/>
        <tr r="L231" s="29"/>
        <tr r="M230" s="29"/>
        <tr r="M230" s="29"/>
        <tr r="L230" s="29"/>
        <tr r="L230" s="29"/>
        <tr r="M229" s="29"/>
        <tr r="M229" s="29"/>
        <tr r="L229" s="29"/>
        <tr r="L229" s="29"/>
        <tr r="M228" s="29"/>
        <tr r="M228" s="29"/>
        <tr r="L228" s="29"/>
        <tr r="L228" s="29"/>
        <tr r="M227" s="29"/>
        <tr r="M227" s="29"/>
        <tr r="L227" s="29"/>
        <tr r="L227" s="29"/>
        <tr r="M226" s="29"/>
        <tr r="M226" s="29"/>
        <tr r="L226" s="29"/>
        <tr r="L226" s="29"/>
        <tr r="M225" s="29"/>
        <tr r="M225" s="29"/>
        <tr r="L225" s="29"/>
        <tr r="L225" s="29"/>
        <tr r="M224" s="29"/>
        <tr r="M224" s="29"/>
        <tr r="L224" s="29"/>
        <tr r="L224" s="29"/>
        <tr r="M223" s="29"/>
        <tr r="M223" s="29"/>
        <tr r="L223" s="29"/>
        <tr r="L223" s="29"/>
        <tr r="M222" s="29"/>
        <tr r="M222" s="29"/>
        <tr r="L222" s="29"/>
        <tr r="L222" s="29"/>
        <tr r="M221" s="29"/>
        <tr r="M221" s="29"/>
        <tr r="L221" s="29"/>
        <tr r="L221" s="29"/>
        <tr r="M220" s="29"/>
        <tr r="M220" s="29"/>
        <tr r="L220" s="29"/>
        <tr r="L220" s="29"/>
        <tr r="M219" s="29"/>
        <tr r="M219" s="29"/>
        <tr r="L219" s="29"/>
        <tr r="L219" s="29"/>
        <tr r="M218" s="29"/>
        <tr r="M218" s="29"/>
        <tr r="L218" s="29"/>
        <tr r="L218" s="29"/>
        <tr r="M217" s="29"/>
        <tr r="M217" s="29"/>
        <tr r="L217" s="29"/>
        <tr r="L217" s="29"/>
        <tr r="M216" s="29"/>
        <tr r="M216" s="29"/>
        <tr r="L216" s="29"/>
        <tr r="L216" s="29"/>
        <tr r="M215" s="29"/>
        <tr r="M215" s="29"/>
        <tr r="L215" s="29"/>
        <tr r="L215" s="29"/>
        <tr r="M214" s="29"/>
        <tr r="M214" s="29"/>
        <tr r="L214" s="29"/>
        <tr r="L214" s="29"/>
        <tr r="M213" s="29"/>
        <tr r="M213" s="29"/>
        <tr r="L213" s="29"/>
        <tr r="L213" s="29"/>
        <tr r="M212" s="29"/>
        <tr r="M212" s="29"/>
        <tr r="L212" s="29"/>
        <tr r="L212" s="29"/>
        <tr r="M211" s="29"/>
        <tr r="M211" s="29"/>
        <tr r="L211" s="29"/>
        <tr r="L211" s="29"/>
        <tr r="M210" s="29"/>
        <tr r="M210" s="29"/>
        <tr r="L210" s="29"/>
        <tr r="L210" s="29"/>
        <tr r="M209" s="29"/>
        <tr r="M209" s="29"/>
        <tr r="L209" s="29"/>
        <tr r="L209" s="29"/>
        <tr r="M208" s="29"/>
        <tr r="M208" s="29"/>
        <tr r="L208" s="29"/>
        <tr r="L208" s="29"/>
        <tr r="M207" s="29"/>
        <tr r="M207" s="29"/>
        <tr r="L207" s="29"/>
        <tr r="L207" s="29"/>
        <tr r="M206" s="29"/>
        <tr r="M206" s="29"/>
        <tr r="L206" s="29"/>
        <tr r="L206" s="29"/>
        <tr r="M205" s="29"/>
        <tr r="M205" s="29"/>
        <tr r="L205" s="29"/>
        <tr r="L205" s="29"/>
        <tr r="M204" s="29"/>
        <tr r="M204" s="29"/>
        <tr r="L204" s="29"/>
        <tr r="L204" s="29"/>
        <tr r="M203" s="29"/>
        <tr r="M203" s="29"/>
        <tr r="L203" s="29"/>
        <tr r="L203" s="29"/>
        <tr r="M202" s="29"/>
        <tr r="M202" s="29"/>
        <tr r="L202" s="29"/>
        <tr r="L202" s="29"/>
        <tr r="M201" s="29"/>
        <tr r="M201" s="29"/>
        <tr r="L201" s="29"/>
        <tr r="L201" s="29"/>
        <tr r="M200" s="29"/>
        <tr r="M200" s="29"/>
        <tr r="L200" s="29"/>
        <tr r="L200" s="29"/>
        <tr r="M199" s="29"/>
        <tr r="M199" s="29"/>
        <tr r="L199" s="29"/>
        <tr r="L199" s="29"/>
        <tr r="M198" s="29"/>
        <tr r="M198" s="29"/>
        <tr r="L198" s="29"/>
        <tr r="L198" s="29"/>
        <tr r="M197" s="29"/>
        <tr r="M197" s="29"/>
        <tr r="L197" s="29"/>
        <tr r="L197" s="29"/>
        <tr r="M196" s="29"/>
        <tr r="M196" s="29"/>
        <tr r="L196" s="29"/>
        <tr r="L196" s="29"/>
        <tr r="M195" s="29"/>
        <tr r="M195" s="29"/>
        <tr r="L195" s="29"/>
        <tr r="L195" s="29"/>
        <tr r="M194" s="29"/>
        <tr r="M194" s="29"/>
        <tr r="L194" s="29"/>
        <tr r="L194" s="29"/>
        <tr r="M193" s="29"/>
        <tr r="M193" s="29"/>
        <tr r="L193" s="29"/>
        <tr r="L193" s="29"/>
        <tr r="M192" s="29"/>
        <tr r="M192" s="29"/>
        <tr r="L192" s="29"/>
        <tr r="L192" s="29"/>
        <tr r="M191" s="29"/>
        <tr r="M191" s="29"/>
        <tr r="L191" s="29"/>
        <tr r="L191" s="29"/>
        <tr r="M190" s="29"/>
        <tr r="M190" s="29"/>
        <tr r="L190" s="29"/>
        <tr r="L190" s="29"/>
        <tr r="M189" s="29"/>
        <tr r="M189" s="29"/>
        <tr r="L189" s="29"/>
        <tr r="L189" s="29"/>
        <tr r="M188" s="29"/>
        <tr r="M188" s="29"/>
        <tr r="L188" s="29"/>
        <tr r="L188" s="29"/>
        <tr r="M187" s="29"/>
        <tr r="M187" s="29"/>
        <tr r="L187" s="29"/>
        <tr r="L187" s="29"/>
        <tr r="M186" s="29"/>
        <tr r="M186" s="29"/>
        <tr r="L186" s="29"/>
        <tr r="L186" s="29"/>
        <tr r="M185" s="29"/>
        <tr r="M185" s="29"/>
        <tr r="L185" s="29"/>
        <tr r="L185" s="29"/>
        <tr r="M184" s="29"/>
        <tr r="M184" s="29"/>
        <tr r="L184" s="29"/>
        <tr r="L184" s="29"/>
        <tr r="M183" s="29"/>
        <tr r="M183" s="29"/>
        <tr r="L183" s="29"/>
        <tr r="L183" s="29"/>
        <tr r="M182" s="29"/>
        <tr r="M182" s="29"/>
        <tr r="L182" s="29"/>
        <tr r="L182" s="29"/>
        <tr r="M181" s="29"/>
        <tr r="M181" s="29"/>
        <tr r="L181" s="29"/>
        <tr r="L181" s="29"/>
        <tr r="M180" s="29"/>
        <tr r="M180" s="29"/>
        <tr r="L180" s="29"/>
        <tr r="L180" s="29"/>
        <tr r="M179" s="29"/>
        <tr r="M179" s="29"/>
        <tr r="L179" s="29"/>
        <tr r="L179" s="29"/>
        <tr r="M178" s="29"/>
        <tr r="M178" s="29"/>
        <tr r="L178" s="29"/>
        <tr r="L178" s="29"/>
        <tr r="M177" s="29"/>
        <tr r="M177" s="29"/>
        <tr r="L177" s="29"/>
        <tr r="L177" s="29"/>
        <tr r="M176" s="29"/>
        <tr r="M176" s="29"/>
        <tr r="L176" s="29"/>
        <tr r="L176" s="29"/>
        <tr r="M175" s="29"/>
        <tr r="M175" s="29"/>
        <tr r="L175" s="29"/>
        <tr r="L175" s="29"/>
        <tr r="M174" s="29"/>
        <tr r="M174" s="29"/>
        <tr r="L174" s="29"/>
        <tr r="L174" s="29"/>
        <tr r="M173" s="29"/>
        <tr r="M173" s="29"/>
        <tr r="L173" s="29"/>
        <tr r="L173" s="29"/>
        <tr r="M172" s="29"/>
        <tr r="M172" s="29"/>
        <tr r="L172" s="29"/>
        <tr r="L172" s="29"/>
        <tr r="M171" s="29"/>
        <tr r="M171" s="29"/>
        <tr r="L171" s="29"/>
        <tr r="L171" s="29"/>
        <tr r="M170" s="29"/>
        <tr r="M170" s="29"/>
        <tr r="L170" s="29"/>
        <tr r="L170" s="29"/>
        <tr r="M169" s="29"/>
        <tr r="M169" s="29"/>
        <tr r="L169" s="29"/>
        <tr r="L169" s="29"/>
        <tr r="M168" s="29"/>
        <tr r="M168" s="29"/>
        <tr r="L168" s="29"/>
        <tr r="L168" s="29"/>
        <tr r="M167" s="29"/>
        <tr r="M167" s="29"/>
        <tr r="L167" s="29"/>
        <tr r="L167" s="29"/>
        <tr r="M166" s="29"/>
        <tr r="M166" s="29"/>
        <tr r="L166" s="29"/>
        <tr r="L166" s="29"/>
        <tr r="M165" s="29"/>
        <tr r="M165" s="29"/>
        <tr r="L165" s="29"/>
        <tr r="L165" s="29"/>
        <tr r="M164" s="29"/>
        <tr r="M164" s="29"/>
        <tr r="L164" s="29"/>
        <tr r="L164" s="29"/>
        <tr r="M163" s="29"/>
        <tr r="M163" s="29"/>
        <tr r="L163" s="29"/>
        <tr r="L163" s="29"/>
        <tr r="M162" s="29"/>
        <tr r="M162" s="29"/>
        <tr r="L162" s="29"/>
        <tr r="L162" s="29"/>
        <tr r="M161" s="29"/>
        <tr r="M161" s="29"/>
        <tr r="L161" s="29"/>
        <tr r="L161" s="29"/>
        <tr r="M160" s="29"/>
        <tr r="M160" s="29"/>
        <tr r="L160" s="29"/>
        <tr r="L160" s="29"/>
        <tr r="M159" s="29"/>
        <tr r="M159" s="29"/>
        <tr r="L159" s="29"/>
        <tr r="L159" s="29"/>
        <tr r="M158" s="29"/>
        <tr r="M158" s="29"/>
        <tr r="L158" s="29"/>
        <tr r="L158" s="29"/>
        <tr r="M157" s="29"/>
        <tr r="M157" s="29"/>
        <tr r="L157" s="29"/>
        <tr r="L157" s="29"/>
        <tr r="M156" s="29"/>
        <tr r="M156" s="29"/>
        <tr r="L156" s="29"/>
        <tr r="L156" s="29"/>
        <tr r="M155" s="29"/>
        <tr r="M155" s="29"/>
        <tr r="L155" s="29"/>
        <tr r="L155" s="29"/>
        <tr r="M154" s="29"/>
        <tr r="M154" s="29"/>
        <tr r="L154" s="29"/>
        <tr r="L154" s="29"/>
        <tr r="M153" s="29"/>
        <tr r="M153" s="29"/>
        <tr r="L153" s="29"/>
        <tr r="L153" s="29"/>
        <tr r="M152" s="29"/>
        <tr r="M152" s="29"/>
        <tr r="L152" s="29"/>
        <tr r="L152" s="29"/>
        <tr r="M151" s="29"/>
        <tr r="M151" s="29"/>
        <tr r="L151" s="29"/>
        <tr r="L151" s="29"/>
        <tr r="M150" s="29"/>
        <tr r="M150" s="29"/>
        <tr r="L150" s="29"/>
        <tr r="L150" s="29"/>
        <tr r="M149" s="29"/>
        <tr r="M149" s="29"/>
        <tr r="L149" s="29"/>
        <tr r="L149" s="29"/>
        <tr r="M148" s="29"/>
        <tr r="M148" s="29"/>
        <tr r="L148" s="29"/>
        <tr r="L148" s="29"/>
        <tr r="M147" s="29"/>
        <tr r="M147" s="29"/>
        <tr r="L147" s="29"/>
        <tr r="L147" s="29"/>
        <tr r="M146" s="29"/>
        <tr r="M146" s="29"/>
        <tr r="L146" s="29"/>
        <tr r="L146" s="29"/>
        <tr r="M145" s="29"/>
        <tr r="M145" s="29"/>
        <tr r="L145" s="29"/>
        <tr r="L145" s="29"/>
        <tr r="M144" s="29"/>
        <tr r="M144" s="29"/>
        <tr r="L144" s="29"/>
        <tr r="L144" s="29"/>
        <tr r="M143" s="29"/>
        <tr r="M143" s="29"/>
        <tr r="L143" s="29"/>
        <tr r="L143" s="29"/>
        <tr r="M142" s="29"/>
        <tr r="M142" s="29"/>
        <tr r="L142" s="29"/>
        <tr r="L142" s="29"/>
        <tr r="M141" s="29"/>
        <tr r="M141" s="29"/>
        <tr r="L141" s="29"/>
        <tr r="L141" s="29"/>
        <tr r="M140" s="29"/>
        <tr r="M140" s="29"/>
        <tr r="L140" s="29"/>
        <tr r="L140" s="29"/>
        <tr r="M139" s="29"/>
        <tr r="M139" s="29"/>
        <tr r="L139" s="29"/>
        <tr r="L139" s="29"/>
        <tr r="M138" s="29"/>
        <tr r="M138" s="29"/>
        <tr r="L138" s="29"/>
        <tr r="L138" s="29"/>
        <tr r="M137" s="29"/>
        <tr r="M137" s="29"/>
        <tr r="L137" s="29"/>
        <tr r="L137" s="29"/>
        <tr r="M136" s="29"/>
        <tr r="M136" s="29"/>
        <tr r="L136" s="29"/>
        <tr r="L136" s="29"/>
        <tr r="M135" s="29"/>
        <tr r="M135" s="29"/>
        <tr r="L135" s="29"/>
        <tr r="L135" s="29"/>
        <tr r="M134" s="29"/>
        <tr r="M134" s="29"/>
        <tr r="L134" s="29"/>
        <tr r="L134" s="29"/>
        <tr r="M133" s="29"/>
        <tr r="M133" s="29"/>
        <tr r="L133" s="29"/>
        <tr r="L133" s="29"/>
        <tr r="M132" s="29"/>
        <tr r="M132" s="29"/>
        <tr r="L132" s="29"/>
        <tr r="L132" s="29"/>
        <tr r="M131" s="29"/>
        <tr r="M131" s="29"/>
        <tr r="L131" s="29"/>
        <tr r="L131" s="29"/>
        <tr r="M130" s="29"/>
        <tr r="M130" s="29"/>
        <tr r="L130" s="29"/>
        <tr r="L130" s="29"/>
        <tr r="M129" s="29"/>
        <tr r="M129" s="29"/>
        <tr r="L129" s="29"/>
        <tr r="L129" s="29"/>
        <tr r="M128" s="29"/>
        <tr r="M128" s="29"/>
        <tr r="L128" s="29"/>
        <tr r="L128" s="29"/>
        <tr r="M127" s="29"/>
        <tr r="M127" s="29"/>
        <tr r="L127" s="29"/>
        <tr r="L127" s="29"/>
        <tr r="M126" s="29"/>
        <tr r="M126" s="29"/>
        <tr r="L126" s="29"/>
        <tr r="L126" s="29"/>
        <tr r="M125" s="29"/>
        <tr r="M125" s="29"/>
        <tr r="L125" s="29"/>
        <tr r="L125" s="29"/>
        <tr r="M124" s="29"/>
        <tr r="M124" s="29"/>
        <tr r="L124" s="29"/>
        <tr r="L124" s="29"/>
        <tr r="M123" s="29"/>
        <tr r="M123" s="29"/>
        <tr r="L123" s="29"/>
        <tr r="L123" s="29"/>
        <tr r="M122" s="29"/>
        <tr r="M122" s="29"/>
        <tr r="L122" s="29"/>
        <tr r="L122" s="29"/>
        <tr r="M121" s="29"/>
        <tr r="M121" s="29"/>
        <tr r="L121" s="29"/>
        <tr r="L121" s="29"/>
        <tr r="M120" s="29"/>
        <tr r="M120" s="29"/>
        <tr r="L120" s="29"/>
        <tr r="L120" s="29"/>
        <tr r="M119" s="29"/>
        <tr r="M119" s="29"/>
        <tr r="L119" s="29"/>
        <tr r="L119" s="29"/>
        <tr r="M118" s="29"/>
        <tr r="M118" s="29"/>
        <tr r="L118" s="29"/>
        <tr r="L118" s="29"/>
        <tr r="M117" s="29"/>
        <tr r="M117" s="29"/>
        <tr r="L117" s="29"/>
        <tr r="L117" s="29"/>
        <tr r="M116" s="29"/>
        <tr r="M116" s="29"/>
        <tr r="L116" s="29"/>
        <tr r="L116" s="29"/>
        <tr r="M115" s="29"/>
        <tr r="M115" s="29"/>
        <tr r="L115" s="29"/>
        <tr r="L115" s="29"/>
        <tr r="M114" s="29"/>
        <tr r="M114" s="29"/>
        <tr r="L114" s="29"/>
        <tr r="L114" s="29"/>
        <tr r="M113" s="29"/>
        <tr r="M113" s="29"/>
        <tr r="L113" s="29"/>
        <tr r="L113" s="29"/>
        <tr r="M112" s="29"/>
        <tr r="M112" s="29"/>
        <tr r="L112" s="29"/>
        <tr r="L112" s="29"/>
        <tr r="M111" s="29"/>
        <tr r="M111" s="29"/>
        <tr r="L111" s="29"/>
        <tr r="L111" s="29"/>
        <tr r="M110" s="29"/>
        <tr r="M110" s="29"/>
        <tr r="L110" s="29"/>
        <tr r="L110" s="29"/>
        <tr r="M109" s="29"/>
        <tr r="M109" s="29"/>
        <tr r="L109" s="29"/>
        <tr r="L109" s="29"/>
        <tr r="M108" s="29"/>
        <tr r="M108" s="29"/>
        <tr r="L108" s="29"/>
        <tr r="L108" s="29"/>
        <tr r="M107" s="29"/>
        <tr r="M107" s="29"/>
        <tr r="L107" s="29"/>
        <tr r="L107" s="29"/>
        <tr r="M106" s="29"/>
        <tr r="M106" s="29"/>
        <tr r="L106" s="29"/>
        <tr r="L106" s="29"/>
        <tr r="M105" s="29"/>
        <tr r="M105" s="29"/>
        <tr r="L105" s="29"/>
        <tr r="L105" s="29"/>
        <tr r="M104" s="29"/>
        <tr r="M104" s="29"/>
        <tr r="L104" s="29"/>
        <tr r="L104" s="29"/>
        <tr r="M103" s="29"/>
        <tr r="M103" s="29"/>
        <tr r="L103" s="29"/>
        <tr r="L103" s="29"/>
        <tr r="M102" s="29"/>
        <tr r="M102" s="29"/>
        <tr r="L102" s="29"/>
        <tr r="L102" s="29"/>
        <tr r="M101" s="29"/>
        <tr r="M101" s="29"/>
        <tr r="L101" s="29"/>
        <tr r="L101" s="29"/>
        <tr r="M100" s="29"/>
        <tr r="M100" s="29"/>
        <tr r="L100" s="29"/>
        <tr r="L100" s="29"/>
        <tr r="M99" s="29"/>
        <tr r="M99" s="29"/>
        <tr r="L99" s="29"/>
        <tr r="L99" s="29"/>
        <tr r="M98" s="29"/>
        <tr r="M98" s="29"/>
        <tr r="L98" s="29"/>
        <tr r="L98" s="29"/>
        <tr r="M97" s="29"/>
        <tr r="M97" s="29"/>
        <tr r="L97" s="29"/>
        <tr r="L97" s="29"/>
        <tr r="M96" s="29"/>
        <tr r="M96" s="29"/>
        <tr r="L96" s="29"/>
        <tr r="L96" s="29"/>
        <tr r="M95" s="29"/>
        <tr r="M95" s="29"/>
        <tr r="L95" s="29"/>
        <tr r="L95" s="29"/>
        <tr r="M94" s="29"/>
        <tr r="M94" s="29"/>
        <tr r="L94" s="29"/>
        <tr r="L94" s="29"/>
        <tr r="M93" s="29"/>
        <tr r="M93" s="29"/>
        <tr r="L93" s="29"/>
        <tr r="L93" s="29"/>
        <tr r="M92" s="29"/>
        <tr r="M92" s="29"/>
        <tr r="L92" s="29"/>
        <tr r="L92" s="29"/>
        <tr r="M91" s="29"/>
        <tr r="M91" s="29"/>
        <tr r="L91" s="29"/>
        <tr r="L91" s="29"/>
        <tr r="M90" s="29"/>
        <tr r="M90" s="29"/>
        <tr r="L90" s="29"/>
        <tr r="L90" s="29"/>
        <tr r="M89" s="29"/>
        <tr r="M89" s="29"/>
        <tr r="L89" s="29"/>
        <tr r="L89" s="29"/>
        <tr r="M88" s="29"/>
        <tr r="M88" s="29"/>
        <tr r="L88" s="29"/>
        <tr r="L88" s="29"/>
        <tr r="M87" s="29"/>
        <tr r="M87" s="29"/>
        <tr r="L87" s="29"/>
        <tr r="L87" s="29"/>
        <tr r="M86" s="29"/>
        <tr r="M86" s="29"/>
        <tr r="L86" s="29"/>
        <tr r="L86" s="29"/>
        <tr r="M85" s="29"/>
        <tr r="M85" s="29"/>
        <tr r="L85" s="29"/>
        <tr r="L85" s="29"/>
        <tr r="M84" s="29"/>
        <tr r="M84" s="29"/>
        <tr r="L84" s="29"/>
        <tr r="L84" s="29"/>
        <tr r="M83" s="29"/>
        <tr r="M83" s="29"/>
        <tr r="L83" s="29"/>
        <tr r="L83" s="29"/>
        <tr r="M82" s="29"/>
        <tr r="M82" s="29"/>
        <tr r="L82" s="29"/>
        <tr r="L82" s="29"/>
        <tr r="M81" s="29"/>
        <tr r="M81" s="29"/>
        <tr r="L81" s="29"/>
        <tr r="L81" s="29"/>
        <tr r="M80" s="29"/>
        <tr r="M80" s="29"/>
        <tr r="L80" s="29"/>
        <tr r="L80" s="29"/>
        <tr r="M79" s="29"/>
        <tr r="M79" s="29"/>
        <tr r="L79" s="29"/>
        <tr r="L79" s="29"/>
        <tr r="M78" s="29"/>
        <tr r="M78" s="29"/>
        <tr r="L78" s="29"/>
        <tr r="L78" s="29"/>
        <tr r="M77" s="29"/>
        <tr r="M77" s="29"/>
        <tr r="L77" s="29"/>
        <tr r="L77" s="29"/>
        <tr r="M76" s="29"/>
        <tr r="M76" s="29"/>
        <tr r="L76" s="29"/>
        <tr r="L76" s="29"/>
        <tr r="M75" s="29"/>
        <tr r="M75" s="29"/>
        <tr r="L75" s="29"/>
        <tr r="L75" s="29"/>
        <tr r="M74" s="29"/>
        <tr r="M74" s="29"/>
        <tr r="L74" s="29"/>
        <tr r="L74" s="29"/>
        <tr r="M73" s="29"/>
        <tr r="M73" s="29"/>
        <tr r="L73" s="29"/>
        <tr r="L73" s="29"/>
        <tr r="M72" s="29"/>
        <tr r="M72" s="29"/>
        <tr r="L72" s="29"/>
        <tr r="L72" s="29"/>
        <tr r="M71" s="29"/>
        <tr r="M71" s="29"/>
        <tr r="L71" s="29"/>
        <tr r="L71" s="29"/>
        <tr r="M70" s="29"/>
        <tr r="M70" s="29"/>
        <tr r="L70" s="29"/>
        <tr r="L70" s="29"/>
        <tr r="M69" s="29"/>
        <tr r="M69" s="29"/>
        <tr r="L69" s="29"/>
        <tr r="L69" s="29"/>
        <tr r="M68" s="29"/>
        <tr r="M68" s="29"/>
        <tr r="L68" s="29"/>
        <tr r="L68" s="29"/>
        <tr r="M67" s="29"/>
        <tr r="M67" s="29"/>
        <tr r="L67" s="29"/>
        <tr r="L67" s="29"/>
        <tr r="M66" s="29"/>
        <tr r="M66" s="29"/>
        <tr r="L66" s="29"/>
        <tr r="L66" s="29"/>
        <tr r="M65" s="29"/>
        <tr r="M65" s="29"/>
        <tr r="L65" s="29"/>
        <tr r="L65" s="29"/>
        <tr r="M64" s="29"/>
        <tr r="M64" s="29"/>
        <tr r="L64" s="29"/>
        <tr r="L64" s="29"/>
        <tr r="M63" s="29"/>
        <tr r="M63" s="29"/>
        <tr r="L63" s="29"/>
        <tr r="L63" s="29"/>
        <tr r="M62" s="29"/>
        <tr r="M62" s="29"/>
        <tr r="L62" s="29"/>
        <tr r="L62" s="29"/>
        <tr r="M61" s="29"/>
        <tr r="M61" s="29"/>
        <tr r="L61" s="29"/>
        <tr r="L61" s="29"/>
        <tr r="M60" s="29"/>
        <tr r="M60" s="29"/>
        <tr r="L60" s="29"/>
        <tr r="L60" s="29"/>
        <tr r="M59" s="29"/>
        <tr r="M59" s="29"/>
        <tr r="L59" s="29"/>
        <tr r="L59" s="29"/>
        <tr r="M58" s="29"/>
        <tr r="M58" s="29"/>
        <tr r="L58" s="29"/>
        <tr r="L58" s="29"/>
        <tr r="M57" s="29"/>
        <tr r="M57" s="29"/>
        <tr r="L57" s="29"/>
        <tr r="L57" s="29"/>
        <tr r="M56" s="29"/>
        <tr r="M56" s="29"/>
        <tr r="L56" s="29"/>
        <tr r="L56" s="29"/>
        <tr r="M55" s="29"/>
        <tr r="M55" s="29"/>
        <tr r="L55" s="29"/>
        <tr r="L55" s="29"/>
        <tr r="M54" s="29"/>
        <tr r="M54" s="29"/>
        <tr r="L54" s="29"/>
        <tr r="L54" s="29"/>
        <tr r="M53" s="29"/>
        <tr r="M53" s="29"/>
        <tr r="L53" s="29"/>
        <tr r="L53" s="29"/>
        <tr r="M52" s="29"/>
        <tr r="M52" s="29"/>
        <tr r="L52" s="29"/>
        <tr r="L52" s="29"/>
        <tr r="M51" s="29"/>
        <tr r="M51" s="29"/>
        <tr r="L51" s="29"/>
        <tr r="L51" s="29"/>
        <tr r="M50" s="29"/>
        <tr r="M50" s="29"/>
        <tr r="L50" s="29"/>
        <tr r="L50" s="29"/>
        <tr r="M49" s="29"/>
        <tr r="M49" s="29"/>
        <tr r="L49" s="29"/>
        <tr r="L49" s="29"/>
        <tr r="M48" s="29"/>
        <tr r="M48" s="29"/>
        <tr r="L48" s="29"/>
        <tr r="L48" s="29"/>
        <tr r="M47" s="29"/>
        <tr r="M47" s="29"/>
        <tr r="L47" s="29"/>
        <tr r="L47" s="29"/>
        <tr r="M46" s="29"/>
        <tr r="M46" s="29"/>
        <tr r="L46" s="29"/>
        <tr r="L46" s="29"/>
        <tr r="M45" s="29"/>
        <tr r="M45" s="29"/>
        <tr r="L45" s="29"/>
        <tr r="L45" s="29"/>
        <tr r="M44" s="29"/>
        <tr r="M44" s="29"/>
        <tr r="L44" s="29"/>
        <tr r="L44" s="29"/>
        <tr r="M43" s="29"/>
        <tr r="M43" s="29"/>
        <tr r="L43" s="29"/>
        <tr r="L43" s="29"/>
        <tr r="M42" s="29"/>
        <tr r="M42" s="29"/>
        <tr r="L42" s="29"/>
        <tr r="L42" s="29"/>
        <tr r="M41" s="29"/>
        <tr r="M41" s="29"/>
        <tr r="L41" s="29"/>
        <tr r="L41" s="29"/>
        <tr r="M40" s="29"/>
        <tr r="M40" s="29"/>
        <tr r="L40" s="29"/>
        <tr r="L40" s="29"/>
        <tr r="M39" s="29"/>
        <tr r="M39" s="29"/>
        <tr r="L39" s="29"/>
        <tr r="L39" s="29"/>
        <tr r="M38" s="29"/>
        <tr r="M38" s="29"/>
        <tr r="L38" s="29"/>
        <tr r="L38" s="29"/>
        <tr r="M37" s="29"/>
        <tr r="M37" s="29"/>
        <tr r="L37" s="29"/>
        <tr r="L37" s="29"/>
        <tr r="M36" s="29"/>
        <tr r="M36" s="29"/>
        <tr r="L36" s="29"/>
        <tr r="L36" s="29"/>
        <tr r="M35" s="29"/>
        <tr r="M35" s="29"/>
        <tr r="L35" s="29"/>
        <tr r="L35" s="29"/>
        <tr r="M34" s="29"/>
        <tr r="M34" s="29"/>
        <tr r="L34" s="29"/>
        <tr r="L34" s="29"/>
        <tr r="M33" s="29"/>
        <tr r="M33" s="29"/>
        <tr r="L33" s="29"/>
        <tr r="L33" s="29"/>
        <tr r="M32" s="29"/>
        <tr r="M32" s="29"/>
        <tr r="L32" s="29"/>
        <tr r="L32" s="29"/>
        <tr r="M31" s="29"/>
        <tr r="M31" s="29"/>
        <tr r="L31" s="29"/>
        <tr r="L31" s="29"/>
        <tr r="M30" s="29"/>
        <tr r="M30" s="29"/>
        <tr r="L30" s="29"/>
        <tr r="L30" s="29"/>
        <tr r="K521" s="29"/>
        <tr r="J521" s="29"/>
        <tr r="K520" s="29"/>
        <tr r="J520" s="29"/>
        <tr r="K519" s="29"/>
        <tr r="J519" s="29"/>
        <tr r="K518" s="29"/>
        <tr r="J518" s="29"/>
        <tr r="K517" s="29"/>
        <tr r="J517" s="29"/>
        <tr r="K516" s="29"/>
        <tr r="J516" s="29"/>
        <tr r="K515" s="29"/>
        <tr r="J515" s="29"/>
        <tr r="K514" s="29"/>
        <tr r="J514" s="29"/>
        <tr r="K513" s="29"/>
        <tr r="J513" s="29"/>
        <tr r="K512" s="29"/>
        <tr r="J512" s="29"/>
        <tr r="K511" s="29"/>
        <tr r="J511" s="29"/>
        <tr r="K510" s="29"/>
        <tr r="J510" s="29"/>
        <tr r="K509" s="29"/>
        <tr r="J509" s="29"/>
        <tr r="K508" s="29"/>
        <tr r="J508" s="29"/>
        <tr r="K507" s="29"/>
        <tr r="J507" s="29"/>
        <tr r="K506" s="29"/>
        <tr r="J506" s="29"/>
        <tr r="K505" s="29"/>
        <tr r="J505" s="29"/>
        <tr r="K504" s="29"/>
        <tr r="J504" s="29"/>
        <tr r="K503" s="29"/>
        <tr r="J503" s="29"/>
        <tr r="K502" s="29"/>
        <tr r="J502" s="29"/>
        <tr r="K501" s="29"/>
        <tr r="J501" s="29"/>
        <tr r="K500" s="29"/>
        <tr r="J500" s="29"/>
        <tr r="K499" s="29"/>
        <tr r="J499" s="29"/>
        <tr r="K498" s="29"/>
        <tr r="J498" s="29"/>
        <tr r="K497" s="29"/>
        <tr r="J497" s="29"/>
        <tr r="K496" s="29"/>
        <tr r="J496" s="29"/>
        <tr r="K495" s="29"/>
        <tr r="J495" s="29"/>
        <tr r="K494" s="29"/>
        <tr r="J494" s="29"/>
        <tr r="K493" s="29"/>
        <tr r="J493" s="29"/>
        <tr r="K492" s="29"/>
        <tr r="J492" s="29"/>
        <tr r="K491" s="29"/>
        <tr r="J491" s="29"/>
        <tr r="K490" s="29"/>
        <tr r="J490" s="29"/>
        <tr r="K489" s="29"/>
        <tr r="J489" s="29"/>
        <tr r="K488" s="29"/>
        <tr r="J488" s="29"/>
        <tr r="K487" s="29"/>
        <tr r="J487" s="29"/>
        <tr r="K486" s="29"/>
        <tr r="J486" s="29"/>
        <tr r="K485" s="29"/>
        <tr r="J485" s="29"/>
        <tr r="K484" s="29"/>
        <tr r="J484" s="29"/>
        <tr r="K483" s="29"/>
        <tr r="J483" s="29"/>
        <tr r="K482" s="29"/>
        <tr r="J482" s="29"/>
        <tr r="K481" s="29"/>
        <tr r="J481" s="29"/>
        <tr r="K480" s="29"/>
        <tr r="J480" s="29"/>
        <tr r="K479" s="29"/>
        <tr r="J479" s="29"/>
        <tr r="K478" s="29"/>
        <tr r="J478" s="29"/>
        <tr r="K477" s="29"/>
        <tr r="J477" s="29"/>
        <tr r="K476" s="29"/>
        <tr r="J476" s="29"/>
        <tr r="K475" s="29"/>
        <tr r="J475" s="29"/>
        <tr r="K474" s="29"/>
        <tr r="J474" s="29"/>
        <tr r="K473" s="29"/>
        <tr r="J473" s="29"/>
        <tr r="K472" s="29"/>
        <tr r="J472" s="29"/>
        <tr r="K471" s="29"/>
        <tr r="J471" s="29"/>
        <tr r="K470" s="29"/>
        <tr r="J470" s="29"/>
        <tr r="K469" s="29"/>
        <tr r="J469" s="29"/>
        <tr r="K468" s="29"/>
        <tr r="J468" s="29"/>
        <tr r="K467" s="29"/>
        <tr r="J467" s="29"/>
        <tr r="K466" s="29"/>
        <tr r="J466" s="29"/>
        <tr r="K465" s="29"/>
        <tr r="J465" s="29"/>
        <tr r="K464" s="29"/>
        <tr r="J464" s="29"/>
        <tr r="K463" s="29"/>
        <tr r="J463" s="29"/>
        <tr r="K462" s="29"/>
        <tr r="J462" s="29"/>
        <tr r="K461" s="29"/>
        <tr r="J461" s="29"/>
        <tr r="K460" s="29"/>
        <tr r="J460" s="29"/>
        <tr r="K459" s="29"/>
        <tr r="J459" s="29"/>
        <tr r="K458" s="29"/>
        <tr r="J458" s="29"/>
        <tr r="K457" s="29"/>
        <tr r="J457" s="29"/>
        <tr r="K456" s="29"/>
        <tr r="J456" s="29"/>
        <tr r="K455" s="29"/>
        <tr r="J455" s="29"/>
        <tr r="K454" s="29"/>
        <tr r="J454" s="29"/>
        <tr r="K453" s="29"/>
        <tr r="J453" s="29"/>
        <tr r="K452" s="29"/>
        <tr r="J452" s="29"/>
        <tr r="K451" s="29"/>
        <tr r="J451" s="29"/>
        <tr r="K450" s="29"/>
        <tr r="J450" s="29"/>
        <tr r="K449" s="29"/>
        <tr r="J449" s="29"/>
        <tr r="K448" s="29"/>
        <tr r="J448" s="29"/>
        <tr r="K447" s="29"/>
        <tr r="J447" s="29"/>
        <tr r="K446" s="29"/>
        <tr r="J446" s="29"/>
        <tr r="K445" s="29"/>
        <tr r="J445" s="29"/>
        <tr r="K444" s="29"/>
        <tr r="J444" s="29"/>
        <tr r="K443" s="29"/>
        <tr r="J443" s="29"/>
        <tr r="K442" s="29"/>
        <tr r="J442" s="29"/>
        <tr r="K441" s="29"/>
        <tr r="J441" s="29"/>
        <tr r="K440" s="29"/>
        <tr r="J440" s="29"/>
        <tr r="K439" s="29"/>
        <tr r="J439" s="29"/>
        <tr r="K438" s="29"/>
        <tr r="J438" s="29"/>
        <tr r="K437" s="29"/>
        <tr r="J437" s="29"/>
        <tr r="K436" s="29"/>
        <tr r="J436" s="29"/>
        <tr r="K435" s="29"/>
        <tr r="J435" s="29"/>
        <tr r="K434" s="29"/>
        <tr r="J434" s="29"/>
        <tr r="K433" s="29"/>
        <tr r="J433" s="29"/>
        <tr r="K432" s="29"/>
        <tr r="J432" s="29"/>
        <tr r="K431" s="29"/>
        <tr r="J431" s="29"/>
        <tr r="K430" s="29"/>
        <tr r="J430" s="29"/>
        <tr r="K429" s="29"/>
        <tr r="J429" s="29"/>
        <tr r="K428" s="29"/>
        <tr r="J428" s="29"/>
        <tr r="K427" s="29"/>
        <tr r="J427" s="29"/>
        <tr r="K426" s="29"/>
        <tr r="J426" s="29"/>
        <tr r="K425" s="29"/>
        <tr r="J425" s="29"/>
        <tr r="K424" s="29"/>
        <tr r="J424" s="29"/>
        <tr r="K423" s="29"/>
        <tr r="J423" s="29"/>
        <tr r="K422" s="29"/>
        <tr r="J422" s="29"/>
        <tr r="K421" s="29"/>
        <tr r="J421" s="29"/>
        <tr r="K420" s="29"/>
        <tr r="J420" s="29"/>
        <tr r="K419" s="29"/>
        <tr r="J419" s="29"/>
        <tr r="K418" s="29"/>
        <tr r="J418" s="29"/>
        <tr r="K417" s="29"/>
        <tr r="J417" s="29"/>
        <tr r="K416" s="29"/>
        <tr r="J416" s="29"/>
        <tr r="K415" s="29"/>
        <tr r="J415" s="29"/>
        <tr r="K414" s="29"/>
        <tr r="J414" s="29"/>
        <tr r="K413" s="29"/>
        <tr r="J413" s="29"/>
        <tr r="K412" s="29"/>
        <tr r="J412" s="29"/>
        <tr r="K411" s="29"/>
        <tr r="J411" s="29"/>
        <tr r="K410" s="29"/>
        <tr r="J410" s="29"/>
        <tr r="K409" s="29"/>
        <tr r="J409" s="29"/>
        <tr r="K408" s="29"/>
        <tr r="J408" s="29"/>
        <tr r="K407" s="29"/>
        <tr r="J407" s="29"/>
        <tr r="K406" s="29"/>
        <tr r="J406" s="29"/>
        <tr r="K405" s="29"/>
        <tr r="J405" s="29"/>
        <tr r="K404" s="29"/>
        <tr r="J404" s="29"/>
        <tr r="K403" s="29"/>
        <tr r="J403" s="29"/>
        <tr r="K402" s="29"/>
        <tr r="J402" s="29"/>
        <tr r="K401" s="29"/>
        <tr r="J401" s="29"/>
        <tr r="K400" s="29"/>
        <tr r="J400" s="29"/>
        <tr r="K399" s="29"/>
        <tr r="J399" s="29"/>
        <tr r="K398" s="29"/>
        <tr r="J398" s="29"/>
        <tr r="K397" s="29"/>
        <tr r="J397" s="29"/>
        <tr r="K396" s="29"/>
        <tr r="J396" s="29"/>
        <tr r="K395" s="29"/>
        <tr r="J395" s="29"/>
        <tr r="K394" s="29"/>
        <tr r="J394" s="29"/>
        <tr r="K393" s="29"/>
        <tr r="J393" s="29"/>
        <tr r="K392" s="29"/>
        <tr r="J392" s="29"/>
        <tr r="K391" s="29"/>
        <tr r="J391" s="29"/>
        <tr r="K390" s="29"/>
        <tr r="J390" s="29"/>
        <tr r="K389" s="29"/>
        <tr r="J389" s="29"/>
        <tr r="K388" s="29"/>
        <tr r="J388" s="29"/>
        <tr r="K387" s="29"/>
        <tr r="J387" s="29"/>
        <tr r="K386" s="29"/>
        <tr r="J386" s="29"/>
        <tr r="K385" s="29"/>
        <tr r="J385" s="29"/>
        <tr r="K384" s="29"/>
        <tr r="J384" s="29"/>
        <tr r="K383" s="29"/>
        <tr r="J383" s="29"/>
        <tr r="K382" s="29"/>
        <tr r="J382" s="29"/>
        <tr r="K381" s="29"/>
        <tr r="J381" s="29"/>
        <tr r="K380" s="29"/>
        <tr r="J380" s="29"/>
        <tr r="K379" s="29"/>
        <tr r="J379" s="29"/>
        <tr r="K378" s="29"/>
        <tr r="J378" s="29"/>
        <tr r="K377" s="29"/>
        <tr r="J377" s="29"/>
        <tr r="K376" s="29"/>
        <tr r="J376" s="29"/>
        <tr r="K375" s="29"/>
        <tr r="J375" s="29"/>
        <tr r="K374" s="29"/>
        <tr r="J374" s="29"/>
        <tr r="K373" s="29"/>
        <tr r="J373" s="29"/>
        <tr r="K372" s="29"/>
        <tr r="J372" s="29"/>
        <tr r="K371" s="29"/>
        <tr r="J371" s="29"/>
        <tr r="K370" s="29"/>
        <tr r="J370" s="29"/>
        <tr r="K369" s="29"/>
        <tr r="J369" s="29"/>
        <tr r="K368" s="29"/>
        <tr r="J368" s="29"/>
        <tr r="K367" s="29"/>
        <tr r="J367" s="29"/>
        <tr r="K366" s="29"/>
        <tr r="J366" s="29"/>
        <tr r="K365" s="29"/>
        <tr r="J365" s="29"/>
        <tr r="K364" s="29"/>
        <tr r="J364" s="29"/>
        <tr r="K363" s="29"/>
        <tr r="J363" s="29"/>
        <tr r="K362" s="29"/>
        <tr r="J362" s="29"/>
        <tr r="K361" s="29"/>
        <tr r="J361" s="29"/>
        <tr r="K360" s="29"/>
        <tr r="J360" s="29"/>
        <tr r="K359" s="29"/>
        <tr r="J359" s="29"/>
        <tr r="K358" s="29"/>
        <tr r="J358" s="29"/>
        <tr r="K357" s="29"/>
        <tr r="J357" s="29"/>
        <tr r="K356" s="29"/>
        <tr r="J356" s="29"/>
        <tr r="K355" s="29"/>
        <tr r="J355" s="29"/>
        <tr r="K354" s="29"/>
        <tr r="J354" s="29"/>
        <tr r="K353" s="29"/>
        <tr r="J353" s="29"/>
        <tr r="K352" s="29"/>
        <tr r="J352" s="29"/>
        <tr r="K351" s="29"/>
        <tr r="J351" s="29"/>
        <tr r="K350" s="29"/>
        <tr r="J350" s="29"/>
        <tr r="K349" s="29"/>
        <tr r="J349" s="29"/>
        <tr r="K348" s="29"/>
        <tr r="J348" s="29"/>
        <tr r="K347" s="29"/>
        <tr r="J347" s="29"/>
        <tr r="K346" s="29"/>
        <tr r="J346" s="29"/>
        <tr r="K345" s="29"/>
        <tr r="J345" s="29"/>
        <tr r="K344" s="29"/>
        <tr r="J344" s="29"/>
        <tr r="K343" s="29"/>
        <tr r="J343" s="29"/>
        <tr r="K342" s="29"/>
        <tr r="J342" s="29"/>
        <tr r="K341" s="29"/>
        <tr r="J341" s="29"/>
        <tr r="K340" s="29"/>
        <tr r="J340" s="29"/>
        <tr r="K339" s="29"/>
        <tr r="J339" s="29"/>
        <tr r="K338" s="29"/>
        <tr r="J338" s="29"/>
        <tr r="K337" s="29"/>
        <tr r="J337" s="29"/>
        <tr r="K336" s="29"/>
        <tr r="J336" s="29"/>
        <tr r="K335" s="29"/>
        <tr r="J335" s="29"/>
        <tr r="K334" s="29"/>
        <tr r="J334" s="29"/>
        <tr r="K333" s="29"/>
        <tr r="J333" s="29"/>
        <tr r="K332" s="29"/>
        <tr r="J332" s="29"/>
        <tr r="K331" s="29"/>
        <tr r="J331" s="29"/>
        <tr r="K330" s="29"/>
        <tr r="J330" s="29"/>
        <tr r="K329" s="29"/>
        <tr r="J329" s="29"/>
        <tr r="K328" s="29"/>
        <tr r="J328" s="29"/>
        <tr r="K327" s="29"/>
        <tr r="J327" s="29"/>
        <tr r="K326" s="29"/>
        <tr r="J326" s="29"/>
        <tr r="K325" s="29"/>
        <tr r="J325" s="29"/>
        <tr r="K324" s="29"/>
        <tr r="J324" s="29"/>
        <tr r="K323" s="29"/>
        <tr r="J323" s="29"/>
        <tr r="K322" s="29"/>
        <tr r="J322" s="29"/>
        <tr r="K321" s="29"/>
        <tr r="J321" s="29"/>
        <tr r="K320" s="29"/>
        <tr r="J320" s="29"/>
        <tr r="K319" s="29"/>
        <tr r="J319" s="29"/>
        <tr r="K318" s="29"/>
        <tr r="J318" s="29"/>
        <tr r="K317" s="29"/>
        <tr r="J317" s="29"/>
        <tr r="K316" s="29"/>
        <tr r="J316" s="29"/>
        <tr r="K315" s="29"/>
        <tr r="J315" s="29"/>
        <tr r="K314" s="29"/>
        <tr r="J314" s="29"/>
        <tr r="K313" s="29"/>
        <tr r="J313" s="29"/>
        <tr r="K312" s="29"/>
        <tr r="J312" s="29"/>
        <tr r="K311" s="29"/>
        <tr r="J311" s="29"/>
        <tr r="K310" s="29"/>
        <tr r="J310" s="29"/>
        <tr r="K309" s="29"/>
        <tr r="J309" s="29"/>
        <tr r="K308" s="29"/>
        <tr r="J308" s="29"/>
        <tr r="K307" s="29"/>
        <tr r="J307" s="29"/>
        <tr r="K306" s="29"/>
        <tr r="J306" s="29"/>
        <tr r="K305" s="29"/>
        <tr r="J305" s="29"/>
        <tr r="K304" s="29"/>
        <tr r="J304" s="29"/>
        <tr r="K303" s="29"/>
        <tr r="J303" s="29"/>
        <tr r="K302" s="29"/>
        <tr r="J302" s="29"/>
        <tr r="K301" s="29"/>
        <tr r="J301" s="29"/>
        <tr r="K300" s="29"/>
        <tr r="J300" s="29"/>
        <tr r="K299" s="29"/>
        <tr r="J299" s="29"/>
        <tr r="K298" s="29"/>
        <tr r="J298" s="29"/>
        <tr r="K297" s="29"/>
        <tr r="J297" s="29"/>
        <tr r="K296" s="29"/>
        <tr r="J296" s="29"/>
        <tr r="K295" s="29"/>
        <tr r="J295" s="29"/>
        <tr r="K294" s="29"/>
        <tr r="J294" s="29"/>
        <tr r="K293" s="29"/>
        <tr r="J293" s="29"/>
        <tr r="K292" s="29"/>
        <tr r="J292" s="29"/>
        <tr r="K291" s="29"/>
        <tr r="J291" s="29"/>
        <tr r="K290" s="29"/>
        <tr r="J290" s="29"/>
        <tr r="K289" s="29"/>
        <tr r="J289" s="29"/>
        <tr r="K288" s="29"/>
        <tr r="J288" s="29"/>
        <tr r="K287" s="29"/>
        <tr r="J287" s="29"/>
        <tr r="K286" s="29"/>
        <tr r="J286" s="29"/>
        <tr r="K285" s="29"/>
        <tr r="J285" s="29"/>
        <tr r="K284" s="29"/>
        <tr r="J284" s="29"/>
        <tr r="K283" s="29"/>
        <tr r="J283" s="29"/>
        <tr r="K282" s="29"/>
        <tr r="J282" s="29"/>
        <tr r="K281" s="29"/>
        <tr r="J281" s="29"/>
        <tr r="K280" s="29"/>
        <tr r="J280" s="29"/>
        <tr r="K279" s="29"/>
        <tr r="J279" s="29"/>
        <tr r="K278" s="29"/>
        <tr r="J278" s="29"/>
        <tr r="K277" s="29"/>
        <tr r="J277" s="29"/>
        <tr r="K276" s="29"/>
        <tr r="J276" s="29"/>
        <tr r="K275" s="29"/>
        <tr r="J275" s="29"/>
        <tr r="K274" s="29"/>
        <tr r="J274" s="29"/>
        <tr r="K273" s="29"/>
        <tr r="J273" s="29"/>
        <tr r="K272" s="29"/>
        <tr r="J272" s="29"/>
        <tr r="K271" s="29"/>
        <tr r="J271" s="29"/>
        <tr r="K270" s="29"/>
        <tr r="J270" s="29"/>
        <tr r="K269" s="29"/>
        <tr r="J269" s="29"/>
        <tr r="K268" s="29"/>
        <tr r="J268" s="29"/>
        <tr r="K267" s="29"/>
        <tr r="J267" s="29"/>
        <tr r="K266" s="29"/>
        <tr r="J266" s="29"/>
        <tr r="K265" s="29"/>
        <tr r="J265" s="29"/>
        <tr r="K264" s="29"/>
        <tr r="J264" s="29"/>
        <tr r="K263" s="29"/>
        <tr r="J263" s="29"/>
        <tr r="K262" s="29"/>
        <tr r="J262" s="29"/>
        <tr r="K261" s="29"/>
        <tr r="J261" s="29"/>
        <tr r="K260" s="29"/>
        <tr r="J260" s="29"/>
        <tr r="K259" s="29"/>
        <tr r="J259" s="29"/>
        <tr r="K258" s="29"/>
        <tr r="J258" s="29"/>
        <tr r="K257" s="29"/>
        <tr r="J257" s="29"/>
        <tr r="K256" s="29"/>
        <tr r="J256" s="29"/>
        <tr r="K255" s="29"/>
        <tr r="J255" s="29"/>
        <tr r="K254" s="29"/>
        <tr r="J254" s="29"/>
        <tr r="K253" s="29"/>
        <tr r="J253" s="29"/>
        <tr r="K252" s="29"/>
        <tr r="J252" s="29"/>
        <tr r="K251" s="29"/>
        <tr r="J251" s="29"/>
        <tr r="K250" s="29"/>
        <tr r="J250" s="29"/>
        <tr r="K249" s="29"/>
        <tr r="J249" s="29"/>
        <tr r="K248" s="29"/>
        <tr r="J248" s="29"/>
        <tr r="K247" s="29"/>
        <tr r="J247" s="29"/>
        <tr r="K246" s="29"/>
        <tr r="J246" s="29"/>
        <tr r="K245" s="29"/>
        <tr r="J245" s="29"/>
        <tr r="K244" s="29"/>
        <tr r="J244" s="29"/>
        <tr r="K243" s="29"/>
        <tr r="J243" s="29"/>
        <tr r="K242" s="29"/>
        <tr r="J242" s="29"/>
        <tr r="K241" s="29"/>
        <tr r="J241" s="29"/>
        <tr r="K240" s="29"/>
        <tr r="J240" s="29"/>
        <tr r="K239" s="29"/>
        <tr r="J239" s="29"/>
        <tr r="K238" s="29"/>
        <tr r="J238" s="29"/>
        <tr r="K237" s="29"/>
        <tr r="J237" s="29"/>
        <tr r="K236" s="29"/>
        <tr r="J236" s="29"/>
        <tr r="K235" s="29"/>
        <tr r="J235" s="29"/>
        <tr r="K234" s="29"/>
        <tr r="J234" s="29"/>
        <tr r="K233" s="29"/>
        <tr r="J233" s="29"/>
        <tr r="K232" s="29"/>
        <tr r="J232" s="29"/>
        <tr r="K231" s="29"/>
        <tr r="J231" s="29"/>
        <tr r="K230" s="29"/>
        <tr r="J230" s="29"/>
        <tr r="K229" s="29"/>
        <tr r="J229" s="29"/>
        <tr r="K228" s="29"/>
        <tr r="J228" s="29"/>
        <tr r="K227" s="29"/>
        <tr r="J227" s="29"/>
        <tr r="K226" s="29"/>
        <tr r="J226" s="29"/>
        <tr r="K225" s="29"/>
        <tr r="J225" s="29"/>
        <tr r="K224" s="29"/>
        <tr r="J224" s="29"/>
        <tr r="K223" s="29"/>
        <tr r="J223" s="29"/>
        <tr r="K222" s="29"/>
        <tr r="J222" s="29"/>
        <tr r="K221" s="29"/>
        <tr r="J221" s="29"/>
        <tr r="K220" s="29"/>
        <tr r="J220" s="29"/>
        <tr r="K219" s="29"/>
        <tr r="J219" s="29"/>
        <tr r="K218" s="29"/>
        <tr r="J218" s="29"/>
        <tr r="K217" s="29"/>
        <tr r="J217" s="29"/>
        <tr r="K216" s="29"/>
        <tr r="J216" s="29"/>
        <tr r="K215" s="29"/>
        <tr r="J215" s="29"/>
        <tr r="K214" s="29"/>
        <tr r="J214" s="29"/>
        <tr r="K213" s="29"/>
        <tr r="J213" s="29"/>
        <tr r="K212" s="29"/>
        <tr r="J212" s="29"/>
        <tr r="K211" s="29"/>
        <tr r="J211" s="29"/>
        <tr r="K210" s="29"/>
        <tr r="J210" s="29"/>
        <tr r="K209" s="29"/>
        <tr r="J209" s="29"/>
        <tr r="K208" s="29"/>
        <tr r="J208" s="29"/>
        <tr r="K207" s="29"/>
        <tr r="J207" s="29"/>
        <tr r="K206" s="29"/>
        <tr r="J206" s="29"/>
        <tr r="K205" s="29"/>
        <tr r="J205" s="29"/>
        <tr r="K204" s="29"/>
        <tr r="J204" s="29"/>
        <tr r="K203" s="29"/>
        <tr r="J203" s="29"/>
        <tr r="K202" s="29"/>
        <tr r="J202" s="29"/>
        <tr r="K201" s="29"/>
        <tr r="J201" s="29"/>
        <tr r="K200" s="29"/>
        <tr r="J200" s="29"/>
        <tr r="K199" s="29"/>
        <tr r="J199" s="29"/>
        <tr r="K198" s="29"/>
        <tr r="J198" s="29"/>
        <tr r="K197" s="29"/>
        <tr r="J197" s="29"/>
        <tr r="K196" s="29"/>
        <tr r="J196" s="29"/>
        <tr r="K195" s="29"/>
        <tr r="J195" s="29"/>
        <tr r="K194" s="29"/>
        <tr r="J194" s="29"/>
        <tr r="K193" s="29"/>
        <tr r="J193" s="29"/>
        <tr r="K192" s="29"/>
        <tr r="J192" s="29"/>
        <tr r="K191" s="29"/>
        <tr r="J191" s="29"/>
        <tr r="K190" s="29"/>
        <tr r="J190" s="29"/>
        <tr r="K189" s="29"/>
        <tr r="J189" s="29"/>
        <tr r="K188" s="29"/>
        <tr r="J188" s="29"/>
        <tr r="K187" s="29"/>
        <tr r="J187" s="29"/>
        <tr r="K186" s="29"/>
        <tr r="J186" s="29"/>
        <tr r="K185" s="29"/>
        <tr r="J185" s="29"/>
        <tr r="K184" s="29"/>
        <tr r="J184" s="29"/>
        <tr r="K183" s="29"/>
        <tr r="J183" s="29"/>
        <tr r="K182" s="29"/>
        <tr r="J182" s="29"/>
        <tr r="K181" s="29"/>
        <tr r="J181" s="29"/>
        <tr r="K180" s="29"/>
        <tr r="J180" s="29"/>
        <tr r="K179" s="29"/>
        <tr r="J179" s="29"/>
        <tr r="K178" s="29"/>
        <tr r="J178" s="29"/>
        <tr r="K177" s="29"/>
        <tr r="J177" s="29"/>
        <tr r="K176" s="29"/>
        <tr r="J176" s="29"/>
        <tr r="K175" s="29"/>
        <tr r="J175" s="29"/>
        <tr r="K174" s="29"/>
        <tr r="J174" s="29"/>
        <tr r="K173" s="29"/>
        <tr r="J173" s="29"/>
        <tr r="K172" s="29"/>
        <tr r="J172" s="29"/>
        <tr r="K171" s="29"/>
        <tr r="J171" s="29"/>
        <tr r="K170" s="29"/>
        <tr r="J170" s="29"/>
        <tr r="K169" s="29"/>
        <tr r="J169" s="29"/>
        <tr r="K168" s="29"/>
        <tr r="J168" s="29"/>
        <tr r="K167" s="29"/>
        <tr r="J167" s="29"/>
        <tr r="K166" s="29"/>
        <tr r="J166" s="29"/>
        <tr r="K165" s="29"/>
        <tr r="J165" s="29"/>
        <tr r="K164" s="29"/>
        <tr r="J164" s="29"/>
        <tr r="K163" s="29"/>
        <tr r="J163" s="29"/>
        <tr r="K162" s="29"/>
        <tr r="J162" s="29"/>
        <tr r="K161" s="29"/>
        <tr r="J161" s="29"/>
        <tr r="K160" s="29"/>
        <tr r="J160" s="29"/>
        <tr r="K159" s="29"/>
        <tr r="J159" s="29"/>
        <tr r="K158" s="29"/>
        <tr r="J158" s="29"/>
        <tr r="K157" s="29"/>
        <tr r="J157" s="29"/>
        <tr r="K156" s="29"/>
        <tr r="J156" s="29"/>
        <tr r="K155" s="29"/>
        <tr r="J155" s="29"/>
        <tr r="K154" s="29"/>
        <tr r="J154" s="29"/>
        <tr r="K153" s="29"/>
        <tr r="J153" s="29"/>
        <tr r="K152" s="29"/>
        <tr r="J152" s="29"/>
        <tr r="K151" s="29"/>
        <tr r="J151" s="29"/>
        <tr r="K150" s="29"/>
        <tr r="J150" s="29"/>
        <tr r="K149" s="29"/>
        <tr r="J149" s="29"/>
        <tr r="K148" s="29"/>
        <tr r="J148" s="29"/>
        <tr r="K147" s="29"/>
        <tr r="J147" s="29"/>
        <tr r="K146" s="29"/>
        <tr r="J146" s="29"/>
        <tr r="K145" s="29"/>
        <tr r="J145" s="29"/>
        <tr r="K144" s="29"/>
        <tr r="J144" s="29"/>
        <tr r="K143" s="29"/>
        <tr r="J143" s="29"/>
        <tr r="K142" s="29"/>
        <tr r="J142" s="29"/>
        <tr r="K141" s="29"/>
        <tr r="J141" s="29"/>
        <tr r="K140" s="29"/>
        <tr r="J140" s="29"/>
        <tr r="K139" s="29"/>
        <tr r="J139" s="29"/>
        <tr r="K138" s="29"/>
        <tr r="J138" s="29"/>
        <tr r="K137" s="29"/>
        <tr r="J137" s="29"/>
        <tr r="K136" s="29"/>
        <tr r="J136" s="29"/>
        <tr r="K135" s="29"/>
        <tr r="J135" s="29"/>
        <tr r="K134" s="29"/>
        <tr r="J134" s="29"/>
        <tr r="K133" s="29"/>
        <tr r="J133" s="29"/>
        <tr r="K132" s="29"/>
        <tr r="J132" s="29"/>
        <tr r="K131" s="29"/>
        <tr r="J131" s="29"/>
        <tr r="K130" s="29"/>
        <tr r="J130" s="29"/>
        <tr r="K129" s="29"/>
        <tr r="J129" s="29"/>
        <tr r="K128" s="29"/>
        <tr r="J128" s="29"/>
        <tr r="K127" s="29"/>
        <tr r="J127" s="29"/>
        <tr r="K126" s="29"/>
        <tr r="J126" s="29"/>
        <tr r="K125" s="29"/>
        <tr r="J125" s="29"/>
        <tr r="K124" s="29"/>
        <tr r="J124" s="29"/>
        <tr r="K123" s="29"/>
        <tr r="J123" s="29"/>
        <tr r="K122" s="29"/>
        <tr r="J122" s="29"/>
        <tr r="K121" s="29"/>
        <tr r="J121" s="29"/>
        <tr r="K120" s="29"/>
        <tr r="J120" s="29"/>
        <tr r="K119" s="29"/>
        <tr r="J119" s="29"/>
        <tr r="K118" s="29"/>
        <tr r="J118" s="29"/>
        <tr r="K117" s="29"/>
        <tr r="J117" s="29"/>
        <tr r="K116" s="29"/>
        <tr r="J116" s="29"/>
        <tr r="K115" s="29"/>
        <tr r="J115" s="29"/>
        <tr r="K114" s="29"/>
        <tr r="J114" s="29"/>
        <tr r="K113" s="29"/>
        <tr r="J113" s="29"/>
        <tr r="K112" s="29"/>
        <tr r="J112" s="29"/>
        <tr r="K111" s="29"/>
        <tr r="J111" s="29"/>
        <tr r="K110" s="29"/>
        <tr r="J110" s="29"/>
        <tr r="K109" s="29"/>
        <tr r="J109" s="29"/>
        <tr r="K108" s="29"/>
        <tr r="J108" s="29"/>
        <tr r="K107" s="29"/>
        <tr r="J107" s="29"/>
        <tr r="K106" s="29"/>
        <tr r="J106" s="29"/>
        <tr r="K105" s="29"/>
        <tr r="J105" s="29"/>
        <tr r="K104" s="29"/>
        <tr r="J104" s="29"/>
        <tr r="K103" s="29"/>
        <tr r="J103" s="29"/>
        <tr r="K102" s="29"/>
        <tr r="J102" s="29"/>
        <tr r="K101" s="29"/>
        <tr r="J101" s="29"/>
        <tr r="K100" s="29"/>
        <tr r="J100" s="29"/>
        <tr r="K99" s="29"/>
        <tr r="J99" s="29"/>
        <tr r="K98" s="29"/>
        <tr r="J98" s="29"/>
        <tr r="K97" s="29"/>
        <tr r="J97" s="29"/>
        <tr r="K96" s="29"/>
        <tr r="J96" s="29"/>
        <tr r="K95" s="29"/>
        <tr r="J95" s="29"/>
        <tr r="K94" s="29"/>
        <tr r="J94" s="29"/>
        <tr r="K93" s="29"/>
        <tr r="J93" s="29"/>
        <tr r="K92" s="29"/>
        <tr r="J92" s="29"/>
        <tr r="K91" s="29"/>
        <tr r="J91" s="29"/>
        <tr r="K90" s="29"/>
        <tr r="J90" s="29"/>
        <tr r="K89" s="29"/>
        <tr r="J89" s="29"/>
        <tr r="K88" s="29"/>
        <tr r="J88" s="29"/>
        <tr r="K87" s="29"/>
        <tr r="J87" s="29"/>
        <tr r="K86" s="29"/>
        <tr r="J86" s="29"/>
        <tr r="K85" s="29"/>
        <tr r="J85" s="29"/>
        <tr r="K84" s="29"/>
        <tr r="J84" s="29"/>
        <tr r="K83" s="29"/>
        <tr r="J83" s="29"/>
        <tr r="K82" s="29"/>
        <tr r="J82" s="29"/>
        <tr r="K81" s="29"/>
        <tr r="J81" s="29"/>
        <tr r="K80" s="29"/>
        <tr r="J80" s="29"/>
        <tr r="K79" s="29"/>
        <tr r="J79" s="29"/>
        <tr r="K78" s="29"/>
        <tr r="J78" s="29"/>
        <tr r="K77" s="29"/>
        <tr r="J77" s="29"/>
        <tr r="K76" s="29"/>
        <tr r="J76" s="29"/>
        <tr r="K75" s="29"/>
        <tr r="J75" s="29"/>
        <tr r="K74" s="29"/>
        <tr r="J74" s="29"/>
        <tr r="K73" s="29"/>
        <tr r="J73" s="29"/>
        <tr r="K72" s="29"/>
        <tr r="J72" s="29"/>
        <tr r="K71" s="29"/>
        <tr r="J71" s="29"/>
        <tr r="K70" s="29"/>
        <tr r="J70" s="29"/>
        <tr r="K69" s="29"/>
        <tr r="J69" s="29"/>
        <tr r="K68" s="29"/>
        <tr r="J68" s="29"/>
        <tr r="K67" s="29"/>
        <tr r="J67" s="29"/>
        <tr r="K66" s="29"/>
        <tr r="J66" s="29"/>
        <tr r="K65" s="29"/>
        <tr r="J65" s="29"/>
        <tr r="K64" s="29"/>
        <tr r="J64" s="29"/>
        <tr r="K63" s="29"/>
        <tr r="J63" s="29"/>
        <tr r="K62" s="29"/>
        <tr r="J62" s="29"/>
        <tr r="K61" s="29"/>
        <tr r="J61" s="29"/>
        <tr r="K60" s="29"/>
        <tr r="J60" s="29"/>
        <tr r="K59" s="29"/>
        <tr r="J59" s="29"/>
        <tr r="K58" s="29"/>
        <tr r="J58" s="29"/>
        <tr r="K57" s="29"/>
        <tr r="J57" s="29"/>
        <tr r="K56" s="29"/>
        <tr r="J56" s="29"/>
        <tr r="K55" s="29"/>
        <tr r="J55" s="29"/>
        <tr r="K54" s="29"/>
        <tr r="J54" s="29"/>
        <tr r="K53" s="29"/>
        <tr r="J53" s="29"/>
        <tr r="K52" s="29"/>
        <tr r="J52" s="29"/>
        <tr r="K51" s="29"/>
        <tr r="J51" s="29"/>
        <tr r="K50" s="29"/>
        <tr r="J50" s="29"/>
        <tr r="K49" s="29"/>
        <tr r="J49" s="29"/>
        <tr r="K48" s="29"/>
        <tr r="J48" s="29"/>
        <tr r="K47" s="29"/>
        <tr r="J47" s="29"/>
        <tr r="K46" s="29"/>
        <tr r="J46" s="29"/>
        <tr r="K45" s="29"/>
        <tr r="J45" s="29"/>
        <tr r="K44" s="29"/>
        <tr r="J44" s="29"/>
        <tr r="K43" s="29"/>
        <tr r="J43" s="29"/>
        <tr r="K42" s="29"/>
        <tr r="J42" s="29"/>
        <tr r="K41" s="29"/>
        <tr r="K40" s="29"/>
        <tr r="K39" s="29"/>
        <tr r="J39" s="29"/>
        <tr r="K38" s="29"/>
        <tr r="J38" s="29"/>
        <tr r="K37" s="29"/>
        <tr r="J37" s="29"/>
        <tr r="K36" s="29"/>
        <tr r="J36" s="29"/>
        <tr r="K35" s="29"/>
        <tr r="J35" s="29"/>
        <tr r="K34" s="29"/>
        <tr r="J34" s="29"/>
        <tr r="K33" s="29"/>
        <tr r="J33" s="29"/>
        <tr r="K32" s="29"/>
        <tr r="J32" s="29"/>
        <tr r="K31" s="29"/>
        <tr r="J31" s="29"/>
        <tr r="K30" s="29"/>
        <tr r="J30" s="29"/>
        <tr r="M29" s="29"/>
        <tr r="L29" s="29"/>
        <tr r="J41" s="29"/>
        <tr r="J40" s="29"/>
      </tp>
    </main>
  </volType>
</volTypes>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89" Type="http://schemas.openxmlformats.org/officeDocument/2006/relationships/customXml" Target="../customXml/item47.xml"/><Relationship Id="rId16" Type="http://schemas.openxmlformats.org/officeDocument/2006/relationships/pivotCacheDefinition" Target="pivotCache/pivotCacheDefinition5.xml"/><Relationship Id="rId107" Type="http://schemas.openxmlformats.org/officeDocument/2006/relationships/customXml" Target="../customXml/item65.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openxmlformats.org/officeDocument/2006/relationships/connections" Target="connections.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102" Type="http://schemas.openxmlformats.org/officeDocument/2006/relationships/customXml" Target="../customXml/item60.xml"/><Relationship Id="rId5" Type="http://schemas.openxmlformats.org/officeDocument/2006/relationships/worksheet" Target="worksheets/sheet5.xml"/><Relationship Id="rId90" Type="http://schemas.openxmlformats.org/officeDocument/2006/relationships/customXml" Target="../customXml/item48.xml"/><Relationship Id="rId95" Type="http://schemas.openxmlformats.org/officeDocument/2006/relationships/customXml" Target="../customXml/item5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customXml" Target="../customXml/item1.xml"/><Relationship Id="rId48" Type="http://schemas.openxmlformats.org/officeDocument/2006/relationships/customXml" Target="../customXml/item6.xml"/><Relationship Id="rId64" Type="http://schemas.openxmlformats.org/officeDocument/2006/relationships/customXml" Target="../customXml/item22.xml"/><Relationship Id="rId69" Type="http://schemas.openxmlformats.org/officeDocument/2006/relationships/customXml" Target="../customXml/item27.xml"/><Relationship Id="rId80" Type="http://schemas.openxmlformats.org/officeDocument/2006/relationships/customXml" Target="../customXml/item38.xml"/><Relationship Id="rId85" Type="http://schemas.openxmlformats.org/officeDocument/2006/relationships/customXml" Target="../customXml/item4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microsoft.com/office/2007/relationships/slicerCache" Target="slicerCaches/slicerCache1.xml"/><Relationship Id="rId38" Type="http://schemas.openxmlformats.org/officeDocument/2006/relationships/styles" Target="styles.xml"/><Relationship Id="rId59" Type="http://schemas.openxmlformats.org/officeDocument/2006/relationships/customXml" Target="../customXml/item17.xml"/><Relationship Id="rId103" Type="http://schemas.openxmlformats.org/officeDocument/2006/relationships/customXml" Target="../customXml/item61.xml"/><Relationship Id="rId108" Type="http://schemas.openxmlformats.org/officeDocument/2006/relationships/customXml" Target="../customXml/item66.xml"/><Relationship Id="rId54" Type="http://schemas.openxmlformats.org/officeDocument/2006/relationships/customXml" Target="../customXml/item12.xml"/><Relationship Id="rId70" Type="http://schemas.openxmlformats.org/officeDocument/2006/relationships/customXml" Target="../customXml/item28.xml"/><Relationship Id="rId75" Type="http://schemas.openxmlformats.org/officeDocument/2006/relationships/customXml" Target="../customXml/item33.xml"/><Relationship Id="rId91" Type="http://schemas.openxmlformats.org/officeDocument/2006/relationships/customXml" Target="../customXml/item49.xml"/><Relationship Id="rId96"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6" Type="http://schemas.openxmlformats.org/officeDocument/2006/relationships/customXml" Target="../customXml/item64.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94" Type="http://schemas.openxmlformats.org/officeDocument/2006/relationships/customXml" Target="../customXml/item52.xml"/><Relationship Id="rId99" Type="http://schemas.openxmlformats.org/officeDocument/2006/relationships/customXml" Target="../customXml/item57.xml"/><Relationship Id="rId101" Type="http://schemas.openxmlformats.org/officeDocument/2006/relationships/customXml" Target="../customXml/item5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sharedStrings" Target="sharedStrings.xml"/><Relationship Id="rId109" Type="http://schemas.openxmlformats.org/officeDocument/2006/relationships/customXml" Target="../customXml/item67.xml"/><Relationship Id="rId34" Type="http://schemas.microsoft.com/office/2007/relationships/slicerCache" Target="slicerCaches/slicerCache2.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97" Type="http://schemas.openxmlformats.org/officeDocument/2006/relationships/customXml" Target="../customXml/item55.xml"/><Relationship Id="rId104" Type="http://schemas.openxmlformats.org/officeDocument/2006/relationships/customXml" Target="../customXml/item62.xml"/><Relationship Id="rId7" Type="http://schemas.openxmlformats.org/officeDocument/2006/relationships/worksheet" Target="worksheets/sheet7.xml"/><Relationship Id="rId71" Type="http://schemas.openxmlformats.org/officeDocument/2006/relationships/customXml" Target="../customXml/item29.xml"/><Relationship Id="rId92" Type="http://schemas.openxmlformats.org/officeDocument/2006/relationships/customXml" Target="../customXml/item50.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sheetMetadata" Target="metadata.xml"/><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110" Type="http://schemas.openxmlformats.org/officeDocument/2006/relationships/customXml" Target="../customXml/item68.xml"/><Relationship Id="rId61" Type="http://schemas.openxmlformats.org/officeDocument/2006/relationships/customXml" Target="../customXml/item19.xml"/><Relationship Id="rId82" Type="http://schemas.openxmlformats.org/officeDocument/2006/relationships/customXml" Target="../customXml/item40.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microsoft.com/office/2007/relationships/slicerCache" Target="slicerCaches/slicerCache3.xml"/><Relationship Id="rId56" Type="http://schemas.openxmlformats.org/officeDocument/2006/relationships/customXml" Target="../customXml/item14.xml"/><Relationship Id="rId77" Type="http://schemas.openxmlformats.org/officeDocument/2006/relationships/customXml" Target="../customXml/item35.xml"/><Relationship Id="rId100" Type="http://schemas.openxmlformats.org/officeDocument/2006/relationships/customXml" Target="../customXml/item58.xml"/><Relationship Id="rId105" Type="http://schemas.openxmlformats.org/officeDocument/2006/relationships/customXml" Target="../customXml/item63.xml"/><Relationship Id="rId8" Type="http://schemas.openxmlformats.org/officeDocument/2006/relationships/worksheet" Target="worksheets/sheet8.xml"/><Relationship Id="rId51" Type="http://schemas.openxmlformats.org/officeDocument/2006/relationships/customXml" Target="../customXml/item9.xml"/><Relationship Id="rId72" Type="http://schemas.openxmlformats.org/officeDocument/2006/relationships/customXml" Target="../customXml/item30.xml"/><Relationship Id="rId93" Type="http://schemas.openxmlformats.org/officeDocument/2006/relationships/customXml" Target="../customXml/item51.xml"/><Relationship Id="rId98" Type="http://schemas.openxmlformats.org/officeDocument/2006/relationships/customXml" Target="../customXml/item56.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customXml" Target="../customXml/item4.xml"/><Relationship Id="rId67" Type="http://schemas.openxmlformats.org/officeDocument/2006/relationships/customXml" Target="../customXml/item25.xml"/><Relationship Id="rId20" Type="http://schemas.openxmlformats.org/officeDocument/2006/relationships/pivotCacheDefinition" Target="pivotCache/pivotCacheDefinition9.xml"/><Relationship Id="rId41" Type="http://schemas.openxmlformats.org/officeDocument/2006/relationships/powerPivotData" Target="model/item.data"/><Relationship Id="rId62" Type="http://schemas.openxmlformats.org/officeDocument/2006/relationships/customXml" Target="../customXml/item20.xml"/><Relationship Id="rId83" Type="http://schemas.openxmlformats.org/officeDocument/2006/relationships/customXml" Target="../customXml/item41.xml"/><Relationship Id="rId88" Type="http://schemas.openxmlformats.org/officeDocument/2006/relationships/customXml" Target="../customXml/item46.xml"/><Relationship Id="rId111" Type="http://schemas.openxmlformats.org/officeDocument/2006/relationships/volatileDependencies" Target="volatileDependenci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(1).xlsx]Rewards &amp; Benefits Allocation!PivotTable20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premium by department x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6CC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B51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'Rewards &amp; Benefits Allocation'!$I$1:$I$2</c:f>
              <c:strCache>
                <c:ptCount val="1"/>
                <c:pt idx="0">
                  <c:v>Bengaluru</c:v>
                </c:pt>
              </c:strCache>
            </c:strRef>
          </c:tx>
          <c:spPr>
            <a:solidFill>
              <a:srgbClr val="2F80ED"/>
            </a:solidFill>
            <a:ln>
              <a:noFill/>
            </a:ln>
            <a:effectLst/>
          </c:spPr>
          <c:invertIfNegative val="0"/>
          <c:cat>
            <c:strRef>
              <c:f>'Rewards &amp; Benefits Allocation'!$H$3:$H$8</c:f>
              <c:strCache>
                <c:ptCount val="5"/>
                <c:pt idx="0">
                  <c:v>Finance</c:v>
                </c:pt>
                <c:pt idx="1">
                  <c:v>HR</c:v>
                </c:pt>
                <c:pt idx="2">
                  <c:v>Operations</c:v>
                </c:pt>
                <c:pt idx="3">
                  <c:v>Sales</c:v>
                </c:pt>
                <c:pt idx="4">
                  <c:v>Tech</c:v>
                </c:pt>
              </c:strCache>
            </c:strRef>
          </c:cat>
          <c:val>
            <c:numRef>
              <c:f>'Rewards &amp; Benefits Allocation'!$I$3:$I$8</c:f>
              <c:numCache>
                <c:formatCode>"₹"\ #,##0</c:formatCode>
                <c:ptCount val="5"/>
                <c:pt idx="0">
                  <c:v>4927.272727272727</c:v>
                </c:pt>
                <c:pt idx="1">
                  <c:v>5489.4736842105267</c:v>
                </c:pt>
                <c:pt idx="2">
                  <c:v>4192.105263157895</c:v>
                </c:pt>
                <c:pt idx="3">
                  <c:v>5430</c:v>
                </c:pt>
                <c:pt idx="4">
                  <c:v>5174</c:v>
                </c:pt>
              </c:numCache>
            </c:numRef>
          </c:val>
          <c:extLst>
            <c:ext xmlns:c16="http://schemas.microsoft.com/office/drawing/2014/chart" uri="{C3380CC4-5D6E-409C-BE32-E72D297353CC}">
              <c16:uniqueId val="{00000009-2280-4E0B-9FAF-E20BC2B5D5CC}"/>
            </c:ext>
          </c:extLst>
        </c:ser>
        <c:ser>
          <c:idx val="1"/>
          <c:order val="1"/>
          <c:tx>
            <c:strRef>
              <c:f>'Rewards &amp; Benefits Allocation'!$J$1:$J$2</c:f>
              <c:strCache>
                <c:ptCount val="1"/>
                <c:pt idx="0">
                  <c:v>Gurugram</c:v>
                </c:pt>
              </c:strCache>
            </c:strRef>
          </c:tx>
          <c:spPr>
            <a:solidFill>
              <a:srgbClr val="56CCF2"/>
            </a:solidFill>
            <a:ln>
              <a:noFill/>
            </a:ln>
            <a:effectLst/>
          </c:spPr>
          <c:invertIfNegative val="0"/>
          <c:cat>
            <c:strRef>
              <c:f>'Rewards &amp; Benefits Allocation'!$H$3:$H$8</c:f>
              <c:strCache>
                <c:ptCount val="5"/>
                <c:pt idx="0">
                  <c:v>Finance</c:v>
                </c:pt>
                <c:pt idx="1">
                  <c:v>HR</c:v>
                </c:pt>
                <c:pt idx="2">
                  <c:v>Operations</c:v>
                </c:pt>
                <c:pt idx="3">
                  <c:v>Sales</c:v>
                </c:pt>
                <c:pt idx="4">
                  <c:v>Tech</c:v>
                </c:pt>
              </c:strCache>
            </c:strRef>
          </c:cat>
          <c:val>
            <c:numRef>
              <c:f>'Rewards &amp; Benefits Allocation'!$J$3:$J$8</c:f>
              <c:numCache>
                <c:formatCode>"₹"\ #,##0</c:formatCode>
                <c:ptCount val="5"/>
                <c:pt idx="0">
                  <c:v>5190.909090909091</c:v>
                </c:pt>
                <c:pt idx="1">
                  <c:v>5064.2857142857147</c:v>
                </c:pt>
                <c:pt idx="2">
                  <c:v>5490.7407407407409</c:v>
                </c:pt>
                <c:pt idx="3">
                  <c:v>6062</c:v>
                </c:pt>
                <c:pt idx="4">
                  <c:v>5066</c:v>
                </c:pt>
              </c:numCache>
            </c:numRef>
          </c:val>
          <c:extLst>
            <c:ext xmlns:c16="http://schemas.microsoft.com/office/drawing/2014/chart" uri="{C3380CC4-5D6E-409C-BE32-E72D297353CC}">
              <c16:uniqueId val="{0000000A-2280-4E0B-9FAF-E20BC2B5D5CC}"/>
            </c:ext>
          </c:extLst>
        </c:ser>
        <c:ser>
          <c:idx val="2"/>
          <c:order val="2"/>
          <c:tx>
            <c:strRef>
              <c:f>'Rewards &amp; Benefits Allocation'!$K$1:$K$2</c:f>
              <c:strCache>
                <c:ptCount val="1"/>
                <c:pt idx="0">
                  <c:v>Hyderabad</c:v>
                </c:pt>
              </c:strCache>
            </c:strRef>
          </c:tx>
          <c:spPr>
            <a:solidFill>
              <a:srgbClr val="9B51E0"/>
            </a:solidFill>
            <a:ln>
              <a:noFill/>
            </a:ln>
            <a:effectLst/>
          </c:spPr>
          <c:invertIfNegative val="0"/>
          <c:cat>
            <c:strRef>
              <c:f>'Rewards &amp; Benefits Allocation'!$H$3:$H$8</c:f>
              <c:strCache>
                <c:ptCount val="5"/>
                <c:pt idx="0">
                  <c:v>Finance</c:v>
                </c:pt>
                <c:pt idx="1">
                  <c:v>HR</c:v>
                </c:pt>
                <c:pt idx="2">
                  <c:v>Operations</c:v>
                </c:pt>
                <c:pt idx="3">
                  <c:v>Sales</c:v>
                </c:pt>
                <c:pt idx="4">
                  <c:v>Tech</c:v>
                </c:pt>
              </c:strCache>
            </c:strRef>
          </c:cat>
          <c:val>
            <c:numRef>
              <c:f>'Rewards &amp; Benefits Allocation'!$K$3:$K$8</c:f>
              <c:numCache>
                <c:formatCode>"₹"\ #,##0</c:formatCode>
                <c:ptCount val="5"/>
                <c:pt idx="0">
                  <c:v>5944.8275862068967</c:v>
                </c:pt>
                <c:pt idx="1">
                  <c:v>4819.2307692307695</c:v>
                </c:pt>
                <c:pt idx="2">
                  <c:v>5475</c:v>
                </c:pt>
                <c:pt idx="3">
                  <c:v>5268.5714285714284</c:v>
                </c:pt>
                <c:pt idx="4">
                  <c:v>4591.666666666667</c:v>
                </c:pt>
              </c:numCache>
            </c:numRef>
          </c:val>
          <c:extLst>
            <c:ext xmlns:c16="http://schemas.microsoft.com/office/drawing/2014/chart" uri="{C3380CC4-5D6E-409C-BE32-E72D297353CC}">
              <c16:uniqueId val="{0000000B-2280-4E0B-9FAF-E20BC2B5D5CC}"/>
            </c:ext>
          </c:extLst>
        </c:ser>
        <c:ser>
          <c:idx val="3"/>
          <c:order val="3"/>
          <c:tx>
            <c:strRef>
              <c:f>'Rewards &amp; Benefits Allocation'!$L$1:$L$2</c:f>
              <c:strCache>
                <c:ptCount val="1"/>
                <c:pt idx="0">
                  <c:v>Noida</c:v>
                </c:pt>
              </c:strCache>
            </c:strRef>
          </c:tx>
          <c:spPr>
            <a:solidFill>
              <a:srgbClr val="27AE60"/>
            </a:solidFill>
            <a:ln>
              <a:noFill/>
            </a:ln>
            <a:effectLst/>
          </c:spPr>
          <c:invertIfNegative val="0"/>
          <c:cat>
            <c:strRef>
              <c:f>'Rewards &amp; Benefits Allocation'!$H$3:$H$8</c:f>
              <c:strCache>
                <c:ptCount val="5"/>
                <c:pt idx="0">
                  <c:v>Finance</c:v>
                </c:pt>
                <c:pt idx="1">
                  <c:v>HR</c:v>
                </c:pt>
                <c:pt idx="2">
                  <c:v>Operations</c:v>
                </c:pt>
                <c:pt idx="3">
                  <c:v>Sales</c:v>
                </c:pt>
                <c:pt idx="4">
                  <c:v>Tech</c:v>
                </c:pt>
              </c:strCache>
            </c:strRef>
          </c:cat>
          <c:val>
            <c:numRef>
              <c:f>'Rewards &amp; Benefits Allocation'!$L$3:$L$8</c:f>
              <c:numCache>
                <c:formatCode>"₹"\ #,##0</c:formatCode>
                <c:ptCount val="5"/>
                <c:pt idx="0">
                  <c:v>5785.416666666667</c:v>
                </c:pt>
                <c:pt idx="1">
                  <c:v>4577.272727272727</c:v>
                </c:pt>
                <c:pt idx="2">
                  <c:v>5140</c:v>
                </c:pt>
                <c:pt idx="3">
                  <c:v>5293.75</c:v>
                </c:pt>
                <c:pt idx="4">
                  <c:v>5511.1111111111113</c:v>
                </c:pt>
              </c:numCache>
            </c:numRef>
          </c:val>
          <c:extLst>
            <c:ext xmlns:c16="http://schemas.microsoft.com/office/drawing/2014/chart" uri="{C3380CC4-5D6E-409C-BE32-E72D297353CC}">
              <c16:uniqueId val="{0000000C-2280-4E0B-9FAF-E20BC2B5D5CC}"/>
            </c:ext>
          </c:extLst>
        </c:ser>
        <c:dLbls>
          <c:showLegendKey val="0"/>
          <c:showVal val="0"/>
          <c:showCatName val="0"/>
          <c:showSerName val="0"/>
          <c:showPercent val="0"/>
          <c:showBubbleSize val="0"/>
        </c:dLbls>
        <c:gapWidth val="219"/>
        <c:overlap val="-27"/>
        <c:axId val="537083136"/>
        <c:axId val="757780015"/>
      </c:barChart>
      <c:catAx>
        <c:axId val="53708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80015"/>
        <c:crosses val="autoZero"/>
        <c:auto val="1"/>
        <c:lblAlgn val="ctr"/>
        <c:lblOffset val="100"/>
        <c:noMultiLvlLbl val="0"/>
      </c:catAx>
      <c:valAx>
        <c:axId val="757780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monthly premium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083136"/>
        <c:crosses val="autoZero"/>
        <c:crossBetween val="between"/>
      </c:valAx>
      <c:spPr>
        <a:solidFill>
          <a:srgbClr val="151A24"/>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(1).xlsx]Basic Analysis!PivotTable21</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Insurance Portfolio Mix by Tier</a:t>
            </a:r>
            <a:endParaRPr lang="en-US"/>
          </a:p>
        </c:rich>
      </c:tx>
      <c:layout>
        <c:manualLayout>
          <c:xMode val="edge"/>
          <c:yMode val="edge"/>
          <c:x val="0.24467715508164223"/>
          <c:y val="2.568678915135608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F80ED"/>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2F80ED"/>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56CCF2"/>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9B51E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00726792712555"/>
          <c:y val="0.20473385826771653"/>
          <c:w val="0.44550369559969399"/>
          <c:h val="0.75884129483814544"/>
        </c:manualLayout>
      </c:layout>
      <c:doughnutChart>
        <c:varyColors val="1"/>
        <c:ser>
          <c:idx val="0"/>
          <c:order val="0"/>
          <c:tx>
            <c:strRef>
              <c:f>'Basic Analysis'!$B$20</c:f>
              <c:strCache>
                <c:ptCount val="1"/>
                <c:pt idx="0">
                  <c:v>Total</c:v>
                </c:pt>
              </c:strCache>
            </c:strRef>
          </c:tx>
          <c:spPr>
            <a:solidFill>
              <a:srgbClr val="2F80ED"/>
            </a:solidFill>
          </c:spPr>
          <c:dPt>
            <c:idx val="0"/>
            <c:bubble3D val="0"/>
            <c:spPr>
              <a:solidFill>
                <a:srgbClr val="2F80ED"/>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C5FD-4C4D-9857-643A01497DFA}"/>
              </c:ext>
            </c:extLst>
          </c:dPt>
          <c:dPt>
            <c:idx val="1"/>
            <c:bubble3D val="0"/>
            <c:spPr>
              <a:solidFill>
                <a:srgbClr val="56CCF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5FD-4C4D-9857-643A01497DFA}"/>
              </c:ext>
            </c:extLst>
          </c:dPt>
          <c:dPt>
            <c:idx val="2"/>
            <c:bubble3D val="0"/>
            <c:spPr>
              <a:solidFill>
                <a:srgbClr val="9B51E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C5FD-4C4D-9857-643A01497D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Analysis'!$A$21:$A$24</c:f>
              <c:strCache>
                <c:ptCount val="3"/>
                <c:pt idx="0">
                  <c:v>Bronze</c:v>
                </c:pt>
                <c:pt idx="1">
                  <c:v>Gold</c:v>
                </c:pt>
                <c:pt idx="2">
                  <c:v>Silver</c:v>
                </c:pt>
              </c:strCache>
            </c:strRef>
          </c:cat>
          <c:val>
            <c:numRef>
              <c:f>'Basic Analysis'!$B$21:$B$24</c:f>
              <c:numCache>
                <c:formatCode>General</c:formatCode>
                <c:ptCount val="3"/>
                <c:pt idx="0">
                  <c:v>59</c:v>
                </c:pt>
                <c:pt idx="1">
                  <c:v>216</c:v>
                </c:pt>
                <c:pt idx="2">
                  <c:v>217</c:v>
                </c:pt>
              </c:numCache>
            </c:numRef>
          </c:val>
          <c:extLst>
            <c:ext xmlns:c16="http://schemas.microsoft.com/office/drawing/2014/chart" uri="{C3380CC4-5D6E-409C-BE32-E72D297353CC}">
              <c16:uniqueId val="{0000000C-C5FD-4C4D-9857-643A01497DFA}"/>
            </c:ext>
          </c:extLst>
        </c:ser>
        <c:dLbls>
          <c:showLegendKey val="0"/>
          <c:showVal val="0"/>
          <c:showCatName val="0"/>
          <c:showSerName val="0"/>
          <c:showPercent val="1"/>
          <c:showBubbleSize val="0"/>
          <c:showLeaderLines val="1"/>
        </c:dLbls>
        <c:firstSliceAng val="0"/>
        <c:holeSize val="50"/>
      </c:doughnutChart>
      <c:spPr>
        <a:solidFill>
          <a:srgbClr val="151A24"/>
        </a:solidFill>
        <a:ln>
          <a:noFill/>
        </a:ln>
        <a:effectLst/>
      </c:spPr>
    </c:plotArea>
    <c:legend>
      <c:legendPos val="r"/>
      <c:overlay val="0"/>
      <c:spPr>
        <a:noFill/>
        <a:ln w="6350">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alpha val="97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'Helper Sheet'!$B$29</c:f>
              <c:strCache>
                <c:ptCount val="1"/>
                <c:pt idx="0">
                  <c:v>Headcount</c:v>
                </c:pt>
              </c:strCache>
            </c:strRef>
          </c:tx>
          <c:spPr>
            <a:solidFill>
              <a:srgbClr val="2F80ED"/>
            </a:soli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'Helper Sheet'!$A$30:$A$34</c:f>
              <c:strCache>
                <c:ptCount val="5"/>
                <c:pt idx="0">
                  <c:v>Finance</c:v>
                </c:pt>
                <c:pt idx="1">
                  <c:v>HR</c:v>
                </c:pt>
                <c:pt idx="2">
                  <c:v>Operations</c:v>
                </c:pt>
                <c:pt idx="3">
                  <c:v>Sales</c:v>
                </c:pt>
                <c:pt idx="4">
                  <c:v>Tech</c:v>
                </c:pt>
              </c:strCache>
            </c:strRef>
          </c:cat>
          <c:val>
            <c:numRef>
              <c:f>'Helper Sheet'!$B$30:$B$34</c:f>
              <c:numCache>
                <c:formatCode>General</c:formatCode>
                <c:ptCount val="5"/>
                <c:pt idx="0">
                  <c:v>97</c:v>
                </c:pt>
                <c:pt idx="1">
                  <c:v>88</c:v>
                </c:pt>
                <c:pt idx="2">
                  <c:v>97</c:v>
                </c:pt>
                <c:pt idx="3">
                  <c:v>109</c:v>
                </c:pt>
                <c:pt idx="4">
                  <c:v>101</c:v>
                </c:pt>
              </c:numCache>
            </c:numRef>
          </c:val>
          <c:extLst>
            <c:ext xmlns:c16="http://schemas.microsoft.com/office/drawing/2014/chart" uri="{C3380CC4-5D6E-409C-BE32-E72D297353CC}">
              <c16:uniqueId val="{00000000-9E44-4059-9E47-9EAA2C2C4BFE}"/>
            </c:ext>
          </c:extLst>
        </c:ser>
        <c:dLbls>
          <c:dLblPos val="inEnd"/>
          <c:showLegendKey val="0"/>
          <c:showVal val="1"/>
          <c:showCatName val="0"/>
          <c:showSerName val="0"/>
          <c:showPercent val="0"/>
          <c:showBubbleSize val="0"/>
        </c:dLbls>
        <c:gapWidth val="115"/>
        <c:overlap val="-20"/>
        <c:axId val="354001776"/>
        <c:axId val="2083148399"/>
      </c:barChart>
      <c:catAx>
        <c:axId val="354001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148399"/>
        <c:crosses val="autoZero"/>
        <c:auto val="1"/>
        <c:lblAlgn val="ctr"/>
        <c:lblOffset val="100"/>
        <c:noMultiLvlLbl val="0"/>
      </c:catAx>
      <c:valAx>
        <c:axId val="2083148399"/>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4001776"/>
        <c:crosses val="autoZero"/>
        <c:crossBetween val="between"/>
      </c:valAx>
      <c:spPr>
        <a:solidFill>
          <a:srgbClr val="151A24"/>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pay gap by salary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'Helper Sheet'!$B$39</c:f>
              <c:strCache>
                <c:ptCount val="1"/>
                <c:pt idx="0">
                  <c:v>Gap (M-F)</c:v>
                </c:pt>
              </c:strCache>
            </c:strRef>
          </c:tx>
          <c:spPr>
            <a:solidFill>
              <a:srgbClr val="2F80ED"/>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Sheet'!$A$40:$A$43</c:f>
              <c:strCache>
                <c:ptCount val="4"/>
                <c:pt idx="0">
                  <c:v>Junior</c:v>
                </c:pt>
                <c:pt idx="1">
                  <c:v>Lead</c:v>
                </c:pt>
                <c:pt idx="2">
                  <c:v>Mid</c:v>
                </c:pt>
                <c:pt idx="3">
                  <c:v>Senior</c:v>
                </c:pt>
              </c:strCache>
            </c:strRef>
          </c:cat>
          <c:val>
            <c:numRef>
              <c:f>'Helper Sheet'!$B$40:$B$43</c:f>
              <c:numCache>
                <c:formatCode>General</c:formatCode>
                <c:ptCount val="4"/>
                <c:pt idx="0">
                  <c:v>2229.5478609625643</c:v>
                </c:pt>
                <c:pt idx="1">
                  <c:v>-2672.5515051090915</c:v>
                </c:pt>
                <c:pt idx="2">
                  <c:v>2277.3732095490705</c:v>
                </c:pt>
                <c:pt idx="3">
                  <c:v>1553.5494535519101</c:v>
                </c:pt>
              </c:numCache>
            </c:numRef>
          </c:val>
          <c:extLst>
            <c:ext xmlns:c16="http://schemas.microsoft.com/office/drawing/2014/chart" uri="{C3380CC4-5D6E-409C-BE32-E72D297353CC}">
              <c16:uniqueId val="{00000000-0D8B-4BC5-A8BD-B10F4071652C}"/>
            </c:ext>
          </c:extLst>
        </c:ser>
        <c:dLbls>
          <c:showLegendKey val="0"/>
          <c:showVal val="0"/>
          <c:showCatName val="0"/>
          <c:showSerName val="0"/>
          <c:showPercent val="0"/>
          <c:showBubbleSize val="0"/>
        </c:dLbls>
        <c:gapWidth val="219"/>
        <c:overlap val="-27"/>
        <c:axId val="1434372287"/>
        <c:axId val="2083162799"/>
      </c:barChart>
      <c:catAx>
        <c:axId val="143437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62799"/>
        <c:crosses val="autoZero"/>
        <c:auto val="1"/>
        <c:lblAlgn val="ctr"/>
        <c:lblOffset val="100"/>
        <c:noMultiLvlLbl val="0"/>
      </c:catAx>
      <c:valAx>
        <c:axId val="20831627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372287"/>
        <c:crosses val="autoZero"/>
        <c:crossBetween val="between"/>
      </c:valAx>
      <c:spPr>
        <a:solidFill>
          <a:srgbClr val="151A24"/>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A2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Salary Distribution by Gender and Job Level</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'Gender Pay Equity'!$I$11</c:f>
              <c:strCache>
                <c:ptCount val="1"/>
                <c:pt idx="0">
                  <c:v>Female</c:v>
                </c:pt>
              </c:strCache>
            </c:strRef>
          </c:tx>
          <c:spPr>
            <a:solidFill>
              <a:schemeClr val="accent1"/>
            </a:solidFill>
            <a:ln>
              <a:noFill/>
            </a:ln>
            <a:effectLst/>
          </c:spPr>
          <c:invertIfNegative val="0"/>
          <c:cat>
            <c:strRef>
              <c:f>'Gender Pay Equity'!$H$12:$H$15</c:f>
              <c:strCache>
                <c:ptCount val="4"/>
                <c:pt idx="0">
                  <c:v>Junior</c:v>
                </c:pt>
                <c:pt idx="1">
                  <c:v>Lead</c:v>
                </c:pt>
                <c:pt idx="2">
                  <c:v>Mid</c:v>
                </c:pt>
                <c:pt idx="3">
                  <c:v>Senior</c:v>
                </c:pt>
              </c:strCache>
            </c:strRef>
          </c:cat>
          <c:val>
            <c:numRef>
              <c:f>'Gender Pay Equity'!$I$12:$I$15</c:f>
              <c:numCache>
                <c:formatCode>General</c:formatCode>
                <c:ptCount val="4"/>
                <c:pt idx="0">
                  <c:v>62039.327272727271</c:v>
                </c:pt>
                <c:pt idx="1">
                  <c:v>184793.39215686274</c:v>
                </c:pt>
                <c:pt idx="2">
                  <c:v>95928.465517241377</c:v>
                </c:pt>
                <c:pt idx="3">
                  <c:v>132606.51666666666</c:v>
                </c:pt>
              </c:numCache>
            </c:numRef>
          </c:val>
          <c:extLst>
            <c:ext xmlns:c16="http://schemas.microsoft.com/office/drawing/2014/chart" uri="{C3380CC4-5D6E-409C-BE32-E72D297353CC}">
              <c16:uniqueId val="{00000000-D4A1-4B65-A600-80F293E17272}"/>
            </c:ext>
          </c:extLst>
        </c:ser>
        <c:ser>
          <c:idx val="1"/>
          <c:order val="1"/>
          <c:tx>
            <c:strRef>
              <c:f>'Gender Pay Equity'!$J$11</c:f>
              <c:strCache>
                <c:ptCount val="1"/>
                <c:pt idx="0">
                  <c:v>Male</c:v>
                </c:pt>
              </c:strCache>
            </c:strRef>
          </c:tx>
          <c:spPr>
            <a:solidFill>
              <a:schemeClr val="accent2"/>
            </a:solidFill>
            <a:ln>
              <a:noFill/>
            </a:ln>
            <a:effectLst/>
          </c:spPr>
          <c:invertIfNegative val="0"/>
          <c:cat>
            <c:strRef>
              <c:f>'Gender Pay Equity'!$H$12:$H$15</c:f>
              <c:strCache>
                <c:ptCount val="4"/>
                <c:pt idx="0">
                  <c:v>Junior</c:v>
                </c:pt>
                <c:pt idx="1">
                  <c:v>Lead</c:v>
                </c:pt>
                <c:pt idx="2">
                  <c:v>Mid</c:v>
                </c:pt>
                <c:pt idx="3">
                  <c:v>Senior</c:v>
                </c:pt>
              </c:strCache>
            </c:strRef>
          </c:cat>
          <c:val>
            <c:numRef>
              <c:f>'Gender Pay Equity'!$J$12:$J$15</c:f>
              <c:numCache>
                <c:formatCode>General</c:formatCode>
                <c:ptCount val="4"/>
                <c:pt idx="0">
                  <c:v>59809.779411764706</c:v>
                </c:pt>
                <c:pt idx="1">
                  <c:v>187465.94366197183</c:v>
                </c:pt>
                <c:pt idx="2">
                  <c:v>93651.092307692306</c:v>
                </c:pt>
                <c:pt idx="3">
                  <c:v>131052.96721311475</c:v>
                </c:pt>
              </c:numCache>
            </c:numRef>
          </c:val>
          <c:extLst>
            <c:ext xmlns:c16="http://schemas.microsoft.com/office/drawing/2014/chart" uri="{C3380CC4-5D6E-409C-BE32-E72D297353CC}">
              <c16:uniqueId val="{00000001-D4A1-4B65-A600-80F293E17272}"/>
            </c:ext>
          </c:extLst>
        </c:ser>
        <c:dLbls>
          <c:showLegendKey val="0"/>
          <c:showVal val="0"/>
          <c:showCatName val="0"/>
          <c:showSerName val="0"/>
          <c:showPercent val="0"/>
          <c:showBubbleSize val="0"/>
        </c:dLbls>
        <c:gapWidth val="219"/>
        <c:overlap val="-27"/>
        <c:axId val="2094993503"/>
        <c:axId val="2083165679"/>
      </c:barChart>
      <c:catAx>
        <c:axId val="209499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65679"/>
        <c:crosses val="autoZero"/>
        <c:auto val="0"/>
        <c:lblAlgn val="ctr"/>
        <c:lblOffset val="100"/>
        <c:noMultiLvlLbl val="0"/>
      </c:catAx>
      <c:valAx>
        <c:axId val="2083165679"/>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99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0</xdr:colOff>
      <xdr:row>25</xdr:row>
      <xdr:rowOff>0</xdr:rowOff>
    </xdr:to>
    <xdr:graphicFrame macro="">
      <xdr:nvGraphicFramePr>
        <xdr:cNvPr id="2" name="Avg Premium by Department x Location">
          <a:extLst>
            <a:ext uri="{FF2B5EF4-FFF2-40B4-BE49-F238E27FC236}">
              <a16:creationId xmlns:a16="http://schemas.microsoft.com/office/drawing/2014/main" id="{DC8F51C4-8BFA-0102-5F29-B2FE9ADAD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10</xdr:row>
      <xdr:rowOff>0</xdr:rowOff>
    </xdr:from>
    <xdr:to>
      <xdr:col>14</xdr:col>
      <xdr:colOff>0</xdr:colOff>
      <xdr:row>25</xdr:row>
      <xdr:rowOff>0</xdr:rowOff>
    </xdr:to>
    <xdr:graphicFrame macro="">
      <xdr:nvGraphicFramePr>
        <xdr:cNvPr id="3" name="Plan Mix by Tier">
          <a:extLst>
            <a:ext uri="{FF2B5EF4-FFF2-40B4-BE49-F238E27FC236}">
              <a16:creationId xmlns:a16="http://schemas.microsoft.com/office/drawing/2014/main" id="{59C3D887-5ADD-7848-D5FF-A5591EC22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7</xdr:col>
      <xdr:colOff>0</xdr:colOff>
      <xdr:row>42</xdr:row>
      <xdr:rowOff>0</xdr:rowOff>
    </xdr:to>
    <xdr:graphicFrame macro="">
      <xdr:nvGraphicFramePr>
        <xdr:cNvPr id="4" name="Headcount by Department">
          <a:extLst>
            <a:ext uri="{FF2B5EF4-FFF2-40B4-BE49-F238E27FC236}">
              <a16:creationId xmlns:a16="http://schemas.microsoft.com/office/drawing/2014/main" id="{2CC98CD7-7323-E448-FF21-EFA735C20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27</xdr:row>
      <xdr:rowOff>0</xdr:rowOff>
    </xdr:from>
    <xdr:to>
      <xdr:col>14</xdr:col>
      <xdr:colOff>0</xdr:colOff>
      <xdr:row>42</xdr:row>
      <xdr:rowOff>0</xdr:rowOff>
    </xdr:to>
    <xdr:graphicFrame macro="">
      <xdr:nvGraphicFramePr>
        <xdr:cNvPr id="5" name="Gender Pay Gap by Salary Band">
          <a:extLst>
            <a:ext uri="{FF2B5EF4-FFF2-40B4-BE49-F238E27FC236}">
              <a16:creationId xmlns:a16="http://schemas.microsoft.com/office/drawing/2014/main" id="{75B33A92-FFFF-5FA4-FEB4-91F81884C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447675</xdr:colOff>
      <xdr:row>4</xdr:row>
      <xdr:rowOff>166687</xdr:rowOff>
    </xdr:from>
    <xdr:to>
      <xdr:col>19</xdr:col>
      <xdr:colOff>0</xdr:colOff>
      <xdr:row>17</xdr:row>
      <xdr:rowOff>433387</xdr:rowOff>
    </xdr:to>
    <xdr:graphicFrame macro="">
      <xdr:nvGraphicFramePr>
        <xdr:cNvPr id="4" name="Chart 3">
          <a:extLst>
            <a:ext uri="{FF2B5EF4-FFF2-40B4-BE49-F238E27FC236}">
              <a16:creationId xmlns:a16="http://schemas.microsoft.com/office/drawing/2014/main" id="{7FACCC5C-E1E8-57D2-70F3-1A8FA3679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28575</xdr:colOff>
      <xdr:row>0</xdr:row>
      <xdr:rowOff>0</xdr:rowOff>
    </xdr:from>
    <xdr:to>
      <xdr:col>8</xdr:col>
      <xdr:colOff>19050</xdr:colOff>
      <xdr:row>11</xdr:row>
      <xdr:rowOff>0</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5D57D7DA-C1B2-473B-B089-656C244C3E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7207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14</xdr:row>
      <xdr:rowOff>38100</xdr:rowOff>
    </xdr:from>
    <xdr:to>
      <xdr:col>8</xdr:col>
      <xdr:colOff>28575</xdr:colOff>
      <xdr:row>25</xdr:row>
      <xdr:rowOff>104775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77D20B5C-8370-9AFD-278F-BB2A3D26A0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81600" y="28956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152400</xdr:colOff>
      <xdr:row>17</xdr:row>
      <xdr:rowOff>0</xdr:rowOff>
    </xdr:from>
    <xdr:ext cx="1828800" cy="2667000"/>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69154E9E-29D7-35BE-9EC7-1CF93AEE89D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362325" y="3429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25925925" backgroundQuery="1" createdVersion="8" refreshedVersion="8" minRefreshableVersion="3" recordCount="0" supportSubquery="1" supportAdvancedDrill="1" xr:uid="{A4A5C32C-7AF9-4526-942E-F1BA9BCAA648}">
  <cacheSource type="external" connectionId="7"/>
  <cacheFields count="2">
    <cacheField name="[Indian_Employee_Data].[Insurance tier].[Insurance tier]" caption="Insurance tier" numFmtId="0" hierarchy="7" level="1">
      <sharedItems count="3">
        <s v="Bronze"/>
        <s v="Gold"/>
        <s v="Silver"/>
      </sharedItems>
    </cacheField>
    <cacheField name="[Measures].[Count of Insurance tier]" caption="Count of Insurance tier" numFmtId="0" hierarchy="53"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oneField="1" hidden="1">
      <fieldsUsage count="1">
        <fieldUsage x="1"/>
      </fieldsUsage>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27546295" backgroundQuery="1" createdVersion="8" refreshedVersion="8" minRefreshableVersion="3" recordCount="0" supportSubquery="1" supportAdvancedDrill="1" xr:uid="{3EF0D3D8-6173-42DF-9B37-B6CEC675ED89}">
  <cacheSource type="external" connectionId="7"/>
  <cacheFields count="4">
    <cacheField name="[Indian_Employee_Data].[Insurance tier].[Insurance tier]" caption="Insurance tier" numFmtId="0" hierarchy="7" level="1">
      <sharedItems count="3">
        <s v="Bronze"/>
        <s v="Gold"/>
        <s v="Silver"/>
      </sharedItems>
    </cacheField>
    <cacheField name="[Indian_Employee_Data].[Salary Tier].[Salary Tier]" caption="Salary Tier" numFmtId="0" hierarchy="10" level="1">
      <sharedItems count="4">
        <s v="Junior"/>
        <s v="Lead"/>
        <s v="Mid"/>
        <s v="Senior"/>
      </sharedItems>
    </cacheField>
    <cacheField name="[Indian_Employee_Data].[Corporate Benefit Plan].[Corporate Benefit Plan]" caption="Corporate Benefit Plan" numFmtId="0" hierarchy="6" level="1">
      <sharedItems count="3">
        <s v="Individual"/>
        <s v="Parents Included"/>
        <s v="Family Floater"/>
      </sharedItems>
    </cacheField>
    <cacheField name="[Measures].[Count of Monthly Premiums]" caption="Count of Monthly Premiums" numFmtId="0" hierarchy="60"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2" memberValueDatatype="130" unbalanced="0">
      <fieldsUsage count="2">
        <fieldUsage x="-1"/>
        <fieldUsage x="2"/>
      </fieldsUsage>
    </cacheHierarchy>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28935188" backgroundQuery="1" createdVersion="8" refreshedVersion="8" minRefreshableVersion="3" recordCount="0" supportSubquery="1" supportAdvancedDrill="1" xr:uid="{1115A234-0E91-441D-A560-CFE3F190F6EA}">
  <cacheSource type="external" connectionId="7"/>
  <cacheFields count="3">
    <cacheField name="[Indian_Employee_Data].[Insurance tier].[Insurance tier]" caption="Insurance tier" numFmtId="0" hierarchy="7" level="1">
      <sharedItems count="3">
        <s v="Bronze"/>
        <s v="Gold"/>
        <s v="Silver"/>
      </sharedItems>
    </cacheField>
    <cacheField name="[Indian_Employee_Data].[Salary Tier].[Salary Tier]" caption="Salary Tier" numFmtId="0" hierarchy="10" level="1">
      <sharedItems count="4">
        <s v="Junior"/>
        <s v="Lead"/>
        <s v="Mid"/>
        <s v="Senior"/>
      </sharedItems>
    </cacheField>
    <cacheField name="[Measures].[Min of Monthly Premiums]" caption="Min of Monthly Premiums" numFmtId="0" hierarchy="59"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30439812" backgroundQuery="1" createdVersion="8" refreshedVersion="8" minRefreshableVersion="3" recordCount="0" supportSubquery="1" supportAdvancedDrill="1" xr:uid="{ADCD1D33-291D-42D0-AC28-45B7F6A9C393}">
  <cacheSource type="external" connectionId="7"/>
  <cacheFields count="3">
    <cacheField name="[Indian_Employee_Data].[Insurance tier].[Insurance tier]" caption="Insurance tier" numFmtId="0" hierarchy="7" level="1">
      <sharedItems count="3">
        <s v="Bronze"/>
        <s v="Gold"/>
        <s v="Silver"/>
      </sharedItems>
    </cacheField>
    <cacheField name="[Indian_Employee_Data].[Salary Tier].[Salary Tier]" caption="Salary Tier" numFmtId="0" hierarchy="10" level="1">
      <sharedItems count="4">
        <s v="Junior"/>
        <s v="Lead"/>
        <s v="Mid"/>
        <s v="Senior"/>
      </sharedItems>
    </cacheField>
    <cacheField name="[Measures].[Max of Monthly Premiums]" caption="Max of Monthly Premiums" numFmtId="0" hierarchy="58"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oneField="1" hidden="1">
      <fieldsUsage count="1">
        <fieldUsage x="2"/>
      </fieldsUsage>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31828705" backgroundQuery="1" createdVersion="8" refreshedVersion="8" minRefreshableVersion="3" recordCount="0" supportSubquery="1" supportAdvancedDrill="1" xr:uid="{4F59DFC6-582F-4CB2-B42E-3BDD99BDB019}">
  <cacheSource type="external" connectionId="7"/>
  <cacheFields count="3">
    <cacheField name="[Indian_Employee_Data].[Salary Tier].[Salary Tier]" caption="Salary Tier" numFmtId="0" hierarchy="10" level="1">
      <sharedItems count="4">
        <s v="Junior"/>
        <s v="Lead"/>
        <s v="Mid"/>
        <s v="Senior"/>
      </sharedItems>
    </cacheField>
    <cacheField name="[Indian_Employee_Data].[Department].[Department]" caption="Department" numFmtId="0" hierarchy="3" level="1">
      <sharedItems count="5">
        <s v="Finance"/>
        <s v="HR"/>
        <s v="Operations"/>
        <s v="Sales"/>
        <s v="Tech"/>
      </sharedItems>
    </cacheField>
    <cacheField name="[Measures].[Min of Monthly Base Salary (INR)]" caption="Min of Monthly Base Salary (INR)" numFmtId="0" hierarchy="55"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1"/>
      </fieldsUsage>
    </cacheHierarchy>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3333333" backgroundQuery="1" createdVersion="8" refreshedVersion="8" minRefreshableVersion="3" recordCount="0" supportSubquery="1" supportAdvancedDrill="1" xr:uid="{45F19A8C-25CE-4AB0-BDF7-E010E62F5B20}">
  <cacheSource type="external" connectionId="7"/>
  <cacheFields count="3">
    <cacheField name="[Indian_Employee_Data].[Salary Tier].[Salary Tier]" caption="Salary Tier" numFmtId="0" hierarchy="10" level="1">
      <sharedItems count="4">
        <s v="Junior"/>
        <s v="Lead"/>
        <s v="Mid"/>
        <s v="Senior"/>
      </sharedItems>
    </cacheField>
    <cacheField name="[Measures].[Max of Monthly Base Salary (INR)]" caption="Max of Monthly Base Salary (INR)" numFmtId="0" hierarchy="54" level="32767"/>
    <cacheField name="[Indian_Employee_Data].[Department].[Department]" caption="Department" numFmtId="0" hierarchy="3" level="1">
      <sharedItems count="5">
        <s v="Finance"/>
        <s v="HR"/>
        <s v="Operations"/>
        <s v="Sales"/>
        <s v="Tech"/>
      </sharedItems>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2"/>
      </fieldsUsage>
    </cacheHierarchy>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oneField="1" hidden="1">
      <fieldsUsage count="1">
        <fieldUsage x="1"/>
      </fieldsUsage>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34722223" backgroundQuery="1" createdVersion="8" refreshedVersion="8" minRefreshableVersion="3" recordCount="0" supportSubquery="1" supportAdvancedDrill="1" xr:uid="{1063065C-081F-43AF-8C91-43611C89DDAF}">
  <cacheSource type="external" connectionId="7"/>
  <cacheFields count="3">
    <cacheField name="[Indian_Employee_Data].[Insurance tier].[Insurance tier]" caption="Insurance tier" numFmtId="0" hierarchy="7" level="1">
      <sharedItems count="3">
        <s v="Bronze"/>
        <s v="Gold"/>
        <s v="Silver"/>
      </sharedItems>
    </cacheField>
    <cacheField name="[Measures].[Count of Insurance tier]" caption="Count of Insurance tier" numFmtId="0" hierarchy="53" level="32767"/>
    <cacheField name="[Indian_Employee_Data].[Salary Tier].[Salary Tier]" caption="Salary Tier" numFmtId="0" hierarchy="10" level="1">
      <sharedItems count="4">
        <s v="Junior"/>
        <s v="Lead"/>
        <s v="Mid"/>
        <s v="Senior"/>
      </sharedItems>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2"/>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oneField="1" hidden="1">
      <fieldsUsage count="1">
        <fieldUsage x="1"/>
      </fieldsUsage>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36226854" backgroundQuery="1" createdVersion="8" refreshedVersion="8" minRefreshableVersion="3" recordCount="0" supportSubquery="1" supportAdvancedDrill="1" xr:uid="{F8116D4D-07C1-44AF-8927-D106D5ECBAA9}">
  <cacheSource type="external" connectionId="7"/>
  <cacheFields count="4">
    <cacheField name="[Indian_Employee_Data].[Salary Tier].[Salary Tier]" caption="Salary Tier" numFmtId="0" hierarchy="10" level="1">
      <sharedItems count="4">
        <s v="Junior"/>
        <s v="Lead"/>
        <s v="Mid"/>
        <s v="Senior"/>
      </sharedItems>
    </cacheField>
    <cacheField name="[Measures].[Count of Department]" caption="Count of Department" numFmtId="0" hierarchy="51" level="32767"/>
    <cacheField name="[Indian_Employee_Data].[Gender].[Gender]" caption="Gender" numFmtId="0" hierarchy="2" level="1">
      <sharedItems count="3">
        <s v="Female"/>
        <s v="Male"/>
        <s v="Transgender"/>
      </sharedItems>
    </cacheField>
    <cacheField name="[Indian_Employee_Data].[Location].[Location]" caption="Location" numFmtId="0" hierarchy="4" level="1">
      <sharedItems count="4">
        <s v="Bengaluru"/>
        <s v="Gurugram"/>
        <s v="Hyderabad"/>
        <s v="Noida"/>
      </sharedItems>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2"/>
      </fieldsUsage>
    </cacheHierarchy>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3"/>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37847225" backgroundQuery="1" createdVersion="8" refreshedVersion="8" minRefreshableVersion="3" recordCount="0" supportSubquery="1" supportAdvancedDrill="1" xr:uid="{5F33FEA1-2800-4292-9EF4-72010EE54842}">
  <cacheSource type="external" connectionId="7"/>
  <cacheFields count="4">
    <cacheField name="[Indian_Employee_Data].[Department].[Department]" caption="Department" numFmtId="0" hierarchy="3" level="1">
      <sharedItems count="5">
        <s v="Finance"/>
        <s v="HR"/>
        <s v="Operations"/>
        <s v="Sales"/>
        <s v="Tech"/>
      </sharedItems>
    </cacheField>
    <cacheField name="[Indian_Employee_Data].[Salary Tier].[Salary Tier]" caption="Salary Tier" numFmtId="0" hierarchy="10" level="1">
      <sharedItems count="4">
        <s v="Junior"/>
        <s v="Lead"/>
        <s v="Mid"/>
        <s v="Senior"/>
      </sharedItems>
    </cacheField>
    <cacheField name="[Measures].[Count of Department]" caption="Count of Department" numFmtId="0" hierarchy="51" level="32767"/>
    <cacheField name="[Indian_Employee_Data].[Gender].[Gender]" caption="Gender" numFmtId="0" hierarchy="2" level="1">
      <sharedItems count="3">
        <s v="Female"/>
        <s v="Male"/>
        <s v="Transgender"/>
      </sharedItems>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3"/>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0"/>
      </fieldsUsage>
    </cacheHierarchy>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39467595" backgroundQuery="1" createdVersion="8" refreshedVersion="8" minRefreshableVersion="3" recordCount="0" supportSubquery="1" supportAdvancedDrill="1" xr:uid="{EDF3F804-2628-4761-AD2A-1ABF4517DC6C}">
  <cacheSource type="external" connectionId="7"/>
  <cacheFields count="3">
    <cacheField name="[Indian_Employee_Data].[Location].[Location]" caption="Location" numFmtId="0" hierarchy="4" level="1">
      <sharedItems count="4">
        <s v="Bengaluru"/>
        <s v="Gurugram"/>
        <s v="Hyderabad"/>
        <s v="Noida"/>
      </sharedItems>
    </cacheField>
    <cacheField name="[Indian_Employee_Data].[Department].[Department]" caption="Department" numFmtId="0" hierarchy="3" level="1">
      <sharedItems count="5">
        <s v="Finance"/>
        <s v="HR"/>
        <s v="Operations"/>
        <s v="Sales"/>
        <s v="Tech"/>
      </sharedItems>
    </cacheField>
    <cacheField name="[Measures].[Average of Monthly Premiums]" caption="Average of Monthly Premiums" numFmtId="0" hierarchy="57"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1"/>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0"/>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oneField="1" hidden="1">
      <fieldsUsage count="1">
        <fieldUsage x="2"/>
      </fieldsUsage>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41203704" backgroundQuery="1" createdVersion="8" refreshedVersion="8" minRefreshableVersion="3" recordCount="0" supportSubquery="1" supportAdvancedDrill="1" xr:uid="{77C083E4-831E-46F2-91E3-4AF62319F319}">
  <cacheSource type="external" connectionId="7"/>
  <cacheFields count="6">
    <cacheField name="[Measures].[Headcount]" caption="Headcount" numFmtId="0" hierarchy="41" level="32767"/>
    <cacheField name="[Measures].[Total Monthly Premium Cost]" caption="Total Monthly Premium Cost" numFmtId="0" hierarchy="42" level="32767"/>
    <cacheField name="[Measures].[Average Salary]" caption="Average Salary" numFmtId="0" hierarchy="43" level="32767"/>
    <cacheField name="[Measures].[High-Cost Employee %]" caption="High-Cost Employee %" numFmtId="0" hierarchy="44" level="32767"/>
    <cacheField name="[Indian_Employee_Data].[Location].[Location]" caption="Location" numFmtId="0" hierarchy="4" level="1">
      <sharedItems count="4">
        <s v="Bengaluru"/>
        <s v="Gurugram"/>
        <s v="Hyderabad"/>
        <s v="Noida"/>
      </sharedItems>
    </cacheField>
    <cacheField name="[Indian_Employee_Data].[Department].[Department]" caption="Department" numFmtId="0" hierarchy="3" level="1">
      <sharedItems count="5">
        <s v="Finance"/>
        <s v="HR"/>
        <s v="Operations"/>
        <s v="Sales"/>
        <s v="Tech"/>
      </sharedItems>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5"/>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4"/>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oneField="1">
      <fieldsUsage count="1">
        <fieldUsage x="0"/>
      </fieldsUsage>
    </cacheHierarchy>
    <cacheHierarchy uniqueName="[Measures].[Total Monthly Premium Cost]" caption="Total Monthly Premium Cost" measure="1" displayFolder="" measureGroup="Indian_Employee_Data" count="0" oneField="1">
      <fieldsUsage count="1">
        <fieldUsage x="1"/>
      </fieldsUsage>
    </cacheHierarchy>
    <cacheHierarchy uniqueName="[Measures].[Average Salary]" caption="Average Salary" measure="1" displayFolder="" measureGroup="Indian_Employee_Data" count="0" oneField="1">
      <fieldsUsage count="1">
        <fieldUsage x="2"/>
      </fieldsUsage>
    </cacheHierarchy>
    <cacheHierarchy uniqueName="[Measures].[High-Cost Employee %]" caption="High-Cost Employee %" measure="1" displayFolder="" measureGroup="Indian_Employee_Data" count="0" oneField="1">
      <fieldsUsage count="1">
        <fieldUsage x="3"/>
      </fieldsUsage>
    </cacheHierarchy>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42824074" backgroundQuery="1" createdVersion="8" refreshedVersion="8" minRefreshableVersion="3" recordCount="0" supportSubquery="1" supportAdvancedDrill="1" xr:uid="{142DFD6B-2A73-4327-A46B-2D75401FE647}">
  <cacheSource type="external" connectionId="7"/>
  <cacheFields count="3">
    <cacheField name="[Indian_Employee_Data].[Salary Tier].[Salary Tier]" caption="Salary Tier" numFmtId="0" hierarchy="10" level="1">
      <sharedItems count="4">
        <s v="Junior"/>
        <s v="Lead"/>
        <s v="Mid"/>
        <s v="Senior"/>
      </sharedItems>
    </cacheField>
    <cacheField name="[Indian_Employee_Data].[Gender].[Gender]" caption="Gender" numFmtId="0" hierarchy="2" level="1">
      <sharedItems count="2">
        <s v="Female"/>
        <s v="Male"/>
      </sharedItems>
    </cacheField>
    <cacheField name="[Measures].[Average of Monthly Base Salary (INR)]" caption="Average of Monthly Base Salary (INR)" numFmtId="0" hierarchy="50"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1"/>
      </fieldsUsage>
    </cacheHierarchy>
    <cacheHierarchy uniqueName="[Indian_Employee_Data].[Department]" caption="Department" attribute="1" defaultMemberUniqueName="[Indian_Employee_Data].[Department].[All]" allUniqueName="[Indian_Employee_Data].[Department].[All]" dimensionUniqueName="[Indian_Employee_Data]" displayFolder="" count="0" memberValueDatatype="130" unbalanced="0"/>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4421296" backgroundQuery="1" createdVersion="8" refreshedVersion="8" minRefreshableVersion="3" recordCount="0" supportSubquery="1" supportAdvancedDrill="1" xr:uid="{C3C6D13C-1416-4BB4-AB9A-ACC9FB417F46}">
  <cacheSource type="external" connectionId="7"/>
  <cacheFields count="3">
    <cacheField name="[Indian_Employee_Data].[Department].[Department]" caption="Department" numFmtId="0" hierarchy="3" level="1">
      <sharedItems count="5">
        <s v="Finance"/>
        <s v="HR"/>
        <s v="Operations"/>
        <s v="Sales"/>
        <s v="Tech"/>
      </sharedItems>
    </cacheField>
    <cacheField name="[Indian_Employee_Data].[Salary Tier].[Salary Tier]" caption="Salary Tier" numFmtId="0" hierarchy="10" level="1">
      <sharedItems count="4">
        <s v="Junior"/>
        <s v="Lead"/>
        <s v="Mid"/>
        <s v="Senior"/>
      </sharedItems>
    </cacheField>
    <cacheField name="[Measures].[Gender Pay Gap]" caption="Gender Pay Gap" numFmtId="0" hierarchy="39"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0"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0"/>
      </fieldsUsage>
    </cacheHierarchy>
    <cacheHierarchy uniqueName="[Indian_Employee_Data].[Location]" caption="Location" attribute="1" defaultMemberUniqueName="[Indian_Employee_Data].[Location].[All]" allUniqueName="[Indian_Employee_Data].[Location].[All]" dimensionUniqueName="[Indian_Employee_Data]" displayFolder="" count="0"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1"/>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oneField="1">
      <fieldsUsage count="1">
        <fieldUsage x="2"/>
      </fieldsUsage>
    </cacheHierarchy>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arya v" refreshedDate="46220.03634583333" backgroundQuery="1" createdVersion="3" refreshedVersion="8" minRefreshableVersion="3" recordCount="0" tupleCache="1" supportSubquery="1" supportAdvancedDrill="1" xr:uid="{41ABCE8D-BA69-4B57-BC6A-8ABE6E365F32}">
  <cacheSource type="external" connectionId="7"/>
  <cacheFields count="4">
    <cacheField name="[Indian_Employee_Data].[Employee ID].[Employee ID]" caption="Employee ID" numFmtId="0" level="1">
      <sharedItems count="492">
        <s v="[Indian_Employee_Data].[Employee ID].&amp;[Emp1010]" c="Emp1010"/>
        <s v="[Indian_Employee_Data].[Employee ID].&amp;[Emp1011]" c="Emp1011"/>
        <s v="[Indian_Employee_Data].[Employee ID].&amp;[Emp1000]" c="Emp1000"/>
        <s v="[Indian_Employee_Data].[Employee ID].&amp;[Emp1001]" c="Emp1001"/>
        <s v="[Indian_Employee_Data].[Employee ID].&amp;[Emp1002]" c="Emp1002"/>
        <s v="[Indian_Employee_Data].[Employee ID].&amp;[Emp1003]" c="Emp1003"/>
        <s v="[Indian_Employee_Data].[Employee ID].&amp;[Emp1004]" c="Emp1004"/>
        <s v="[Indian_Employee_Data].[Employee ID].&amp;[Emp1005]" c="Emp1005"/>
        <s v="[Indian_Employee_Data].[Employee ID].&amp;[Emp1006]" c="Emp1006"/>
        <s v="[Indian_Employee_Data].[Employee ID].&amp;[Emp1007]" c="Emp1007"/>
        <s v="[Indian_Employee_Data].[Employee ID].&amp;[Emp1008]" c="Emp1008"/>
        <s v="[Indian_Employee_Data].[Employee ID].&amp;[Emp1009]" c="Emp1009"/>
        <s v="[Indian_Employee_Data].[Employee ID].&amp;[Emp1012]" c="Emp1012"/>
        <s v="[Indian_Employee_Data].[Employee ID].&amp;[Emp1013]" c="Emp1013"/>
        <s v="[Indian_Employee_Data].[Employee ID].&amp;[Emp1014]" c="Emp1014"/>
        <s v="[Indian_Employee_Data].[Employee ID].&amp;[Emp1015]" c="Emp1015"/>
        <s v="[Indian_Employee_Data].[Employee ID].&amp;[Emp1016]" c="Emp1016"/>
        <s v="[Indian_Employee_Data].[Employee ID].&amp;[Emp1017]" c="Emp1017"/>
        <s v="[Indian_Employee_Data].[Employee ID].&amp;[Emp1018]" c="Emp1018"/>
        <s v="[Indian_Employee_Data].[Employee ID].&amp;[Emp1019]" c="Emp1019"/>
        <s v="[Indian_Employee_Data].[Employee ID].&amp;[Emp1020]" c="Emp1020"/>
        <s v="[Indian_Employee_Data].[Employee ID].&amp;[Emp1021]" c="Emp1021"/>
        <s v="[Indian_Employee_Data].[Employee ID].&amp;[Emp1022]" c="Emp1022"/>
        <s v="[Indian_Employee_Data].[Employee ID].&amp;[Emp1023]" c="Emp1023"/>
        <s v="[Indian_Employee_Data].[Employee ID].&amp;[Emp1024]" c="Emp1024"/>
        <s v="[Indian_Employee_Data].[Employee ID].&amp;[Emp1025]" c="Emp1025"/>
        <s v="[Indian_Employee_Data].[Employee ID].&amp;[Emp1026]" c="Emp1026"/>
        <s v="[Indian_Employee_Data].[Employee ID].&amp;[Emp1027]" c="Emp1027"/>
        <s v="[Indian_Employee_Data].[Employee ID].&amp;[Emp1028]" c="Emp1028"/>
        <s v="[Indian_Employee_Data].[Employee ID].&amp;[Emp1029]" c="Emp1029"/>
        <s v="[Indian_Employee_Data].[Employee ID].&amp;[Emp1030]" c="Emp1030"/>
        <s v="[Indian_Employee_Data].[Employee ID].&amp;[Emp1031]" c="Emp1031"/>
        <s v="[Indian_Employee_Data].[Employee ID].&amp;[Emp1032]" c="Emp1032"/>
        <s v="[Indian_Employee_Data].[Employee ID].&amp;[Emp1033]" c="Emp1033"/>
        <s v="[Indian_Employee_Data].[Employee ID].&amp;[Emp1034]" c="Emp1034"/>
        <s v="[Indian_Employee_Data].[Employee ID].&amp;[Emp1035]" c="Emp1035"/>
        <s v="[Indian_Employee_Data].[Employee ID].&amp;[Emp1036]" c="Emp1036"/>
        <s v="[Indian_Employee_Data].[Employee ID].&amp;[Emp1037]" c="Emp1037"/>
        <s v="[Indian_Employee_Data].[Employee ID].&amp;[Emp1038]" c="Emp1038"/>
        <s v="[Indian_Employee_Data].[Employee ID].&amp;[Emp1039]" c="Emp1039"/>
        <s v="[Indian_Employee_Data].[Employee ID].&amp;[Emp1040]" c="Emp1040"/>
        <s v="[Indian_Employee_Data].[Employee ID].&amp;[Emp1041]" c="Emp1041"/>
        <s v="[Indian_Employee_Data].[Employee ID].&amp;[Emp1042]" c="Emp1042"/>
        <s v="[Indian_Employee_Data].[Employee ID].&amp;[Emp1043]" c="Emp1043"/>
        <s v="[Indian_Employee_Data].[Employee ID].&amp;[Emp1044]" c="Emp1044"/>
        <s v="[Indian_Employee_Data].[Employee ID].&amp;[Emp1045]" c="Emp1045"/>
        <s v="[Indian_Employee_Data].[Employee ID].&amp;[Emp1046]" c="Emp1046"/>
        <s v="[Indian_Employee_Data].[Employee ID].&amp;[Emp1048]" c="Emp1048"/>
        <s v="[Indian_Employee_Data].[Employee ID].&amp;[Emp1049]" c="Emp1049"/>
        <s v="[Indian_Employee_Data].[Employee ID].&amp;[Emp1050]" c="Emp1050"/>
        <s v="[Indian_Employee_Data].[Employee ID].&amp;[Emp1051]" c="Emp1051"/>
        <s v="[Indian_Employee_Data].[Employee ID].&amp;[Emp1052]" c="Emp1052"/>
        <s v="[Indian_Employee_Data].[Employee ID].&amp;[Emp1053]" c="Emp1053"/>
        <s v="[Indian_Employee_Data].[Employee ID].&amp;[Emp1054]" c="Emp1054"/>
        <s v="[Indian_Employee_Data].[Employee ID].&amp;[Emp1055]" c="Emp1055"/>
        <s v="[Indian_Employee_Data].[Employee ID].&amp;[Emp1056]" c="Emp1056"/>
        <s v="[Indian_Employee_Data].[Employee ID].&amp;[Emp1057]" c="Emp1057"/>
        <s v="[Indian_Employee_Data].[Employee ID].&amp;[Emp1058]" c="Emp1058"/>
        <s v="[Indian_Employee_Data].[Employee ID].&amp;[Emp1059]" c="Emp1059"/>
        <s v="[Indian_Employee_Data].[Employee ID].&amp;[Emp1060]" c="Emp1060"/>
        <s v="[Indian_Employee_Data].[Employee ID].&amp;[Emp1061]" c="Emp1061"/>
        <s v="[Indian_Employee_Data].[Employee ID].&amp;[Emp1062]" c="Emp1062"/>
        <s v="[Indian_Employee_Data].[Employee ID].&amp;[Emp1063]" c="Emp1063"/>
        <s v="[Indian_Employee_Data].[Employee ID].&amp;[Emp1064]" c="Emp1064"/>
        <s v="[Indian_Employee_Data].[Employee ID].&amp;[Emp1065]" c="Emp1065"/>
        <s v="[Indian_Employee_Data].[Employee ID].&amp;[Emp1066]" c="Emp1066"/>
        <s v="[Indian_Employee_Data].[Employee ID].&amp;[Emp1067]" c="Emp1067"/>
        <s v="[Indian_Employee_Data].[Employee ID].&amp;[Emp1068]" c="Emp1068"/>
        <s v="[Indian_Employee_Data].[Employee ID].&amp;[Emp1069]" c="Emp1069"/>
        <s v="[Indian_Employee_Data].[Employee ID].&amp;[Emp1070]" c="Emp1070"/>
        <s v="[Indian_Employee_Data].[Employee ID].&amp;[Emp1071]" c="Emp1071"/>
        <s v="[Indian_Employee_Data].[Employee ID].&amp;[Emp1072]" c="Emp1072"/>
        <s v="[Indian_Employee_Data].[Employee ID].&amp;[Emp1073]" c="Emp1073"/>
        <s v="[Indian_Employee_Data].[Employee ID].&amp;[Emp1074]" c="Emp1074"/>
        <s v="[Indian_Employee_Data].[Employee ID].&amp;[Emp1075]" c="Emp1075"/>
        <s v="[Indian_Employee_Data].[Employee ID].&amp;[Emp1076]" c="Emp1076"/>
        <s v="[Indian_Employee_Data].[Employee ID].&amp;[Emp1078]" c="Emp1078"/>
        <s v="[Indian_Employee_Data].[Employee ID].&amp;[Emp1079]" c="Emp1079"/>
        <s v="[Indian_Employee_Data].[Employee ID].&amp;[Emp1080]" c="Emp1080"/>
        <s v="[Indian_Employee_Data].[Employee ID].&amp;[Emp1081]" c="Emp1081"/>
        <s v="[Indian_Employee_Data].[Employee ID].&amp;[Emp1082]" c="Emp1082"/>
        <s v="[Indian_Employee_Data].[Employee ID].&amp;[Emp1083]" c="Emp1083"/>
        <s v="[Indian_Employee_Data].[Employee ID].&amp;[Emp1084]" c="Emp1084"/>
        <s v="[Indian_Employee_Data].[Employee ID].&amp;[Emp1085]" c="Emp1085"/>
        <s v="[Indian_Employee_Data].[Employee ID].&amp;[Emp1086]" c="Emp1086"/>
        <s v="[Indian_Employee_Data].[Employee ID].&amp;[Emp1087]" c="Emp1087"/>
        <s v="[Indian_Employee_Data].[Employee ID].&amp;[Emp1088]" c="Emp1088"/>
        <s v="[Indian_Employee_Data].[Employee ID].&amp;[Emp1090]" c="Emp1090"/>
        <s v="[Indian_Employee_Data].[Employee ID].&amp;[Emp1091]" c="Emp1091"/>
        <s v="[Indian_Employee_Data].[Employee ID].&amp;[Emp1093]" c="Emp1093"/>
        <s v="[Indian_Employee_Data].[Employee ID].&amp;[Emp1094]" c="Emp1094"/>
        <s v="[Indian_Employee_Data].[Employee ID].&amp;[Emp1095]" c="Emp1095"/>
        <s v="[Indian_Employee_Data].[Employee ID].&amp;[Emp1096]" c="Emp1096"/>
        <s v="[Indian_Employee_Data].[Employee ID].&amp;[Emp1097]" c="Emp1097"/>
        <s v="[Indian_Employee_Data].[Employee ID].&amp;[Emp1098]" c="Emp1098"/>
        <s v="[Indian_Employee_Data].[Employee ID].&amp;[Emp1099]" c="Emp1099"/>
        <s v="[Indian_Employee_Data].[Employee ID].&amp;[Emp1100]" c="Emp1100"/>
        <s v="[Indian_Employee_Data].[Employee ID].&amp;[Emp1101]" c="Emp1101"/>
        <s v="[Indian_Employee_Data].[Employee ID].&amp;[Emp1102]" c="Emp1102"/>
        <s v="[Indian_Employee_Data].[Employee ID].&amp;[Emp1103]" c="Emp1103"/>
        <s v="[Indian_Employee_Data].[Employee ID].&amp;[Emp1104]" c="Emp1104"/>
        <s v="[Indian_Employee_Data].[Employee ID].&amp;[Emp1105]" c="Emp1105"/>
        <s v="[Indian_Employee_Data].[Employee ID].&amp;[Emp1106]" c="Emp1106"/>
        <s v="[Indian_Employee_Data].[Employee ID].&amp;[Emp1107]" c="Emp1107"/>
        <s v="[Indian_Employee_Data].[Employee ID].&amp;[Emp1108]" c="Emp1108"/>
        <s v="[Indian_Employee_Data].[Employee ID].&amp;[Emp1109]" c="Emp1109"/>
        <s v="[Indian_Employee_Data].[Employee ID].&amp;[Emp1110]" c="Emp1110"/>
        <s v="[Indian_Employee_Data].[Employee ID].&amp;[Emp1111]" c="Emp1111"/>
        <s v="[Indian_Employee_Data].[Employee ID].&amp;[Emp1112]" c="Emp1112"/>
        <s v="[Indian_Employee_Data].[Employee ID].&amp;[Emp1113]" c="Emp1113"/>
        <s v="[Indian_Employee_Data].[Employee ID].&amp;[Emp1114]" c="Emp1114"/>
        <s v="[Indian_Employee_Data].[Employee ID].&amp;[Emp1115]" c="Emp1115"/>
        <s v="[Indian_Employee_Data].[Employee ID].&amp;[Emp1116]" c="Emp1116"/>
        <s v="[Indian_Employee_Data].[Employee ID].&amp;[Emp1117]" c="Emp1117"/>
        <s v="[Indian_Employee_Data].[Employee ID].&amp;[Emp1118]" c="Emp1118"/>
        <s v="[Indian_Employee_Data].[Employee ID].&amp;[Emp1119]" c="Emp1119"/>
        <s v="[Indian_Employee_Data].[Employee ID].&amp;[Emp1120]" c="Emp1120"/>
        <s v="[Indian_Employee_Data].[Employee ID].&amp;[Emp1121]" c="Emp1121"/>
        <s v="[Indian_Employee_Data].[Employee ID].&amp;[Emp1122]" c="Emp1122"/>
        <s v="[Indian_Employee_Data].[Employee ID].&amp;[Emp1123]" c="Emp1123"/>
        <s v="[Indian_Employee_Data].[Employee ID].&amp;[Emp1124]" c="Emp1124"/>
        <s v="[Indian_Employee_Data].[Employee ID].&amp;[Emp1125]" c="Emp1125"/>
        <s v="[Indian_Employee_Data].[Employee ID].&amp;[Emp1126]" c="Emp1126"/>
        <s v="[Indian_Employee_Data].[Employee ID].&amp;[Emp1127]" c="Emp1127"/>
        <s v="[Indian_Employee_Data].[Employee ID].&amp;[Emp1128]" c="Emp1128"/>
        <s v="[Indian_Employee_Data].[Employee ID].&amp;[Emp1129]" c="Emp1129"/>
        <s v="[Indian_Employee_Data].[Employee ID].&amp;[Emp1130]" c="Emp1130"/>
        <s v="[Indian_Employee_Data].[Employee ID].&amp;[Emp1131]" c="Emp1131"/>
        <s v="[Indian_Employee_Data].[Employee ID].&amp;[Emp1132]" c="Emp1132"/>
        <s v="[Indian_Employee_Data].[Employee ID].&amp;[Emp1133]" c="Emp1133"/>
        <s v="[Indian_Employee_Data].[Employee ID].&amp;[Emp1134]" c="Emp1134"/>
        <s v="[Indian_Employee_Data].[Employee ID].&amp;[Emp1135]" c="Emp1135"/>
        <s v="[Indian_Employee_Data].[Employee ID].&amp;[Emp1136]" c="Emp1136"/>
        <s v="[Indian_Employee_Data].[Employee ID].&amp;[Emp1137]" c="Emp1137"/>
        <s v="[Indian_Employee_Data].[Employee ID].&amp;[Emp1138]" c="Emp1138"/>
        <s v="[Indian_Employee_Data].[Employee ID].&amp;[Emp1139]" c="Emp1139"/>
        <s v="[Indian_Employee_Data].[Employee ID].&amp;[Emp1140]" c="Emp1140"/>
        <s v="[Indian_Employee_Data].[Employee ID].&amp;[Emp1141]" c="Emp1141"/>
        <s v="[Indian_Employee_Data].[Employee ID].&amp;[Emp1142]" c="Emp1142"/>
        <s v="[Indian_Employee_Data].[Employee ID].&amp;[Emp1143]" c="Emp1143"/>
        <s v="[Indian_Employee_Data].[Employee ID].&amp;[Emp1145]" c="Emp1145"/>
        <s v="[Indian_Employee_Data].[Employee ID].&amp;[Emp1146]" c="Emp1146"/>
        <s v="[Indian_Employee_Data].[Employee ID].&amp;[Emp1147]" c="Emp1147"/>
        <s v="[Indian_Employee_Data].[Employee ID].&amp;[Emp1148]" c="Emp1148"/>
        <s v="[Indian_Employee_Data].[Employee ID].&amp;[Emp1149]" c="Emp1149"/>
        <s v="[Indian_Employee_Data].[Employee ID].&amp;[Emp1150]" c="Emp1150"/>
        <s v="[Indian_Employee_Data].[Employee ID].&amp;[Emp1151]" c="Emp1151"/>
        <s v="[Indian_Employee_Data].[Employee ID].&amp;[Emp1152]" c="Emp1152"/>
        <s v="[Indian_Employee_Data].[Employee ID].&amp;[Emp1153]" c="Emp1153"/>
        <s v="[Indian_Employee_Data].[Employee ID].&amp;[Emp1154]" c="Emp1154"/>
        <s v="[Indian_Employee_Data].[Employee ID].&amp;[Emp1155]" c="Emp1155"/>
        <s v="[Indian_Employee_Data].[Employee ID].&amp;[Emp1156]" c="Emp1156"/>
        <s v="[Indian_Employee_Data].[Employee ID].&amp;[Emp1157]" c="Emp1157"/>
        <s v="[Indian_Employee_Data].[Employee ID].&amp;[Emp1158]" c="Emp1158"/>
        <s v="[Indian_Employee_Data].[Employee ID].&amp;[Emp1159]" c="Emp1159"/>
        <s v="[Indian_Employee_Data].[Employee ID].&amp;[Emp1160]" c="Emp1160"/>
        <s v="[Indian_Employee_Data].[Employee ID].&amp;[Emp1161]" c="Emp1161"/>
        <s v="[Indian_Employee_Data].[Employee ID].&amp;[Emp1162]" c="Emp1162"/>
        <s v="[Indian_Employee_Data].[Employee ID].&amp;[Emp1163]" c="Emp1163"/>
        <s v="[Indian_Employee_Data].[Employee ID].&amp;[Emp1164]" c="Emp1164"/>
        <s v="[Indian_Employee_Data].[Employee ID].&amp;[Emp1165]" c="Emp1165"/>
        <s v="[Indian_Employee_Data].[Employee ID].&amp;[Emp1166]" c="Emp1166"/>
        <s v="[Indian_Employee_Data].[Employee ID].&amp;[Emp1167]" c="Emp1167"/>
        <s v="[Indian_Employee_Data].[Employee ID].&amp;[Emp1168]" c="Emp1168"/>
        <s v="[Indian_Employee_Data].[Employee ID].&amp;[Emp1169]" c="Emp1169"/>
        <s v="[Indian_Employee_Data].[Employee ID].&amp;[Emp1170]" c="Emp1170"/>
        <s v="[Indian_Employee_Data].[Employee ID].&amp;[Emp1171]" c="Emp1171"/>
        <s v="[Indian_Employee_Data].[Employee ID].&amp;[Emp1172]" c="Emp1172"/>
        <s v="[Indian_Employee_Data].[Employee ID].&amp;[Emp1173]" c="Emp1173"/>
        <s v="[Indian_Employee_Data].[Employee ID].&amp;[Emp1174]" c="Emp1174"/>
        <s v="[Indian_Employee_Data].[Employee ID].&amp;[Emp1175]" c="Emp1175"/>
        <s v="[Indian_Employee_Data].[Employee ID].&amp;[Emp1176]" c="Emp1176"/>
        <s v="[Indian_Employee_Data].[Employee ID].&amp;[Emp1177]" c="Emp1177"/>
        <s v="[Indian_Employee_Data].[Employee ID].&amp;[Emp1178]" c="Emp1178"/>
        <s v="[Indian_Employee_Data].[Employee ID].&amp;[Emp1179]" c="Emp1179"/>
        <s v="[Indian_Employee_Data].[Employee ID].&amp;[Emp1180]" c="Emp1180"/>
        <s v="[Indian_Employee_Data].[Employee ID].&amp;[Emp1181]" c="Emp1181"/>
        <s v="[Indian_Employee_Data].[Employee ID].&amp;[Emp1182]" c="Emp1182"/>
        <s v="[Indian_Employee_Data].[Employee ID].&amp;[Emp1183]" c="Emp1183"/>
        <s v="[Indian_Employee_Data].[Employee ID].&amp;[Emp1184]" c="Emp1184"/>
        <s v="[Indian_Employee_Data].[Employee ID].&amp;[Emp1185]" c="Emp1185"/>
        <s v="[Indian_Employee_Data].[Employee ID].&amp;[Emp1186]" c="Emp1186"/>
        <s v="[Indian_Employee_Data].[Employee ID].&amp;[Emp1187]" c="Emp1187"/>
        <s v="[Indian_Employee_Data].[Employee ID].&amp;[Emp1188]" c="Emp1188"/>
        <s v="[Indian_Employee_Data].[Employee ID].&amp;[Emp1189]" c="Emp1189"/>
        <s v="[Indian_Employee_Data].[Employee ID].&amp;[Emp1190]" c="Emp1190"/>
        <s v="[Indian_Employee_Data].[Employee ID].&amp;[Emp1191]" c="Emp1191"/>
        <s v="[Indian_Employee_Data].[Employee ID].&amp;[Emp1192]" c="Emp1192"/>
        <s v="[Indian_Employee_Data].[Employee ID].&amp;[Emp1193]" c="Emp1193"/>
        <s v="[Indian_Employee_Data].[Employee ID].&amp;[Emp1194]" c="Emp1194"/>
        <s v="[Indian_Employee_Data].[Employee ID].&amp;[Emp1195]" c="Emp1195"/>
        <s v="[Indian_Employee_Data].[Employee ID].&amp;[Emp1196]" c="Emp1196"/>
        <s v="[Indian_Employee_Data].[Employee ID].&amp;[Emp1197]" c="Emp1197"/>
        <s v="[Indian_Employee_Data].[Employee ID].&amp;[Emp1198]" c="Emp1198"/>
        <s v="[Indian_Employee_Data].[Employee ID].&amp;[Emp1199]" c="Emp1199"/>
        <s v="[Indian_Employee_Data].[Employee ID].&amp;[Emp1200]" c="Emp1200"/>
        <s v="[Indian_Employee_Data].[Employee ID].&amp;[Emp1201]" c="Emp1201"/>
        <s v="[Indian_Employee_Data].[Employee ID].&amp;[Emp1202]" c="Emp1202"/>
        <s v="[Indian_Employee_Data].[Employee ID].&amp;[Emp1203]" c="Emp1203"/>
        <s v="[Indian_Employee_Data].[Employee ID].&amp;[Emp1204]" c="Emp1204"/>
        <s v="[Indian_Employee_Data].[Employee ID].&amp;[Emp1206]" c="Emp1206"/>
        <s v="[Indian_Employee_Data].[Employee ID].&amp;[Emp1207]" c="Emp1207"/>
        <s v="[Indian_Employee_Data].[Employee ID].&amp;[Emp1208]" c="Emp1208"/>
        <s v="[Indian_Employee_Data].[Employee ID].&amp;[Emp1209]" c="Emp1209"/>
        <s v="[Indian_Employee_Data].[Employee ID].&amp;[Emp1210]" c="Emp1210"/>
        <s v="[Indian_Employee_Data].[Employee ID].&amp;[Emp1211]" c="Emp1211"/>
        <s v="[Indian_Employee_Data].[Employee ID].&amp;[Emp1212]" c="Emp1212"/>
        <s v="[Indian_Employee_Data].[Employee ID].&amp;[Emp1213]" c="Emp1213"/>
        <s v="[Indian_Employee_Data].[Employee ID].&amp;[Emp1214]" c="Emp1214"/>
        <s v="[Indian_Employee_Data].[Employee ID].&amp;[Emp1215]" c="Emp1215"/>
        <s v="[Indian_Employee_Data].[Employee ID].&amp;[Emp1216]" c="Emp1216"/>
        <s v="[Indian_Employee_Data].[Employee ID].&amp;[Emp1217]" c="Emp1217"/>
        <s v="[Indian_Employee_Data].[Employee ID].&amp;[Emp1218]" c="Emp1218"/>
        <s v="[Indian_Employee_Data].[Employee ID].&amp;[Emp1219]" c="Emp1219"/>
        <s v="[Indian_Employee_Data].[Employee ID].&amp;[Emp1220]" c="Emp1220"/>
        <s v="[Indian_Employee_Data].[Employee ID].&amp;[Emp1221]" c="Emp1221"/>
        <s v="[Indian_Employee_Data].[Employee ID].&amp;[Emp1222]" c="Emp1222"/>
        <s v="[Indian_Employee_Data].[Employee ID].&amp;[Emp1223]" c="Emp1223"/>
        <s v="[Indian_Employee_Data].[Employee ID].&amp;[Emp1224]" c="Emp1224"/>
        <s v="[Indian_Employee_Data].[Employee ID].&amp;[Emp1225]" c="Emp1225"/>
        <s v="[Indian_Employee_Data].[Employee ID].&amp;[Emp1226]" c="Emp1226"/>
        <s v="[Indian_Employee_Data].[Employee ID].&amp;[Emp1227]" c="Emp1227"/>
        <s v="[Indian_Employee_Data].[Employee ID].&amp;[Emp1228]" c="Emp1228"/>
        <s v="[Indian_Employee_Data].[Employee ID].&amp;[Emp1230]" c="Emp1230"/>
        <s v="[Indian_Employee_Data].[Employee ID].&amp;[Emp1231]" c="Emp1231"/>
        <s v="[Indian_Employee_Data].[Employee ID].&amp;[Emp1232]" c="Emp1232"/>
        <s v="[Indian_Employee_Data].[Employee ID].&amp;[Emp1233]" c="Emp1233"/>
        <s v="[Indian_Employee_Data].[Employee ID].&amp;[Emp1234]" c="Emp1234"/>
        <s v="[Indian_Employee_Data].[Employee ID].&amp;[Emp1235]" c="Emp1235"/>
        <s v="[Indian_Employee_Data].[Employee ID].&amp;[Emp1236]" c="Emp1236"/>
        <s v="[Indian_Employee_Data].[Employee ID].&amp;[Emp1237]" c="Emp1237"/>
        <s v="[Indian_Employee_Data].[Employee ID].&amp;[Emp1238]" c="Emp1238"/>
        <s v="[Indian_Employee_Data].[Employee ID].&amp;[Emp1239]" c="Emp1239"/>
        <s v="[Indian_Employee_Data].[Employee ID].&amp;[Emp1240]" c="Emp1240"/>
        <s v="[Indian_Employee_Data].[Employee ID].&amp;[Emp1241]" c="Emp1241"/>
        <s v="[Indian_Employee_Data].[Employee ID].&amp;[Emp1242]" c="Emp1242"/>
        <s v="[Indian_Employee_Data].[Employee ID].&amp;[Emp1243]" c="Emp1243"/>
        <s v="[Indian_Employee_Data].[Employee ID].&amp;[Emp1244]" c="Emp1244"/>
        <s v="[Indian_Employee_Data].[Employee ID].&amp;[Emp1245]" c="Emp1245"/>
        <s v="[Indian_Employee_Data].[Employee ID].&amp;[Emp1246]" c="Emp1246"/>
        <s v="[Indian_Employee_Data].[Employee ID].&amp;[Emp1247]" c="Emp1247"/>
        <s v="[Indian_Employee_Data].[Employee ID].&amp;[Emp1248]" c="Emp1248"/>
        <s v="[Indian_Employee_Data].[Employee ID].&amp;[Emp1249]" c="Emp1249"/>
        <s v="[Indian_Employee_Data].[Employee ID].&amp;[Emp1250]" c="Emp1250"/>
        <s v="[Indian_Employee_Data].[Employee ID].&amp;[Emp1251]" c="Emp1251"/>
        <s v="[Indian_Employee_Data].[Employee ID].&amp;[Emp1252]" c="Emp1252"/>
        <s v="[Indian_Employee_Data].[Employee ID].&amp;[Emp1253]" c="Emp1253"/>
        <s v="[Indian_Employee_Data].[Employee ID].&amp;[Emp1254]" c="Emp1254"/>
        <s v="[Indian_Employee_Data].[Employee ID].&amp;[Emp1255]" c="Emp1255"/>
        <s v="[Indian_Employee_Data].[Employee ID].&amp;[Emp1256]" c="Emp1256"/>
        <s v="[Indian_Employee_Data].[Employee ID].&amp;[Emp1257]" c="Emp1257"/>
        <s v="[Indian_Employee_Data].[Employee ID].&amp;[Emp1258]" c="Emp1258"/>
        <s v="[Indian_Employee_Data].[Employee ID].&amp;[Emp1259]" c="Emp1259"/>
        <s v="[Indian_Employee_Data].[Employee ID].&amp;[Emp1260]" c="Emp1260"/>
        <s v="[Indian_Employee_Data].[Employee ID].&amp;[Emp1261]" c="Emp1261"/>
        <s v="[Indian_Employee_Data].[Employee ID].&amp;[Emp1262]" c="Emp1262"/>
        <s v="[Indian_Employee_Data].[Employee ID].&amp;[Emp1263]" c="Emp1263"/>
        <s v="[Indian_Employee_Data].[Employee ID].&amp;[Emp1264]" c="Emp1264"/>
        <s v="[Indian_Employee_Data].[Employee ID].&amp;[Emp1265]" c="Emp1265"/>
        <s v="[Indian_Employee_Data].[Employee ID].&amp;[Emp1266]" c="Emp1266"/>
        <s v="[Indian_Employee_Data].[Employee ID].&amp;[Emp1267]" c="Emp1267"/>
        <s v="[Indian_Employee_Data].[Employee ID].&amp;[Emp1268]" c="Emp1268"/>
        <s v="[Indian_Employee_Data].[Employee ID].&amp;[Emp1269]" c="Emp1269"/>
        <s v="[Indian_Employee_Data].[Employee ID].&amp;[Emp1270]" c="Emp1270"/>
        <s v="[Indian_Employee_Data].[Employee ID].&amp;[Emp1271]" c="Emp1271"/>
        <s v="[Indian_Employee_Data].[Employee ID].&amp;[Emp1272]" c="Emp1272"/>
        <s v="[Indian_Employee_Data].[Employee ID].&amp;[Emp1273]" c="Emp1273"/>
        <s v="[Indian_Employee_Data].[Employee ID].&amp;[Emp1274]" c="Emp1274"/>
        <s v="[Indian_Employee_Data].[Employee ID].&amp;[Emp1275]" c="Emp1275"/>
        <s v="[Indian_Employee_Data].[Employee ID].&amp;[Emp1276]" c="Emp1276"/>
        <s v="[Indian_Employee_Data].[Employee ID].&amp;[Emp1277]" c="Emp1277"/>
        <s v="[Indian_Employee_Data].[Employee ID].&amp;[Emp1278]" c="Emp1278"/>
        <s v="[Indian_Employee_Data].[Employee ID].&amp;[Emp1279]" c="Emp1279"/>
        <s v="[Indian_Employee_Data].[Employee ID].&amp;[Emp1280]" c="Emp1280"/>
        <s v="[Indian_Employee_Data].[Employee ID].&amp;[Emp1281]" c="Emp1281"/>
        <s v="[Indian_Employee_Data].[Employee ID].&amp;[Emp1282]" c="Emp1282"/>
        <s v="[Indian_Employee_Data].[Employee ID].&amp;[Emp1283]" c="Emp1283"/>
        <s v="[Indian_Employee_Data].[Employee ID].&amp;[Emp1284]" c="Emp1284"/>
        <s v="[Indian_Employee_Data].[Employee ID].&amp;[Emp1285]" c="Emp1285"/>
        <s v="[Indian_Employee_Data].[Employee ID].&amp;[Emp1286]" c="Emp1286"/>
        <s v="[Indian_Employee_Data].[Employee ID].&amp;[Emp1287]" c="Emp1287"/>
        <s v="[Indian_Employee_Data].[Employee ID].&amp;[Emp1288]" c="Emp1288"/>
        <s v="[Indian_Employee_Data].[Employee ID].&amp;[Emp1289]" c="Emp1289"/>
        <s v="[Indian_Employee_Data].[Employee ID].&amp;[Emp1290]" c="Emp1290"/>
        <s v="[Indian_Employee_Data].[Employee ID].&amp;[Emp1291]" c="Emp1291"/>
        <s v="[Indian_Employee_Data].[Employee ID].&amp;[Emp1292]" c="Emp1292"/>
        <s v="[Indian_Employee_Data].[Employee ID].&amp;[Emp1293]" c="Emp1293"/>
        <s v="[Indian_Employee_Data].[Employee ID].&amp;[Emp1294]" c="Emp1294"/>
        <s v="[Indian_Employee_Data].[Employee ID].&amp;[Emp1295]" c="Emp1295"/>
        <s v="[Indian_Employee_Data].[Employee ID].&amp;[Emp1296]" c="Emp1296"/>
        <s v="[Indian_Employee_Data].[Employee ID].&amp;[Emp1297]" c="Emp1297"/>
        <s v="[Indian_Employee_Data].[Employee ID].&amp;[Emp1298]" c="Emp1298"/>
        <s v="[Indian_Employee_Data].[Employee ID].&amp;[Emp1299]" c="Emp1299"/>
        <s v="[Indian_Employee_Data].[Employee ID].&amp;[Emp1300]" c="Emp1300"/>
        <s v="[Indian_Employee_Data].[Employee ID].&amp;[Emp1301]" c="Emp1301"/>
        <s v="[Indian_Employee_Data].[Employee ID].&amp;[Emp1302]" c="Emp1302"/>
        <s v="[Indian_Employee_Data].[Employee ID].&amp;[Emp1303]" c="Emp1303"/>
        <s v="[Indian_Employee_Data].[Employee ID].&amp;[Emp1304]" c="Emp1304"/>
        <s v="[Indian_Employee_Data].[Employee ID].&amp;[Emp1305]" c="Emp1305"/>
        <s v="[Indian_Employee_Data].[Employee ID].&amp;[Emp1306]" c="Emp1306"/>
        <s v="[Indian_Employee_Data].[Employee ID].&amp;[Emp1307]" c="Emp1307"/>
        <s v="[Indian_Employee_Data].[Employee ID].&amp;[Emp1308]" c="Emp1308"/>
        <s v="[Indian_Employee_Data].[Employee ID].&amp;[Emp1309]" c="Emp1309"/>
        <s v="[Indian_Employee_Data].[Employee ID].&amp;[Emp1310]" c="Emp1310"/>
        <s v="[Indian_Employee_Data].[Employee ID].&amp;[Emp1311]" c="Emp1311"/>
        <s v="[Indian_Employee_Data].[Employee ID].&amp;[Emp1312]" c="Emp1312"/>
        <s v="[Indian_Employee_Data].[Employee ID].&amp;[Emp1313]" c="Emp1313"/>
        <s v="[Indian_Employee_Data].[Employee ID].&amp;[Emp1314]" c="Emp1314"/>
        <s v="[Indian_Employee_Data].[Employee ID].&amp;[Emp1315]" c="Emp1315"/>
        <s v="[Indian_Employee_Data].[Employee ID].&amp;[Emp1316]" c="Emp1316"/>
        <s v="[Indian_Employee_Data].[Employee ID].&amp;[Emp1317]" c="Emp1317"/>
        <s v="[Indian_Employee_Data].[Employee ID].&amp;[Emp1318]" c="Emp1318"/>
        <s v="[Indian_Employee_Data].[Employee ID].&amp;[Emp1319]" c="Emp1319"/>
        <s v="[Indian_Employee_Data].[Employee ID].&amp;[Emp1320]" c="Emp1320"/>
        <s v="[Indian_Employee_Data].[Employee ID].&amp;[Emp1321]" c="Emp1321"/>
        <s v="[Indian_Employee_Data].[Employee ID].&amp;[Emp1322]" c="Emp1322"/>
        <s v="[Indian_Employee_Data].[Employee ID].&amp;[Emp1323]" c="Emp1323"/>
        <s v="[Indian_Employee_Data].[Employee ID].&amp;[Emp1324]" c="Emp1324"/>
        <s v="[Indian_Employee_Data].[Employee ID].&amp;[Emp1325]" c="Emp1325"/>
        <s v="[Indian_Employee_Data].[Employee ID].&amp;[Emp1326]" c="Emp1326"/>
        <s v="[Indian_Employee_Data].[Employee ID].&amp;[Emp1327]" c="Emp1327"/>
        <s v="[Indian_Employee_Data].[Employee ID].&amp;[Emp1328]" c="Emp1328"/>
        <s v="[Indian_Employee_Data].[Employee ID].&amp;[Emp1329]" c="Emp1329"/>
        <s v="[Indian_Employee_Data].[Employee ID].&amp;[Emp1330]" c="Emp1330"/>
        <s v="[Indian_Employee_Data].[Employee ID].&amp;[Emp1331]" c="Emp1331"/>
        <s v="[Indian_Employee_Data].[Employee ID].&amp;[Emp1332]" c="Emp1332"/>
        <s v="[Indian_Employee_Data].[Employee ID].&amp;[Emp1333]" c="Emp1333"/>
        <s v="[Indian_Employee_Data].[Employee ID].&amp;[Emp1334]" c="Emp1334"/>
        <s v="[Indian_Employee_Data].[Employee ID].&amp;[Emp1335]" c="Emp1335"/>
        <s v="[Indian_Employee_Data].[Employee ID].&amp;[Emp1336]" c="Emp1336"/>
        <s v="[Indian_Employee_Data].[Employee ID].&amp;[Emp1337]" c="Emp1337"/>
        <s v="[Indian_Employee_Data].[Employee ID].&amp;[Emp1338]" c="Emp1338"/>
        <s v="[Indian_Employee_Data].[Employee ID].&amp;[Emp1339]" c="Emp1339"/>
        <s v="[Indian_Employee_Data].[Employee ID].&amp;[Emp1340]" c="Emp1340"/>
        <s v="[Indian_Employee_Data].[Employee ID].&amp;[Emp1341]" c="Emp1341"/>
        <s v="[Indian_Employee_Data].[Employee ID].&amp;[Emp1342]" c="Emp1342"/>
        <s v="[Indian_Employee_Data].[Employee ID].&amp;[Emp1343]" c="Emp1343"/>
        <s v="[Indian_Employee_Data].[Employee ID].&amp;[Emp1344]" c="Emp1344"/>
        <s v="[Indian_Employee_Data].[Employee ID].&amp;[Emp1345]" c="Emp1345"/>
        <s v="[Indian_Employee_Data].[Employee ID].&amp;[Emp1346]" c="Emp1346"/>
        <s v="[Indian_Employee_Data].[Employee ID].&amp;[Emp1347]" c="Emp1347"/>
        <s v="[Indian_Employee_Data].[Employee ID].&amp;[Emp1348]" c="Emp1348"/>
        <s v="[Indian_Employee_Data].[Employee ID].&amp;[Emp1350]" c="Emp1350"/>
        <s v="[Indian_Employee_Data].[Employee ID].&amp;[Emp1351]" c="Emp1351"/>
        <s v="[Indian_Employee_Data].[Employee ID].&amp;[Emp1352]" c="Emp1352"/>
        <s v="[Indian_Employee_Data].[Employee ID].&amp;[Emp1353]" c="Emp1353"/>
        <s v="[Indian_Employee_Data].[Employee ID].&amp;[Emp1354]" c="Emp1354"/>
        <s v="[Indian_Employee_Data].[Employee ID].&amp;[Emp1355]" c="Emp1355"/>
        <s v="[Indian_Employee_Data].[Employee ID].&amp;[Emp1356]" c="Emp1356"/>
        <s v="[Indian_Employee_Data].[Employee ID].&amp;[Emp1357]" c="Emp1357"/>
        <s v="[Indian_Employee_Data].[Employee ID].&amp;[Emp1358]" c="Emp1358"/>
        <s v="[Indian_Employee_Data].[Employee ID].&amp;[Emp1359]" c="Emp1359"/>
        <s v="[Indian_Employee_Data].[Employee ID].&amp;[Emp1360]" c="Emp1360"/>
        <s v="[Indian_Employee_Data].[Employee ID].&amp;[Emp1361]" c="Emp1361"/>
        <s v="[Indian_Employee_Data].[Employee ID].&amp;[Emp1362]" c="Emp1362"/>
        <s v="[Indian_Employee_Data].[Employee ID].&amp;[Emp1363]" c="Emp1363"/>
        <s v="[Indian_Employee_Data].[Employee ID].&amp;[Emp1364]" c="Emp1364"/>
        <s v="[Indian_Employee_Data].[Employee ID].&amp;[Emp1365]" c="Emp1365"/>
        <s v="[Indian_Employee_Data].[Employee ID].&amp;[Emp1366]" c="Emp1366"/>
        <s v="[Indian_Employee_Data].[Employee ID].&amp;[Emp1367]" c="Emp1367"/>
        <s v="[Indian_Employee_Data].[Employee ID].&amp;[Emp1368]" c="Emp1368"/>
        <s v="[Indian_Employee_Data].[Employee ID].&amp;[Emp1369]" c="Emp1369"/>
        <s v="[Indian_Employee_Data].[Employee ID].&amp;[Emp1370]" c="Emp1370"/>
        <s v="[Indian_Employee_Data].[Employee ID].&amp;[Emp1371]" c="Emp1371"/>
        <s v="[Indian_Employee_Data].[Employee ID].&amp;[Emp1372]" c="Emp1372"/>
        <s v="[Indian_Employee_Data].[Employee ID].&amp;[Emp1373]" c="Emp1373"/>
        <s v="[Indian_Employee_Data].[Employee ID].&amp;[Emp1374]" c="Emp1374"/>
        <s v="[Indian_Employee_Data].[Employee ID].&amp;[Emp1375]" c="Emp1375"/>
        <s v="[Indian_Employee_Data].[Employee ID].&amp;[Emp1376]" c="Emp1376"/>
        <s v="[Indian_Employee_Data].[Employee ID].&amp;[Emp1377]" c="Emp1377"/>
        <s v="[Indian_Employee_Data].[Employee ID].&amp;[Emp1378]" c="Emp1378"/>
        <s v="[Indian_Employee_Data].[Employee ID].&amp;[Emp1379]" c="Emp1379"/>
        <s v="[Indian_Employee_Data].[Employee ID].&amp;[Emp1380]" c="Emp1380"/>
        <s v="[Indian_Employee_Data].[Employee ID].&amp;[Emp1381]" c="Emp1381"/>
        <s v="[Indian_Employee_Data].[Employee ID].&amp;[Emp1382]" c="Emp1382"/>
        <s v="[Indian_Employee_Data].[Employee ID].&amp;[Emp1383]" c="Emp1383"/>
        <s v="[Indian_Employee_Data].[Employee ID].&amp;[Emp1384]" c="Emp1384"/>
        <s v="[Indian_Employee_Data].[Employee ID].&amp;[Emp1385]" c="Emp1385"/>
        <s v="[Indian_Employee_Data].[Employee ID].&amp;[Emp1386]" c="Emp1386"/>
        <s v="[Indian_Employee_Data].[Employee ID].&amp;[Emp1387]" c="Emp1387"/>
        <s v="[Indian_Employee_Data].[Employee ID].&amp;[Emp1388]" c="Emp1388"/>
        <s v="[Indian_Employee_Data].[Employee ID].&amp;[Emp1389]" c="Emp1389"/>
        <s v="[Indian_Employee_Data].[Employee ID].&amp;[Emp1390]" c="Emp1390"/>
        <s v="[Indian_Employee_Data].[Employee ID].&amp;[Emp1391]" c="Emp1391"/>
        <s v="[Indian_Employee_Data].[Employee ID].&amp;[Emp1392]" c="Emp1392"/>
        <s v="[Indian_Employee_Data].[Employee ID].&amp;[Emp1393]" c="Emp1393"/>
        <s v="[Indian_Employee_Data].[Employee ID].&amp;[Emp1394]" c="Emp1394"/>
        <s v="[Indian_Employee_Data].[Employee ID].&amp;[Emp1395]" c="Emp1395"/>
        <s v="[Indian_Employee_Data].[Employee ID].&amp;[Emp1396]" c="Emp1396"/>
        <s v="[Indian_Employee_Data].[Employee ID].&amp;[Emp1397]" c="Emp1397"/>
        <s v="[Indian_Employee_Data].[Employee ID].&amp;[Emp1398]" c="Emp1398"/>
        <s v="[Indian_Employee_Data].[Employee ID].&amp;[Emp1399]" c="Emp1399"/>
        <s v="[Indian_Employee_Data].[Employee ID].&amp;[Emp1400]" c="Emp1400"/>
        <s v="[Indian_Employee_Data].[Employee ID].&amp;[Emp1401]" c="Emp1401"/>
        <s v="[Indian_Employee_Data].[Employee ID].&amp;[Emp1402]" c="Emp1402"/>
        <s v="[Indian_Employee_Data].[Employee ID].&amp;[Emp1403]" c="Emp1403"/>
        <s v="[Indian_Employee_Data].[Employee ID].&amp;[Emp1404]" c="Emp1404"/>
        <s v="[Indian_Employee_Data].[Employee ID].&amp;[Emp1405]" c="Emp1405"/>
        <s v="[Indian_Employee_Data].[Employee ID].&amp;[Emp1406]" c="Emp1406"/>
        <s v="[Indian_Employee_Data].[Employee ID].&amp;[Emp1407]" c="Emp1407"/>
        <s v="[Indian_Employee_Data].[Employee ID].&amp;[Emp1408]" c="Emp1408"/>
        <s v="[Indian_Employee_Data].[Employee ID].&amp;[Emp1409]" c="Emp1409"/>
        <s v="[Indian_Employee_Data].[Employee ID].&amp;[Emp1410]" c="Emp1410"/>
        <s v="[Indian_Employee_Data].[Employee ID].&amp;[Emp1411]" c="Emp1411"/>
        <s v="[Indian_Employee_Data].[Employee ID].&amp;[Emp1412]" c="Emp1412"/>
        <s v="[Indian_Employee_Data].[Employee ID].&amp;[Emp1413]" c="Emp1413"/>
        <s v="[Indian_Employee_Data].[Employee ID].&amp;[Emp1414]" c="Emp1414"/>
        <s v="[Indian_Employee_Data].[Employee ID].&amp;[Emp1415]" c="Emp1415"/>
        <s v="[Indian_Employee_Data].[Employee ID].&amp;[Emp1416]" c="Emp1416"/>
        <s v="[Indian_Employee_Data].[Employee ID].&amp;[Emp1417]" c="Emp1417"/>
        <s v="[Indian_Employee_Data].[Employee ID].&amp;[Emp1418]" c="Emp1418"/>
        <s v="[Indian_Employee_Data].[Employee ID].&amp;[Emp1419]" c="Emp1419"/>
        <s v="[Indian_Employee_Data].[Employee ID].&amp;[Emp1420]" c="Emp1420"/>
        <s v="[Indian_Employee_Data].[Employee ID].&amp;[Emp1421]" c="Emp1421"/>
        <s v="[Indian_Employee_Data].[Employee ID].&amp;[Emp1422]" c="Emp1422"/>
        <s v="[Indian_Employee_Data].[Employee ID].&amp;[Emp1423]" c="Emp1423"/>
        <s v="[Indian_Employee_Data].[Employee ID].&amp;[Emp1424]" c="Emp1424"/>
        <s v="[Indian_Employee_Data].[Employee ID].&amp;[Emp1425]" c="Emp1425"/>
        <s v="[Indian_Employee_Data].[Employee ID].&amp;[Emp1426]" c="Emp1426"/>
        <s v="[Indian_Employee_Data].[Employee ID].&amp;[Emp1427]" c="Emp1427"/>
        <s v="[Indian_Employee_Data].[Employee ID].&amp;[Emp1428]" c="Emp1428"/>
        <s v="[Indian_Employee_Data].[Employee ID].&amp;[Emp1429]" c="Emp1429"/>
        <s v="[Indian_Employee_Data].[Employee ID].&amp;[Emp1430]" c="Emp1430"/>
        <s v="[Indian_Employee_Data].[Employee ID].&amp;[Emp1431]" c="Emp1431"/>
        <s v="[Indian_Employee_Data].[Employee ID].&amp;[Emp1432]" c="Emp1432"/>
        <s v="[Indian_Employee_Data].[Employee ID].&amp;[Emp1433]" c="Emp1433"/>
        <s v="[Indian_Employee_Data].[Employee ID].&amp;[Emp1434]" c="Emp1434"/>
        <s v="[Indian_Employee_Data].[Employee ID].&amp;[Emp1435]" c="Emp1435"/>
        <s v="[Indian_Employee_Data].[Employee ID].&amp;[Emp1436]" c="Emp1436"/>
        <s v="[Indian_Employee_Data].[Employee ID].&amp;[Emp1437]" c="Emp1437"/>
        <s v="[Indian_Employee_Data].[Employee ID].&amp;[Emp1438]" c="Emp1438"/>
        <s v="[Indian_Employee_Data].[Employee ID].&amp;[Emp1439]" c="Emp1439"/>
        <s v="[Indian_Employee_Data].[Employee ID].&amp;[Emp1440]" c="Emp1440"/>
        <s v="[Indian_Employee_Data].[Employee ID].&amp;[Emp1441]" c="Emp1441"/>
        <s v="[Indian_Employee_Data].[Employee ID].&amp;[Emp1442]" c="Emp1442"/>
        <s v="[Indian_Employee_Data].[Employee ID].&amp;[Emp1443]" c="Emp1443"/>
        <s v="[Indian_Employee_Data].[Employee ID].&amp;[Emp1444]" c="Emp1444"/>
        <s v="[Indian_Employee_Data].[Employee ID].&amp;[Emp1445]" c="Emp1445"/>
        <s v="[Indian_Employee_Data].[Employee ID].&amp;[Emp1446]" c="Emp1446"/>
        <s v="[Indian_Employee_Data].[Employee ID].&amp;[Emp1447]" c="Emp1447"/>
        <s v="[Indian_Employee_Data].[Employee ID].&amp;[Emp1448]" c="Emp1448"/>
        <s v="[Indian_Employee_Data].[Employee ID].&amp;[Emp1449]" c="Emp1449"/>
        <s v="[Indian_Employee_Data].[Employee ID].&amp;[Emp1450]" c="Emp1450"/>
        <s v="[Indian_Employee_Data].[Employee ID].&amp;[Emp1451]" c="Emp1451"/>
        <s v="[Indian_Employee_Data].[Employee ID].&amp;[Emp1452]" c="Emp1452"/>
        <s v="[Indian_Employee_Data].[Employee ID].&amp;[Emp1453]" c="Emp1453"/>
        <s v="[Indian_Employee_Data].[Employee ID].&amp;[Emp1454]" c="Emp1454"/>
        <s v="[Indian_Employee_Data].[Employee ID].&amp;[Emp1455]" c="Emp1455"/>
        <s v="[Indian_Employee_Data].[Employee ID].&amp;[Emp1456]" c="Emp1456"/>
        <s v="[Indian_Employee_Data].[Employee ID].&amp;[Emp1457]" c="Emp1457"/>
        <s v="[Indian_Employee_Data].[Employee ID].&amp;[Emp1458]" c="Emp1458"/>
        <s v="[Indian_Employee_Data].[Employee ID].&amp;[Emp1459]" c="Emp1459"/>
        <s v="[Indian_Employee_Data].[Employee ID].&amp;[Emp1460]" c="Emp1460"/>
        <s v="[Indian_Employee_Data].[Employee ID].&amp;[Emp1461]" c="Emp1461"/>
        <s v="[Indian_Employee_Data].[Employee ID].&amp;[Emp1462]" c="Emp1462"/>
        <s v="[Indian_Employee_Data].[Employee ID].&amp;[Emp1463]" c="Emp1463"/>
        <s v="[Indian_Employee_Data].[Employee ID].&amp;[Emp1464]" c="Emp1464"/>
        <s v="[Indian_Employee_Data].[Employee ID].&amp;[Emp1465]" c="Emp1465"/>
        <s v="[Indian_Employee_Data].[Employee ID].&amp;[Emp1466]" c="Emp1466"/>
        <s v="[Indian_Employee_Data].[Employee ID].&amp;[Emp1467]" c="Emp1467"/>
        <s v="[Indian_Employee_Data].[Employee ID].&amp;[Emp1468]" c="Emp1468"/>
        <s v="[Indian_Employee_Data].[Employee ID].&amp;[Emp1469]" c="Emp1469"/>
        <s v="[Indian_Employee_Data].[Employee ID].&amp;[Emp1470]" c="Emp1470"/>
        <s v="[Indian_Employee_Data].[Employee ID].&amp;[Emp1471]" c="Emp1471"/>
        <s v="[Indian_Employee_Data].[Employee ID].&amp;[Emp1472]" c="Emp1472"/>
        <s v="[Indian_Employee_Data].[Employee ID].&amp;[Emp1473]" c="Emp1473"/>
        <s v="[Indian_Employee_Data].[Employee ID].&amp;[Emp1474]" c="Emp1474"/>
        <s v="[Indian_Employee_Data].[Employee ID].&amp;[Emp1475]" c="Emp1475"/>
        <s v="[Indian_Employee_Data].[Employee ID].&amp;[Emp1476]" c="Emp1476"/>
        <s v="[Indian_Employee_Data].[Employee ID].&amp;[Emp1477]" c="Emp1477"/>
        <s v="[Indian_Employee_Data].[Employee ID].&amp;[Emp1478]" c="Emp1478"/>
        <s v="[Indian_Employee_Data].[Employee ID].&amp;[Emp1479]" c="Emp1479"/>
        <s v="[Indian_Employee_Data].[Employee ID].&amp;[Emp1480]" c="Emp1480"/>
        <s v="[Indian_Employee_Data].[Employee ID].&amp;[Emp1481]" c="Emp1481"/>
        <s v="[Indian_Employee_Data].[Employee ID].&amp;[Emp1482]" c="Emp1482"/>
        <s v="[Indian_Employee_Data].[Employee ID].&amp;[Emp1483]" c="Emp1483"/>
        <s v="[Indian_Employee_Data].[Employee ID].&amp;[Emp1484]" c="Emp1484"/>
        <s v="[Indian_Employee_Data].[Employee ID].&amp;[Emp1485]" c="Emp1485"/>
        <s v="[Indian_Employee_Data].[Employee ID].&amp;[Emp1486]" c="Emp1486"/>
        <s v="[Indian_Employee_Data].[Employee ID].&amp;[Emp1487]" c="Emp1487"/>
        <s v="[Indian_Employee_Data].[Employee ID].&amp;[Emp1488]" c="Emp1488"/>
        <s v="[Indian_Employee_Data].[Employee ID].&amp;[Emp1489]" c="Emp1489"/>
        <s v="[Indian_Employee_Data].[Employee ID].&amp;[Emp1490]" c="Emp1490"/>
        <s v="[Indian_Employee_Data].[Employee ID].&amp;[Emp1491]" c="Emp1491"/>
        <s v="[Indian_Employee_Data].[Employee ID].&amp;[Emp1492]" c="Emp1492"/>
        <s v="[Indian_Employee_Data].[Employee ID].&amp;[Emp1493]" c="Emp1493"/>
        <s v="[Indian_Employee_Data].[Employee ID].&amp;[Emp1494]" c="Emp1494"/>
        <s v="[Indian_Employee_Data].[Employee ID].&amp;[Emp1495]" c="Emp1495"/>
        <s v="[Indian_Employee_Data].[Employee ID].&amp;[Emp1496]" c="Emp1496"/>
        <s v="[Indian_Employee_Data].[Employee ID].&amp;[Emp1497]" c="Emp1497"/>
        <s v="[Indian_Employee_Data].[Employee ID].&amp;[Emp1498]" c="Emp1498"/>
        <s v="[Indian_Employee_Data].[Employee ID].&amp;[Emp1499]" c="Emp1499"/>
      </sharedItems>
    </cacheField>
    <cacheField name="[Measures].[MeasuresLevel]" caption="MeasuresLevel" numFmtId="0" hierarchy="13">
      <sharedItems count="2">
        <s v="[Measures].[Sum of Monthly Base Salary (INR)]" c="Sum of Monthly Base Salary (INR)"/>
        <s v="[Measures].[Sum of Monthly Premiums]" c="Sum of Monthly Premiums"/>
      </sharedItems>
    </cacheField>
    <cacheField name="[Indian_Employee_Data].[Insurance tier].[Insurance tier]" caption="Insurance tier" numFmtId="0" hierarchy="7" level="1">
      <sharedItems count="3">
        <s v="[Indian_Employee_Data].[Insurance tier].&amp;[Silver]" c="Silver"/>
        <s v="[Indian_Employee_Data].[Insurance tier].&amp;[Gold]" c="Gold"/>
        <s v="[Indian_Employee_Data].[Insurance tier].&amp;[Bronze]" c="Bronze"/>
      </sharedItems>
    </cacheField>
    <cacheField name="[Indian_Employee_Data].[Department].[Department]" caption="Department" numFmtId="0" hierarchy="3" level="1">
      <sharedItems count="3">
        <s v="[Indian_Employee_Data].[Department].&amp;[Tech]" c="Tech"/>
        <s v="[Indian_Employee_Data].[Department].&amp;[HR]" c="HR"/>
        <s v="[Indian_Employee_Data].[Department].&amp;[Finance]" c="Finance"/>
      </sharedItems>
    </cacheField>
  </cacheFields>
  <cacheHierarchies count="63">
    <cacheHierarchy uniqueName="[Indian_Employee_Data].[Employee ID]" caption="Employee ID" attribute="1" defaultMemberUniqueName="[Indian_Employee_Data].[Employee ID].[All]" allUniqueName="[Indian_Employee_Data].[Employee ID].[All]" dimensionUniqueName="[Indian_Employee_Data]" displayFolder="" count="2" memberValueDatatype="130" unbalanced="0">
      <fieldsUsage count="2">
        <fieldUsage x="-1"/>
        <fieldUsage x="0"/>
      </fieldsUsage>
    </cacheHierarchy>
    <cacheHierarchy uniqueName="[Indian_Employee_Data].[Full Name]" caption="Full Name" attribute="1" defaultMemberUniqueName="[Indian_Employee_Data].[Full Name].[All]" allUniqueName="[Indian_Employee_Data].[Full Name].[All]" dimensionUniqueName="[Indian_Employee_Data]" displayFolder="" count="2"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allCaption="All" dimensionUniqueName="[Indian_Employee_Data]" displayFolder="" count="2" memberValueDatatype="130" unbalanced="0">
      <fieldsUsage count="2">
        <fieldUsage x="-1"/>
        <fieldUsage x="3"/>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2"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2"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2"/>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2"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2"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2"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1"/>
      </fieldsUsage>
    </cacheHierarchy>
    <cacheHierarchy uniqueName="[Query_Audit_Exceptions].[Employee ID]" caption="Employee ID" attribute="1" defaultMemberUniqueName="[Query_Audit_Exceptions].[Employee ID].[All]" allUniqueName="[Query_Audit_Exceptions].[Employee ID].[All]" dimensionUniqueName="[Query_Audit_Exceptions]" displayFolder="" count="2"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2" memberValueDatatype="130" unbalanced="0"/>
    <cacheHierarchy uniqueName="[Query_Audit_Exceptions].[Gender]" caption="Gender" attribute="1" defaultMemberUniqueName="[Query_Audit_Exceptions].[Gender].[All]" allUniqueName="[Query_Audit_Exceptions].[Gender].[All]" dimensionUniqueName="[Query_Audit_Exceptions]" displayFolder="" count="2"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2"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2"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2"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2"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2"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2"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2"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2"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2"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2"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2"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2"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2"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2"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2"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2"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2"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2"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2"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2"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2"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2"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2"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tupleCache>
    <entries count="3936">
      <n v="94822" in="0">
        <tpls c="4">
          <tpl fld="0" item="2"/>
          <tpl hier="3" item="0"/>
          <tpl fld="2" item="0"/>
          <tpl fld="1" item="0"/>
        </tpls>
      </n>
      <n v="4200" in="0">
        <tpls c="4">
          <tpl fld="0" item="2"/>
          <tpl hier="3" item="0"/>
          <tpl fld="2" item="0"/>
          <tpl fld="1" item="1"/>
        </tpls>
      </n>
      <n v="206439" in="0">
        <tpls c="4">
          <tpl fld="0" item="3"/>
          <tpl hier="3" item="0"/>
          <tpl fld="2" item="1"/>
          <tpl fld="1" item="0"/>
        </tpls>
      </n>
      <n v="9000" in="0">
        <tpls c="4">
          <tpl fld="0" item="3"/>
          <tpl hier="3" item="0"/>
          <tpl fld="2" item="1"/>
          <tpl fld="1" item="1"/>
        </tpls>
      </n>
      <n v="148421" in="0">
        <tpls c="4">
          <tpl fld="0" item="4"/>
          <tpl hier="3" item="0"/>
          <tpl fld="2" item="1"/>
          <tpl fld="1" item="0"/>
        </tpls>
      </n>
      <n v="9000" in="0">
        <tpls c="4">
          <tpl fld="0" item="4"/>
          <tpl hier="3" item="0"/>
          <tpl fld="2" item="1"/>
          <tpl fld="1" item="1"/>
        </tpls>
      </n>
      <n v="125695" in="0">
        <tpls c="4">
          <tpl fld="0" item="5"/>
          <tpl hier="3" item="0"/>
          <tpl fld="2" item="1"/>
          <tpl fld="1" item="0"/>
        </tpls>
      </n>
      <n v="9000" in="0">
        <tpls c="4">
          <tpl fld="0" item="5"/>
          <tpl hier="3" item="0"/>
          <tpl fld="2" item="1"/>
          <tpl fld="1" item="1"/>
        </tpls>
      </n>
      <n v="69301" in="0">
        <tpls c="4">
          <tpl fld="0" item="6"/>
          <tpl hier="3" item="0"/>
          <tpl fld="2" item="0"/>
          <tpl fld="1" item="0"/>
        </tpls>
      </n>
      <n v="4200" in="0">
        <tpls c="4">
          <tpl fld="0" item="6"/>
          <tpl hier="3" item="0"/>
          <tpl fld="2" item="0"/>
          <tpl fld="1" item="1"/>
        </tpls>
      </n>
      <n v="69298" in="0">
        <tpls c="4">
          <tpl fld="0" item="7"/>
          <tpl hier="3" item="0"/>
          <tpl fld="2" item="0"/>
          <tpl fld="1" item="0"/>
        </tpls>
      </n>
      <n v="4200" in="0">
        <tpls c="4">
          <tpl fld="0" item="7"/>
          <tpl hier="3" item="0"/>
          <tpl fld="2" item="0"/>
          <tpl fld="1" item="1"/>
        </tpls>
      </n>
      <n v="53979" in="0">
        <tpls c="4">
          <tpl fld="0" item="8"/>
          <tpl hier="3" item="0"/>
          <tpl fld="2" item="2"/>
          <tpl fld="1" item="0"/>
        </tpls>
      </n>
      <n v="1500" in="0">
        <tpls c="4">
          <tpl fld="0" item="8"/>
          <tpl hier="3" item="0"/>
          <tpl fld="2" item="2"/>
          <tpl fld="1" item="1"/>
        </tpls>
      </n>
      <n v="178221" in="0">
        <tpls c="4">
          <tpl fld="0" item="9"/>
          <tpl hier="3" item="0"/>
          <tpl fld="2" item="2"/>
          <tpl fld="1" item="0"/>
        </tpls>
      </n>
      <n v="9500" in="0">
        <tpls c="4">
          <tpl fld="0" item="9"/>
          <tpl hier="3" item="0"/>
          <tpl fld="2" item="2"/>
          <tpl fld="1" item="1"/>
        </tpls>
      </n>
      <n v="126076" in="0">
        <tpls c="4">
          <tpl fld="0" item="10"/>
          <tpl hier="3" item="0"/>
          <tpl fld="2" item="1"/>
          <tpl fld="1" item="0"/>
        </tpls>
      </n>
      <n v="9000" in="0">
        <tpls c="4">
          <tpl fld="0" item="10"/>
          <tpl hier="3" item="0"/>
          <tpl fld="2" item="1"/>
          <tpl fld="1" item="1"/>
        </tpls>
      </n>
      <n v="143984" in="0">
        <tpls c="4">
          <tpl fld="0" item="11"/>
          <tpl hier="3" item="0"/>
          <tpl fld="2" item="1"/>
          <tpl fld="1" item="0"/>
        </tpls>
      </n>
      <n v="6750" in="0">
        <tpls c="4">
          <tpl fld="0" item="11"/>
          <tpl hier="3" item="0"/>
          <tpl fld="2" item="1"/>
          <tpl fld="1" item="1"/>
        </tpls>
      </n>
      <n v="44275" in="0">
        <tpls c="4">
          <tpl fld="0" item="0"/>
          <tpl hier="3" item="0"/>
          <tpl fld="2" item="2"/>
          <tpl fld="1" item="0"/>
        </tpls>
      </n>
      <n v="1500" in="0">
        <tpls c="4">
          <tpl fld="0" item="0"/>
          <tpl hier="3" item="0"/>
          <tpl fld="2" item="2"/>
          <tpl fld="1" item="1"/>
        </tpls>
      </n>
      <n v="215963" in="0">
        <tpls c="4">
          <tpl fld="0" item="1"/>
          <tpl hier="3" item="0"/>
          <tpl fld="2" item="1"/>
          <tpl fld="1" item="0"/>
        </tpls>
      </n>
      <n v="6750" in="0">
        <tpls c="4">
          <tpl fld="0" item="1"/>
          <tpl hier="3" item="0"/>
          <tpl fld="2" item="1"/>
          <tpl fld="1" item="1"/>
        </tpls>
      </n>
      <n v="169682" in="0">
        <tpls c="4">
          <tpl fld="0" item="12"/>
          <tpl hier="3" item="0"/>
          <tpl fld="2" item="1"/>
          <tpl fld="1" item="0"/>
        </tpls>
      </n>
      <n v="6750" in="0">
        <tpls c="4">
          <tpl fld="0" item="12"/>
          <tpl hier="3" item="0"/>
          <tpl fld="2" item="1"/>
          <tpl fld="1" item="1"/>
        </tpls>
      </n>
      <n v="75859" in="0">
        <tpls c="4">
          <tpl fld="0" item="13"/>
          <tpl hier="3" item="0"/>
          <tpl fld="2" item="0"/>
          <tpl fld="1" item="0"/>
        </tpls>
      </n>
      <n v="2800" in="0">
        <tpls c="4">
          <tpl fld="0" item="13"/>
          <tpl hier="3" item="0"/>
          <tpl fld="2" item="0"/>
          <tpl fld="1" item="1"/>
        </tpls>
      </n>
      <n v="72427" in="0">
        <tpls c="4">
          <tpl fld="0" item="14"/>
          <tpl hier="3" item="0"/>
          <tpl fld="2" item="0"/>
          <tpl fld="1" item="0"/>
        </tpls>
      </n>
      <n v="4200" in="0">
        <tpls c="4">
          <tpl fld="0" item="14"/>
          <tpl hier="3" item="0"/>
          <tpl fld="2" item="0"/>
          <tpl fld="1" item="1"/>
        </tpls>
      </n>
      <n v="72611" in="0">
        <tpls c="4">
          <tpl fld="0" item="15"/>
          <tpl hier="3" item="0"/>
          <tpl fld="2" item="0"/>
          <tpl fld="1" item="0"/>
        </tpls>
      </n>
      <n v="4200" in="0">
        <tpls c="4">
          <tpl fld="0" item="15"/>
          <tpl hier="3" item="0"/>
          <tpl fld="2" item="0"/>
          <tpl fld="1" item="1"/>
        </tpls>
      </n>
      <n v="86333" in="0">
        <tpls c="4">
          <tpl fld="0" item="16"/>
          <tpl hier="3" item="0"/>
          <tpl fld="2" item="0"/>
          <tpl fld="1" item="0"/>
        </tpls>
      </n>
      <n v="2800" in="0">
        <tpls c="4">
          <tpl fld="0" item="16"/>
          <tpl hier="3" item="0"/>
          <tpl fld="2" item="0"/>
          <tpl fld="1" item="1"/>
        </tpls>
      </n>
      <n v="114734" in="0">
        <tpls c="4">
          <tpl fld="0" item="17"/>
          <tpl hier="3" item="0"/>
          <tpl fld="2" item="0"/>
          <tpl fld="1" item="0"/>
        </tpls>
      </n>
      <n v="4200" in="0">
        <tpls c="4">
          <tpl fld="0" item="17"/>
          <tpl hier="3" item="0"/>
          <tpl fld="2" item="0"/>
          <tpl fld="1" item="1"/>
        </tpls>
      </n>
      <n v="102114" in="0">
        <tpls c="4">
          <tpl fld="0" item="18"/>
          <tpl hier="3" item="0"/>
          <tpl fld="2" item="0"/>
          <tpl fld="1" item="0"/>
        </tpls>
      </n>
      <n v="2800" in="0">
        <tpls c="4">
          <tpl fld="0" item="18"/>
          <tpl hier="3" item="0"/>
          <tpl fld="2" item="0"/>
          <tpl fld="1" item="1"/>
        </tpls>
      </n>
      <n v="84810" in="0">
        <tpls c="4">
          <tpl fld="0" item="19"/>
          <tpl hier="3" item="0"/>
          <tpl fld="2" item="0"/>
          <tpl fld="1" item="0"/>
        </tpls>
      </n>
      <n v="2800" in="0">
        <tpls c="4">
          <tpl fld="0" item="19"/>
          <tpl hier="3" item="0"/>
          <tpl fld="2" item="0"/>
          <tpl fld="1" item="1"/>
        </tpls>
      </n>
      <n v="127755" in="0">
        <tpls c="4">
          <tpl fld="0" item="20"/>
          <tpl hier="3" item="0"/>
          <tpl fld="2" item="1"/>
          <tpl fld="1" item="0"/>
        </tpls>
      </n>
      <n v="6750" in="0">
        <tpls c="4">
          <tpl fld="0" item="20"/>
          <tpl hier="3" item="0"/>
          <tpl fld="2" item="1"/>
          <tpl fld="1" item="1"/>
        </tpls>
      </n>
      <n v="67161" in="0">
        <tpls c="4">
          <tpl fld="0" item="21"/>
          <tpl hier="3" item="0"/>
          <tpl fld="2" item="0"/>
          <tpl fld="1" item="0"/>
        </tpls>
      </n>
      <n v="2800" in="0">
        <tpls c="4">
          <tpl fld="0" item="21"/>
          <tpl hier="3" item="0"/>
          <tpl fld="2" item="0"/>
          <tpl fld="1" item="1"/>
        </tpls>
      </n>
      <n v="84916" in="0">
        <tpls c="4">
          <tpl fld="0" item="22"/>
          <tpl hier="3" item="0"/>
          <tpl fld="2" item="0"/>
          <tpl fld="1" item="0"/>
        </tpls>
      </n>
      <n v="4200" in="0">
        <tpls c="4">
          <tpl fld="0" item="22"/>
          <tpl hier="3" item="0"/>
          <tpl fld="2" item="0"/>
          <tpl fld="1" item="1"/>
        </tpls>
      </n>
      <n v="93810" in="0">
        <tpls c="4">
          <tpl fld="0" item="23"/>
          <tpl hier="3" item="0"/>
          <tpl fld="2" item="0"/>
          <tpl fld="1" item="0"/>
        </tpls>
      </n>
      <n v="2800" in="0">
        <tpls c="4">
          <tpl fld="0" item="23"/>
          <tpl hier="3" item="0"/>
          <tpl fld="2" item="0"/>
          <tpl fld="1" item="1"/>
        </tpls>
      </n>
      <n v="105288" in="0">
        <tpls c="4">
          <tpl fld="0" item="24"/>
          <tpl hier="3" item="0"/>
          <tpl fld="2" item="0"/>
          <tpl fld="1" item="0"/>
        </tpls>
      </n>
      <n v="4200" in="0">
        <tpls c="4">
          <tpl fld="0" item="24"/>
          <tpl hier="3" item="0"/>
          <tpl fld="2" item="0"/>
          <tpl fld="1" item="1"/>
        </tpls>
      </n>
      <n v="159056" in="0">
        <tpls c="4">
          <tpl fld="0" item="25"/>
          <tpl hier="3" item="0"/>
          <tpl fld="2" item="1"/>
          <tpl fld="1" item="0"/>
        </tpls>
      </n>
      <n v="9000" in="0">
        <tpls c="4">
          <tpl fld="0" item="25"/>
          <tpl hier="3" item="0"/>
          <tpl fld="2" item="1"/>
          <tpl fld="1" item="1"/>
        </tpls>
      </n>
      <n v="74460" in="0">
        <tpls c="4">
          <tpl fld="0" item="26"/>
          <tpl hier="3" item="0"/>
          <tpl fld="2" item="0"/>
          <tpl fld="1" item="0"/>
        </tpls>
      </n>
      <n v="4200" in="0">
        <tpls c="4">
          <tpl fld="0" item="26"/>
          <tpl hier="3" item="0"/>
          <tpl fld="2" item="0"/>
          <tpl fld="1" item="1"/>
        </tpls>
      </n>
      <n v="113244" in="0">
        <tpls c="4">
          <tpl fld="0" item="27"/>
          <tpl hier="3" item="0"/>
          <tpl fld="2" item="0"/>
          <tpl fld="1" item="0"/>
        </tpls>
      </n>
      <n v="4200" in="0">
        <tpls c="4">
          <tpl fld="0" item="27"/>
          <tpl hier="3" item="0"/>
          <tpl fld="2" item="0"/>
          <tpl fld="1" item="1"/>
        </tpls>
      </n>
      <n v="124732" in="0">
        <tpls c="4">
          <tpl fld="0" item="28"/>
          <tpl hier="3" item="0"/>
          <tpl fld="2" item="1"/>
          <tpl fld="1" item="0"/>
        </tpls>
      </n>
      <n v="6750" in="0">
        <tpls c="4">
          <tpl fld="0" item="28"/>
          <tpl hier="3" item="0"/>
          <tpl fld="2" item="1"/>
          <tpl fld="1" item="1"/>
        </tpls>
      </n>
      <n v="51444" in="0">
        <tpls c="4">
          <tpl fld="0" item="29"/>
          <tpl hier="3" item="0"/>
          <tpl fld="2" item="2"/>
          <tpl fld="1" item="0"/>
        </tpls>
      </n>
      <n v="1500" in="0">
        <tpls c="4">
          <tpl fld="0" item="29"/>
          <tpl hier="3" item="0"/>
          <tpl fld="2" item="2"/>
          <tpl fld="1" item="1"/>
        </tpls>
      </n>
      <n v="127079" in="0">
        <tpls c="4">
          <tpl fld="0" item="30"/>
          <tpl hier="3" item="0"/>
          <tpl fld="2" item="1"/>
          <tpl fld="1" item="0"/>
        </tpls>
      </n>
      <n v="6750" in="0">
        <tpls c="4">
          <tpl fld="0" item="30"/>
          <tpl hier="3" item="0"/>
          <tpl fld="2" item="1"/>
          <tpl fld="1" item="1"/>
        </tpls>
      </n>
      <n v="71087" in="0">
        <tpls c="4">
          <tpl fld="0" item="31"/>
          <tpl hier="3" item="0"/>
          <tpl fld="2" item="0"/>
          <tpl fld="1" item="0"/>
        </tpls>
      </n>
      <n v="2800" in="0">
        <tpls c="4">
          <tpl fld="0" item="31"/>
          <tpl hier="3" item="0"/>
          <tpl fld="2" item="0"/>
          <tpl fld="1" item="1"/>
        </tpls>
      </n>
      <n v="55377" in="0">
        <tpls c="4">
          <tpl fld="0" item="32"/>
          <tpl hier="3" item="0"/>
          <tpl fld="2" item="2"/>
          <tpl fld="1" item="0"/>
        </tpls>
      </n>
      <n v="1500" in="0">
        <tpls c="4">
          <tpl fld="0" item="32"/>
          <tpl hier="3" item="0"/>
          <tpl fld="2" item="2"/>
          <tpl fld="1" item="1"/>
        </tpls>
      </n>
      <n v="205638" in="0">
        <tpls c="4">
          <tpl fld="0" item="33"/>
          <tpl hier="3" item="0"/>
          <tpl fld="2" item="1"/>
          <tpl fld="1" item="0"/>
        </tpls>
      </n>
      <n v="6750" in="0">
        <tpls c="4">
          <tpl fld="0" item="33"/>
          <tpl hier="3" item="0"/>
          <tpl fld="2" item="1"/>
          <tpl fld="1" item="1"/>
        </tpls>
      </n>
      <n v="213624" in="0">
        <tpls c="4">
          <tpl fld="0" item="34"/>
          <tpl hier="3" item="0"/>
          <tpl fld="2" item="1"/>
          <tpl fld="1" item="0"/>
        </tpls>
      </n>
      <n v="6750" in="0">
        <tpls c="4">
          <tpl fld="0" item="34"/>
          <tpl hier="3" item="0"/>
          <tpl fld="2" item="1"/>
          <tpl fld="1" item="1"/>
        </tpls>
      </n>
      <n v="164112" in="0">
        <tpls c="4">
          <tpl fld="0" item="35"/>
          <tpl hier="3" item="0"/>
          <tpl fld="2" item="1"/>
          <tpl fld="1" item="0"/>
        </tpls>
      </n>
      <n v="6750" in="0">
        <tpls c="4">
          <tpl fld="0" item="35"/>
          <tpl hier="3" item="0"/>
          <tpl fld="2" item="1"/>
          <tpl fld="1" item="1"/>
        </tpls>
      </n>
      <n v="86377" in="0">
        <tpls c="4">
          <tpl fld="0" item="36"/>
          <tpl hier="3" item="0"/>
          <tpl fld="2" item="0"/>
          <tpl fld="1" item="0"/>
        </tpls>
      </n>
      <n v="4200" in="0">
        <tpls c="4">
          <tpl fld="0" item="36"/>
          <tpl hier="3" item="0"/>
          <tpl fld="2" item="0"/>
          <tpl fld="1" item="1"/>
        </tpls>
      </n>
      <n v="61095" in="0">
        <tpls c="4">
          <tpl fld="0" item="37"/>
          <tpl hier="3" item="0"/>
          <tpl fld="2" item="0"/>
          <tpl fld="1" item="0"/>
        </tpls>
      </n>
      <n v="2800" in="0">
        <tpls c="4">
          <tpl fld="0" item="37"/>
          <tpl hier="3" item="0"/>
          <tpl fld="2" item="0"/>
          <tpl fld="1" item="1"/>
        </tpls>
      </n>
      <n v="139741" in="0">
        <tpls c="4">
          <tpl fld="0" item="38"/>
          <tpl hier="3" item="0"/>
          <tpl fld="2" item="1"/>
          <tpl fld="1" item="0"/>
        </tpls>
      </n>
      <n v="6750" in="0">
        <tpls c="4">
          <tpl fld="0" item="38"/>
          <tpl hier="3" item="0"/>
          <tpl fld="2" item="1"/>
          <tpl fld="1" item="1"/>
        </tpls>
      </n>
      <n v="103186" in="0">
        <tpls c="4">
          <tpl fld="0" item="39"/>
          <tpl hier="3" item="0"/>
          <tpl fld="2" item="0"/>
          <tpl fld="1" item="0"/>
        </tpls>
      </n>
      <n v="2800" in="0">
        <tpls c="4">
          <tpl fld="0" item="39"/>
          <tpl hier="3" item="0"/>
          <tpl fld="2" item="0"/>
          <tpl fld="1" item="1"/>
        </tpls>
      </n>
      <n v="64758" in="0">
        <tpls c="4">
          <tpl fld="0" item="40"/>
          <tpl hier="3" item="0"/>
          <tpl fld="2" item="0"/>
          <tpl fld="1" item="0"/>
        </tpls>
      </n>
      <n v="4200" in="0">
        <tpls c="4">
          <tpl fld="0" item="40"/>
          <tpl hier="3" item="0"/>
          <tpl fld="2" item="0"/>
          <tpl fld="1" item="1"/>
        </tpls>
      </n>
      <n v="110588" in="0">
        <tpls c="4">
          <tpl fld="0" item="41"/>
          <tpl hier="3" item="0"/>
          <tpl fld="2" item="0"/>
          <tpl fld="1" item="0"/>
        </tpls>
      </n>
      <n v="2800" in="0">
        <tpls c="4">
          <tpl fld="0" item="41"/>
          <tpl hier="3" item="0"/>
          <tpl fld="2" item="0"/>
          <tpl fld="1" item="1"/>
        </tpls>
      </n>
      <n v="48451" in="0">
        <tpls c="4">
          <tpl fld="0" item="42"/>
          <tpl hier="3" item="0"/>
          <tpl fld="2" item="2"/>
          <tpl fld="1" item="0"/>
        </tpls>
      </n>
      <n v="1500" in="0">
        <tpls c="4">
          <tpl fld="0" item="42"/>
          <tpl hier="3" item="0"/>
          <tpl fld="2" item="2"/>
          <tpl fld="1" item="1"/>
        </tpls>
      </n>
      <n v="190913" in="0">
        <tpls c="4">
          <tpl fld="0" item="43"/>
          <tpl hier="3" item="0"/>
          <tpl fld="2" item="1"/>
          <tpl fld="1" item="0"/>
        </tpls>
      </n>
      <n v="9000" in="0">
        <tpls c="4">
          <tpl fld="0" item="43"/>
          <tpl hier="3" item="0"/>
          <tpl fld="2" item="1"/>
          <tpl fld="1" item="1"/>
        </tpls>
      </n>
      <n v="81071" in="0">
        <tpls c="4">
          <tpl fld="0" item="44"/>
          <tpl hier="3" item="0"/>
          <tpl fld="2" item="2"/>
          <tpl fld="1" item="0"/>
        </tpls>
      </n>
      <n v="9500" in="0">
        <tpls c="4">
          <tpl fld="0" item="44"/>
          <tpl hier="3" item="0"/>
          <tpl fld="2" item="2"/>
          <tpl fld="1" item="1"/>
        </tpls>
      </n>
      <n v="136013" in="0">
        <tpls c="4">
          <tpl fld="0" item="45"/>
          <tpl hier="3" item="0"/>
          <tpl fld="2" item="1"/>
          <tpl fld="1" item="0"/>
        </tpls>
      </n>
      <n v="9000" in="0">
        <tpls c="4">
          <tpl fld="0" item="45"/>
          <tpl hier="3" item="0"/>
          <tpl fld="2" item="1"/>
          <tpl fld="1" item="1"/>
        </tpls>
      </n>
      <n v="87214" in="0">
        <tpls c="4">
          <tpl fld="0" item="46"/>
          <tpl hier="3" item="0"/>
          <tpl fld="2" item="0"/>
          <tpl fld="1" item="0"/>
        </tpls>
      </n>
      <n v="4200" in="0">
        <tpls c="4">
          <tpl fld="0" item="46"/>
          <tpl hier="3" item="0"/>
          <tpl fld="2" item="0"/>
          <tpl fld="1" item="1"/>
        </tpls>
      </n>
      <n v="117895" in="0">
        <tpls c="4">
          <tpl fld="0" item="47"/>
          <tpl hier="3" item="0"/>
          <tpl fld="2" item="0"/>
          <tpl fld="1" item="0"/>
        </tpls>
      </n>
      <n v="2800" in="0">
        <tpls c="4">
          <tpl fld="0" item="47"/>
          <tpl hier="3" item="0"/>
          <tpl fld="2" item="0"/>
          <tpl fld="1" item="1"/>
        </tpls>
      </n>
      <n v="72779" in="0">
        <tpls c="4">
          <tpl fld="0" item="48"/>
          <tpl hier="3" item="0"/>
          <tpl fld="2" item="0"/>
          <tpl fld="1" item="0"/>
        </tpls>
      </n>
      <n v="2800" in="0">
        <tpls c="4">
          <tpl fld="0" item="48"/>
          <tpl hier="3" item="0"/>
          <tpl fld="2" item="0"/>
          <tpl fld="1" item="1"/>
        </tpls>
      </n>
      <n v="215780" in="0">
        <tpls c="4">
          <tpl fld="0" item="49"/>
          <tpl hier="3" item="0"/>
          <tpl fld="2" item="1"/>
          <tpl fld="1" item="0"/>
        </tpls>
      </n>
      <n v="6750" in="0">
        <tpls c="4">
          <tpl fld="0" item="49"/>
          <tpl hier="3" item="0"/>
          <tpl fld="2" item="1"/>
          <tpl fld="1" item="1"/>
        </tpls>
      </n>
      <n v="156954" in="0">
        <tpls c="4">
          <tpl fld="0" item="50"/>
          <tpl hier="3" item="0"/>
          <tpl fld="2" item="1"/>
          <tpl fld="1" item="0"/>
        </tpls>
      </n>
      <n v="6750" in="0">
        <tpls c="4">
          <tpl fld="0" item="50"/>
          <tpl hier="3" item="0"/>
          <tpl fld="2" item="1"/>
          <tpl fld="1" item="1"/>
        </tpls>
      </n>
      <n v="201737" in="0">
        <tpls c="4">
          <tpl fld="0" item="51"/>
          <tpl hier="3" item="0"/>
          <tpl fld="2" item="1"/>
          <tpl fld="1" item="0"/>
        </tpls>
      </n>
      <n v="6750" in="0">
        <tpls c="4">
          <tpl fld="0" item="51"/>
          <tpl hier="3" item="0"/>
          <tpl fld="2" item="1"/>
          <tpl fld="1" item="1"/>
        </tpls>
      </n>
      <n v="186367" in="0">
        <tpls c="4">
          <tpl fld="0" item="52"/>
          <tpl hier="3" item="0"/>
          <tpl fld="2" item="1"/>
          <tpl fld="1" item="0"/>
        </tpls>
      </n>
      <n v="9000" in="0">
        <tpls c="4">
          <tpl fld="0" item="52"/>
          <tpl hier="3" item="0"/>
          <tpl fld="2" item="1"/>
          <tpl fld="1" item="1"/>
        </tpls>
      </n>
      <n v="125577" in="0">
        <tpls c="4">
          <tpl fld="0" item="53"/>
          <tpl hier="3" item="0"/>
          <tpl fld="2" item="1"/>
          <tpl fld="1" item="0"/>
        </tpls>
      </n>
      <n v="9000" in="0">
        <tpls c="4">
          <tpl fld="0" item="53"/>
          <tpl hier="3" item="0"/>
          <tpl fld="2" item="1"/>
          <tpl fld="1" item="1"/>
        </tpls>
      </n>
      <n v="195156" in="0">
        <tpls c="4">
          <tpl fld="0" item="54"/>
          <tpl hier="3" item="0"/>
          <tpl fld="2" item="1"/>
          <tpl fld="1" item="0"/>
        </tpls>
      </n>
      <n v="9000" in="0">
        <tpls c="4">
          <tpl fld="0" item="54"/>
          <tpl hier="3" item="0"/>
          <tpl fld="2" item="1"/>
          <tpl fld="1" item="1"/>
        </tpls>
      </n>
      <n v="59598" in="0">
        <tpls c="4">
          <tpl fld="0" item="55"/>
          <tpl hier="3" item="0"/>
          <tpl fld="2" item="2"/>
          <tpl fld="1" item="0"/>
        </tpls>
      </n>
      <n v="1500" in="0">
        <tpls c="4">
          <tpl fld="0" item="55"/>
          <tpl hier="3" item="0"/>
          <tpl fld="2" item="2"/>
          <tpl fld="1" item="1"/>
        </tpls>
      </n>
      <n v="74048" in="0">
        <tpls c="4">
          <tpl fld="0" item="56"/>
          <tpl hier="3" item="0"/>
          <tpl fld="2" item="0"/>
          <tpl fld="1" item="0"/>
        </tpls>
      </n>
      <n v="2800" in="0">
        <tpls c="4">
          <tpl fld="0" item="56"/>
          <tpl hier="3" item="0"/>
          <tpl fld="2" item="0"/>
          <tpl fld="1" item="1"/>
        </tpls>
      </n>
      <n v="51160" in="0">
        <tpls c="4">
          <tpl fld="0" item="57"/>
          <tpl hier="3" item="0"/>
          <tpl fld="2" item="2"/>
          <tpl fld="1" item="0"/>
        </tpls>
      </n>
      <n v="1500" in="0">
        <tpls c="4">
          <tpl fld="0" item="57"/>
          <tpl hier="3" item="0"/>
          <tpl fld="2" item="2"/>
          <tpl fld="1" item="1"/>
        </tpls>
      </n>
      <n v="88833" in="0">
        <tpls c="4">
          <tpl fld="0" item="58"/>
          <tpl hier="3" item="0"/>
          <tpl fld="2" item="0"/>
          <tpl fld="1" item="0"/>
        </tpls>
      </n>
      <n v="4200" in="0">
        <tpls c="4">
          <tpl fld="0" item="58"/>
          <tpl hier="3" item="0"/>
          <tpl fld="2" item="0"/>
          <tpl fld="1" item="1"/>
        </tpls>
      </n>
      <n v="96585" in="0">
        <tpls c="4">
          <tpl fld="0" item="59"/>
          <tpl hier="3" item="0"/>
          <tpl fld="2" item="0"/>
          <tpl fld="1" item="0"/>
        </tpls>
      </n>
      <n v="2800" in="0">
        <tpls c="4">
          <tpl fld="0" item="59"/>
          <tpl hier="3" item="0"/>
          <tpl fld="2" item="0"/>
          <tpl fld="1" item="1"/>
        </tpls>
      </n>
      <n v="82509" in="0">
        <tpls c="4">
          <tpl fld="0" item="60"/>
          <tpl hier="3" item="0"/>
          <tpl fld="2" item="0"/>
          <tpl fld="1" item="0"/>
        </tpls>
      </n>
      <n v="4200" in="0">
        <tpls c="4">
          <tpl fld="0" item="60"/>
          <tpl hier="3" item="0"/>
          <tpl fld="2" item="0"/>
          <tpl fld="1" item="1"/>
        </tpls>
      </n>
      <n v="168798" in="0">
        <tpls c="4">
          <tpl fld="0" item="61"/>
          <tpl hier="3" item="0"/>
          <tpl fld="2" item="1"/>
          <tpl fld="1" item="0"/>
        </tpls>
      </n>
      <n v="9000" in="0">
        <tpls c="4">
          <tpl fld="0" item="61"/>
          <tpl hier="3" item="0"/>
          <tpl fld="2" item="1"/>
          <tpl fld="1" item="1"/>
        </tpls>
      </n>
      <n v="92631" in="0">
        <tpls c="4">
          <tpl fld="0" item="62"/>
          <tpl hier="3" item="0"/>
          <tpl fld="2" item="0"/>
          <tpl fld="1" item="0"/>
        </tpls>
      </n>
      <n v="2800" in="0">
        <tpls c="4">
          <tpl fld="0" item="62"/>
          <tpl hier="3" item="0"/>
          <tpl fld="2" item="0"/>
          <tpl fld="1" item="1"/>
        </tpls>
      </n>
      <n v="83614" in="0">
        <tpls c="4">
          <tpl fld="0" item="63"/>
          <tpl hier="3" item="0"/>
          <tpl fld="2" item="0"/>
          <tpl fld="1" item="0"/>
        </tpls>
      </n>
      <n v="2800" in="0">
        <tpls c="4">
          <tpl fld="0" item="63"/>
          <tpl hier="3" item="0"/>
          <tpl fld="2" item="0"/>
          <tpl fld="1" item="1"/>
        </tpls>
      </n>
      <n v="117311" in="0">
        <tpls c="4">
          <tpl fld="0" item="64"/>
          <tpl hier="3" item="0"/>
          <tpl fld="2" item="0"/>
          <tpl fld="1" item="0"/>
        </tpls>
      </n>
      <n v="2800" in="0">
        <tpls c="4">
          <tpl fld="0" item="64"/>
          <tpl hier="3" item="0"/>
          <tpl fld="2" item="0"/>
          <tpl fld="1" item="1"/>
        </tpls>
      </n>
      <n v="67351" in="0">
        <tpls c="4">
          <tpl fld="0" item="65"/>
          <tpl hier="3" item="0"/>
          <tpl fld="2" item="0"/>
          <tpl fld="1" item="0"/>
        </tpls>
      </n>
      <n v="4200" in="0">
        <tpls c="4">
          <tpl fld="0" item="65"/>
          <tpl hier="3" item="0"/>
          <tpl fld="2" item="0"/>
          <tpl fld="1" item="1"/>
        </tpls>
      </n>
      <n v="162733" in="0">
        <tpls c="4">
          <tpl fld="0" item="66"/>
          <tpl hier="3" item="0"/>
          <tpl fld="2" item="1"/>
          <tpl fld="1" item="0"/>
        </tpls>
      </n>
      <n v="9000" in="0">
        <tpls c="4">
          <tpl fld="0" item="66"/>
          <tpl hier="3" item="0"/>
          <tpl fld="2" item="1"/>
          <tpl fld="1" item="1"/>
        </tpls>
      </n>
      <n v="57167" in="0">
        <tpls c="4">
          <tpl fld="0" item="67"/>
          <tpl hier="3" item="0"/>
          <tpl fld="2" item="2"/>
          <tpl fld="1" item="0"/>
        </tpls>
      </n>
      <n v="1500" in="0">
        <tpls c="4">
          <tpl fld="0" item="67"/>
          <tpl hier="3" item="0"/>
          <tpl fld="2" item="2"/>
          <tpl fld="1" item="1"/>
        </tpls>
      </n>
      <n v="227531" in="0">
        <tpls c="4">
          <tpl fld="0" item="68"/>
          <tpl hier="3" item="0"/>
          <tpl fld="2" item="1"/>
          <tpl fld="1" item="0"/>
        </tpls>
      </n>
      <n v="6750" in="0">
        <tpls c="4">
          <tpl fld="0" item="68"/>
          <tpl hier="3" item="0"/>
          <tpl fld="2" item="1"/>
          <tpl fld="1" item="1"/>
        </tpls>
      </n>
      <n v="156359" in="0">
        <tpls c="4">
          <tpl fld="0" item="69"/>
          <tpl hier="3" item="0"/>
          <tpl fld="2" item="1"/>
          <tpl fld="1" item="0"/>
        </tpls>
      </n>
      <n v="9000" in="0">
        <tpls c="4">
          <tpl fld="0" item="69"/>
          <tpl hier="3" item="0"/>
          <tpl fld="2" item="1"/>
          <tpl fld="1" item="1"/>
        </tpls>
      </n>
      <n v="74354" in="0">
        <tpls c="4">
          <tpl fld="0" item="70"/>
          <tpl hier="3" item="0"/>
          <tpl fld="2" item="0"/>
          <tpl fld="1" item="0"/>
        </tpls>
      </n>
      <n v="4200" in="0">
        <tpls c="4">
          <tpl fld="0" item="70"/>
          <tpl hier="3" item="0"/>
          <tpl fld="2" item="0"/>
          <tpl fld="1" item="1"/>
        </tpls>
      </n>
      <n v="37393" in="0">
        <tpls c="4">
          <tpl fld="0" item="71"/>
          <tpl hier="3" item="0"/>
          <tpl fld="2" item="2"/>
          <tpl fld="1" item="0"/>
        </tpls>
      </n>
      <n v="1500" in="0">
        <tpls c="4">
          <tpl fld="0" item="71"/>
          <tpl hier="3" item="0"/>
          <tpl fld="2" item="2"/>
          <tpl fld="1" item="1"/>
        </tpls>
      </n>
      <n v="165710" in="0">
        <tpls c="4">
          <tpl fld="0" item="72"/>
          <tpl hier="3" item="0"/>
          <tpl fld="2" item="1"/>
          <tpl fld="1" item="0"/>
        </tpls>
      </n>
      <n v="9000" in="0">
        <tpls c="4">
          <tpl fld="0" item="72"/>
          <tpl hier="3" item="0"/>
          <tpl fld="2" item="1"/>
          <tpl fld="1" item="1"/>
        </tpls>
      </n>
      <n v="143764" in="0">
        <tpls c="4">
          <tpl fld="0" item="73"/>
          <tpl hier="3" item="0"/>
          <tpl fld="2" item="1"/>
          <tpl fld="1" item="0"/>
        </tpls>
      </n>
      <n v="6750" in="0">
        <tpls c="4">
          <tpl fld="0" item="73"/>
          <tpl hier="3" item="0"/>
          <tpl fld="2" item="1"/>
          <tpl fld="1" item="1"/>
        </tpls>
      </n>
      <n v="147856" in="0">
        <tpls c="4">
          <tpl fld="0" item="74"/>
          <tpl hier="3" item="0"/>
          <tpl fld="2" item="1"/>
          <tpl fld="1" item="0"/>
        </tpls>
      </n>
      <n v="9000" in="0">
        <tpls c="4">
          <tpl fld="0" item="74"/>
          <tpl hier="3" item="0"/>
          <tpl fld="2" item="1"/>
          <tpl fld="1" item="1"/>
        </tpls>
      </n>
      <n v="156159" in="0">
        <tpls c="4">
          <tpl fld="0" item="75"/>
          <tpl hier="3" item="0"/>
          <tpl fld="2" item="2"/>
          <tpl fld="1" item="0"/>
        </tpls>
      </n>
      <n v="9500" in="0">
        <tpls c="4">
          <tpl fld="0" item="75"/>
          <tpl hier="3" item="0"/>
          <tpl fld="2" item="2"/>
          <tpl fld="1" item="1"/>
        </tpls>
      </n>
      <n v="92840" in="0">
        <tpls c="4">
          <tpl fld="0" item="76"/>
          <tpl hier="3" item="0"/>
          <tpl fld="2" item="0"/>
          <tpl fld="1" item="0"/>
        </tpls>
      </n>
      <n v="4200" in="0">
        <tpls c="4">
          <tpl fld="0" item="76"/>
          <tpl hier="3" item="0"/>
          <tpl fld="2" item="0"/>
          <tpl fld="1" item="1"/>
        </tpls>
      </n>
      <n v="63868" in="0">
        <tpls c="4">
          <tpl fld="0" item="77"/>
          <tpl hier="3" item="0"/>
          <tpl fld="2" item="0"/>
          <tpl fld="1" item="0"/>
        </tpls>
      </n>
      <n v="4200" in="0">
        <tpls c="4">
          <tpl fld="0" item="77"/>
          <tpl hier="3" item="0"/>
          <tpl fld="2" item="0"/>
          <tpl fld="1" item="1"/>
        </tpls>
      </n>
      <n v="177401" in="0">
        <tpls c="4">
          <tpl fld="0" item="78"/>
          <tpl hier="3" item="0"/>
          <tpl fld="2" item="1"/>
          <tpl fld="1" item="0"/>
        </tpls>
      </n>
      <n v="6750" in="0">
        <tpls c="4">
          <tpl fld="0" item="78"/>
          <tpl hier="3" item="0"/>
          <tpl fld="2" item="1"/>
          <tpl fld="1" item="1"/>
        </tpls>
      </n>
      <n v="129571" in="0">
        <tpls c="4">
          <tpl fld="0" item="79"/>
          <tpl hier="3" item="0"/>
          <tpl fld="2" item="1"/>
          <tpl fld="1" item="0"/>
        </tpls>
      </n>
      <n v="6750" in="0">
        <tpls c="4">
          <tpl fld="0" item="79"/>
          <tpl hier="3" item="0"/>
          <tpl fld="2" item="1"/>
          <tpl fld="1" item="1"/>
        </tpls>
      </n>
      <n v="89499" in="0">
        <tpls c="4">
          <tpl fld="0" item="80"/>
          <tpl hier="3" item="0"/>
          <tpl fld="2" item="0"/>
          <tpl fld="1" item="0"/>
        </tpls>
      </n>
      <n v="2800" in="0">
        <tpls c="4">
          <tpl fld="0" item="80"/>
          <tpl hier="3" item="0"/>
          <tpl fld="2" item="0"/>
          <tpl fld="1" item="1"/>
        </tpls>
      </n>
      <n v="55084" in="0">
        <tpls c="4">
          <tpl fld="0" item="81"/>
          <tpl hier="3" item="0"/>
          <tpl fld="2" item="2"/>
          <tpl fld="1" item="0"/>
        </tpls>
      </n>
      <n v="1500" in="0">
        <tpls c="4">
          <tpl fld="0" item="81"/>
          <tpl hier="3" item="0"/>
          <tpl fld="2" item="2"/>
          <tpl fld="1" item="1"/>
        </tpls>
      </n>
      <n v="87128" in="0">
        <tpls c="4">
          <tpl fld="0" item="82"/>
          <tpl hier="3" item="0"/>
          <tpl fld="2" item="0"/>
          <tpl fld="1" item="0"/>
        </tpls>
      </n>
      <n v="2800" in="0">
        <tpls c="4">
          <tpl fld="0" item="82"/>
          <tpl hier="3" item="0"/>
          <tpl fld="2" item="0"/>
          <tpl fld="1" item="1"/>
        </tpls>
      </n>
      <n v="88815" in="0">
        <tpls c="4">
          <tpl fld="0" item="83"/>
          <tpl hier="3" item="0"/>
          <tpl fld="2" item="0"/>
          <tpl fld="1" item="0"/>
        </tpls>
      </n>
      <n v="2800" in="0">
        <tpls c="4">
          <tpl fld="0" item="83"/>
          <tpl hier="3" item="0"/>
          <tpl fld="2" item="0"/>
          <tpl fld="1" item="1"/>
        </tpls>
      </n>
      <n v="147969" in="0">
        <tpls c="4">
          <tpl fld="0" item="84"/>
          <tpl hier="3" item="0"/>
          <tpl fld="2" item="1"/>
          <tpl fld="1" item="0"/>
        </tpls>
      </n>
      <n v="6750" in="0">
        <tpls c="4">
          <tpl fld="0" item="84"/>
          <tpl hier="3" item="0"/>
          <tpl fld="2" item="1"/>
          <tpl fld="1" item="1"/>
        </tpls>
      </n>
      <n v="131872" in="0">
        <tpls c="4">
          <tpl fld="0" item="85"/>
          <tpl hier="3" item="0"/>
          <tpl fld="2" item="1"/>
          <tpl fld="1" item="0"/>
        </tpls>
      </n>
      <n v="6750" in="0">
        <tpls c="4">
          <tpl fld="0" item="85"/>
          <tpl hier="3" item="0"/>
          <tpl fld="2" item="1"/>
          <tpl fld="1" item="1"/>
        </tpls>
      </n>
      <n v="184103" in="0">
        <tpls c="4">
          <tpl fld="0" item="86"/>
          <tpl hier="3" item="0"/>
          <tpl fld="2" item="1"/>
          <tpl fld="1" item="0"/>
        </tpls>
      </n>
      <n v="9000" in="0">
        <tpls c="4">
          <tpl fld="0" item="86"/>
          <tpl hier="3" item="0"/>
          <tpl fld="2" item="1"/>
          <tpl fld="1" item="1"/>
        </tpls>
      </n>
      <n v="64409" in="0">
        <tpls c="4">
          <tpl fld="0" item="87"/>
          <tpl hier="3" item="0"/>
          <tpl fld="2" item="0"/>
          <tpl fld="1" item="0"/>
        </tpls>
      </n>
      <n v="4200" in="0">
        <tpls c="4">
          <tpl fld="0" item="87"/>
          <tpl hier="3" item="0"/>
          <tpl fld="2" item="0"/>
          <tpl fld="1" item="1"/>
        </tpls>
      </n>
      <n v="144928" in="0">
        <tpls c="4">
          <tpl fld="0" item="88"/>
          <tpl hier="3" item="0"/>
          <tpl fld="2" item="1"/>
          <tpl fld="1" item="0"/>
        </tpls>
      </n>
      <n v="6750" in="0">
        <tpls c="4">
          <tpl fld="0" item="88"/>
          <tpl hier="3" item="0"/>
          <tpl fld="2" item="1"/>
          <tpl fld="1" item="1"/>
        </tpls>
      </n>
      <n v="120035" in="0">
        <tpls c="4">
          <tpl fld="0" item="89"/>
          <tpl hier="3" item="0"/>
          <tpl fld="2" item="1"/>
          <tpl fld="1" item="0"/>
        </tpls>
      </n>
      <n v="9000" in="0">
        <tpls c="4">
          <tpl fld="0" item="89"/>
          <tpl hier="3" item="0"/>
          <tpl fld="2" item="1"/>
          <tpl fld="1" item="1"/>
        </tpls>
      </n>
      <n v="156097" in="0">
        <tpls c="4">
          <tpl fld="0" item="90"/>
          <tpl hier="3" item="0"/>
          <tpl fld="2" item="1"/>
          <tpl fld="1" item="0"/>
        </tpls>
      </n>
      <n v="9000" in="0">
        <tpls c="4">
          <tpl fld="0" item="90"/>
          <tpl hier="3" item="0"/>
          <tpl fld="2" item="1"/>
          <tpl fld="1" item="1"/>
        </tpls>
      </n>
      <n v="110397" in="0">
        <tpls c="4">
          <tpl fld="0" item="91"/>
          <tpl hier="3" item="0"/>
          <tpl fld="2" item="0"/>
          <tpl fld="1" item="0"/>
        </tpls>
      </n>
      <n v="2800" in="0">
        <tpls c="4">
          <tpl fld="0" item="91"/>
          <tpl hier="3" item="0"/>
          <tpl fld="2" item="0"/>
          <tpl fld="1" item="1"/>
        </tpls>
      </n>
      <n v="114446" in="0">
        <tpls c="4">
          <tpl fld="0" item="92"/>
          <tpl hier="3" item="0"/>
          <tpl fld="2" item="0"/>
          <tpl fld="1" item="0"/>
        </tpls>
      </n>
      <n v="2800" in="0">
        <tpls c="4">
          <tpl fld="0" item="92"/>
          <tpl hier="3" item="0"/>
          <tpl fld="2" item="0"/>
          <tpl fld="1" item="1"/>
        </tpls>
      </n>
      <n v="101542" in="0">
        <tpls c="4">
          <tpl fld="0" item="93"/>
          <tpl hier="3" item="0"/>
          <tpl fld="2" item="0"/>
          <tpl fld="1" item="0"/>
        </tpls>
      </n>
      <n v="4200" in="0">
        <tpls c="4">
          <tpl fld="0" item="93"/>
          <tpl hier="3" item="0"/>
          <tpl fld="2" item="0"/>
          <tpl fld="1" item="1"/>
        </tpls>
      </n>
      <n v="45863" in="0">
        <tpls c="4">
          <tpl fld="0" item="94"/>
          <tpl hier="3" item="0"/>
          <tpl fld="2" item="2"/>
          <tpl fld="1" item="0"/>
        </tpls>
      </n>
      <n v="1500" in="0">
        <tpls c="4">
          <tpl fld="0" item="94"/>
          <tpl hier="3" item="0"/>
          <tpl fld="2" item="2"/>
          <tpl fld="1" item="1"/>
        </tpls>
      </n>
      <n v="62682" in="0">
        <tpls c="4">
          <tpl fld="0" item="95"/>
          <tpl hier="3" item="0"/>
          <tpl fld="2" item="0"/>
          <tpl fld="1" item="0"/>
        </tpls>
      </n>
      <n v="4200" in="0">
        <tpls c="4">
          <tpl fld="0" item="95"/>
          <tpl hier="3" item="0"/>
          <tpl fld="2" item="0"/>
          <tpl fld="1" item="1"/>
        </tpls>
      </n>
      <n v="47639" in="0">
        <tpls c="4">
          <tpl fld="0" item="96"/>
          <tpl hier="3" item="0"/>
          <tpl fld="2" item="2"/>
          <tpl fld="1" item="0"/>
        </tpls>
      </n>
      <n v="1500" in="0">
        <tpls c="4">
          <tpl fld="0" item="96"/>
          <tpl hier="3" item="0"/>
          <tpl fld="2" item="2"/>
          <tpl fld="1" item="1"/>
        </tpls>
      </n>
      <n v="131686" in="0">
        <tpls c="4">
          <tpl fld="0" item="97"/>
          <tpl hier="3" item="0"/>
          <tpl fld="2" item="1"/>
          <tpl fld="1" item="0"/>
        </tpls>
      </n>
      <n v="9000" in="0">
        <tpls c="4">
          <tpl fld="0" item="97"/>
          <tpl hier="3" item="0"/>
          <tpl fld="2" item="1"/>
          <tpl fld="1" item="1"/>
        </tpls>
      </n>
      <n v="87527" in="0">
        <tpls c="4">
          <tpl fld="0" item="98"/>
          <tpl hier="3" item="0"/>
          <tpl fld="2" item="0"/>
          <tpl fld="1" item="0"/>
        </tpls>
      </n>
      <n v="2800" in="0">
        <tpls c="4">
          <tpl fld="0" item="98"/>
          <tpl hier="3" item="0"/>
          <tpl fld="2" item="0"/>
          <tpl fld="1" item="1"/>
        </tpls>
      </n>
      <n v="112449" in="0">
        <tpls c="4">
          <tpl fld="0" item="99"/>
          <tpl hier="3" item="0"/>
          <tpl fld="2" item="0"/>
          <tpl fld="1" item="0"/>
        </tpls>
      </n>
      <n v="4200" in="0">
        <tpls c="4">
          <tpl fld="0" item="99"/>
          <tpl hier="3" item="0"/>
          <tpl fld="2" item="0"/>
          <tpl fld="1" item="1"/>
        </tpls>
      </n>
      <n v="190345" in="0">
        <tpls c="4">
          <tpl fld="0" item="100"/>
          <tpl hier="3" item="0"/>
          <tpl fld="2" item="1"/>
          <tpl fld="1" item="0"/>
        </tpls>
      </n>
      <n v="6750" in="0">
        <tpls c="4">
          <tpl fld="0" item="100"/>
          <tpl hier="3" item="0"/>
          <tpl fld="2" item="1"/>
          <tpl fld="1" item="1"/>
        </tpls>
      </n>
      <n v="79993" in="0">
        <tpls c="4">
          <tpl fld="0" item="101"/>
          <tpl hier="3" item="0"/>
          <tpl fld="2" item="0"/>
          <tpl fld="1" item="0"/>
        </tpls>
      </n>
      <n v="2800" in="0">
        <tpls c="4">
          <tpl fld="0" item="101"/>
          <tpl hier="3" item="0"/>
          <tpl fld="2" item="0"/>
          <tpl fld="1" item="1"/>
        </tpls>
      </n>
      <n v="99333" in="0">
        <tpls c="4">
          <tpl fld="0" item="102"/>
          <tpl hier="3" item="0"/>
          <tpl fld="2" item="0"/>
          <tpl fld="1" item="0"/>
        </tpls>
      </n>
      <n v="4200" in="0">
        <tpls c="4">
          <tpl fld="0" item="102"/>
          <tpl hier="3" item="0"/>
          <tpl fld="2" item="0"/>
          <tpl fld="1" item="1"/>
        </tpls>
      </n>
      <n v="152988" in="0">
        <tpls c="4">
          <tpl fld="0" item="103"/>
          <tpl hier="3" item="0"/>
          <tpl fld="2" item="1"/>
          <tpl fld="1" item="0"/>
        </tpls>
      </n>
      <n v="6750" in="0">
        <tpls c="4">
          <tpl fld="0" item="103"/>
          <tpl hier="3" item="0"/>
          <tpl fld="2" item="1"/>
          <tpl fld="1" item="1"/>
        </tpls>
      </n>
      <n v="77688" in="0">
        <tpls c="4">
          <tpl fld="0" item="104"/>
          <tpl hier="3" item="0"/>
          <tpl fld="2" item="0"/>
          <tpl fld="1" item="0"/>
        </tpls>
      </n>
      <n v="2800" in="0">
        <tpls c="4">
          <tpl fld="0" item="104"/>
          <tpl hier="3" item="0"/>
          <tpl fld="2" item="0"/>
          <tpl fld="1" item="1"/>
        </tpls>
      </n>
      <n v="57606" in="0">
        <tpls c="4">
          <tpl fld="0" item="105"/>
          <tpl hier="3" item="0"/>
          <tpl fld="2" item="2"/>
          <tpl fld="1" item="0"/>
        </tpls>
      </n>
      <n v="1500" in="0">
        <tpls c="4">
          <tpl fld="0" item="105"/>
          <tpl hier="3" item="0"/>
          <tpl fld="2" item="2"/>
          <tpl fld="1" item="1"/>
        </tpls>
      </n>
      <n v="84638" in="0">
        <tpls c="4">
          <tpl fld="0" item="106"/>
          <tpl hier="3" item="0"/>
          <tpl fld="2" item="0"/>
          <tpl fld="1" item="0"/>
        </tpls>
      </n>
      <n v="2800" in="0">
        <tpls c="4">
          <tpl fld="0" item="106"/>
          <tpl hier="3" item="0"/>
          <tpl fld="2" item="0"/>
          <tpl fld="1" item="1"/>
        </tpls>
      </n>
      <n v="69951" in="0">
        <tpls c="4">
          <tpl fld="0" item="107"/>
          <tpl hier="3" item="0"/>
          <tpl fld="2" item="0"/>
          <tpl fld="1" item="0"/>
        </tpls>
      </n>
      <n v="2800" in="0">
        <tpls c="4">
          <tpl fld="0" item="107"/>
          <tpl hier="3" item="0"/>
          <tpl fld="2" item="0"/>
          <tpl fld="1" item="1"/>
        </tpls>
      </n>
      <n v="197974" in="0">
        <tpls c="4">
          <tpl fld="0" item="108"/>
          <tpl hier="3" item="0"/>
          <tpl fld="2" item="1"/>
          <tpl fld="1" item="0"/>
        </tpls>
      </n>
      <n v="9000" in="0">
        <tpls c="4">
          <tpl fld="0" item="108"/>
          <tpl hier="3" item="0"/>
          <tpl fld="2" item="1"/>
          <tpl fld="1" item="1"/>
        </tpls>
      </n>
      <n v="164050" in="0">
        <tpls c="4">
          <tpl fld="0" item="109"/>
          <tpl hier="3" item="0"/>
          <tpl fld="2" item="1"/>
          <tpl fld="1" item="0"/>
        </tpls>
      </n>
      <n v="6750" in="0">
        <tpls c="4">
          <tpl fld="0" item="109"/>
          <tpl hier="3" item="0"/>
          <tpl fld="2" item="1"/>
          <tpl fld="1" item="1"/>
        </tpls>
      </n>
      <n v="131197" in="0">
        <tpls c="4">
          <tpl fld="0" item="110"/>
          <tpl hier="3" item="0"/>
          <tpl fld="2" item="1"/>
          <tpl fld="1" item="0"/>
        </tpls>
      </n>
      <n v="6750" in="0">
        <tpls c="4">
          <tpl fld="0" item="110"/>
          <tpl hier="3" item="0"/>
          <tpl fld="2" item="1"/>
          <tpl fld="1" item="1"/>
        </tpls>
      </n>
      <n v="179652" in="0">
        <tpls c="4">
          <tpl fld="0" item="111"/>
          <tpl hier="3" item="0"/>
          <tpl fld="2" item="1"/>
          <tpl fld="1" item="0"/>
        </tpls>
      </n>
      <n v="9000" in="0">
        <tpls c="4">
          <tpl fld="0" item="111"/>
          <tpl hier="3" item="0"/>
          <tpl fld="2" item="1"/>
          <tpl fld="1" item="1"/>
        </tpls>
      </n>
      <n v="163059" in="0">
        <tpls c="4">
          <tpl fld="0" item="112"/>
          <tpl hier="3" item="0"/>
          <tpl fld="2" item="1"/>
          <tpl fld="1" item="0"/>
        </tpls>
      </n>
      <n v="6750" in="0">
        <tpls c="4">
          <tpl fld="0" item="112"/>
          <tpl hier="3" item="0"/>
          <tpl fld="2" item="1"/>
          <tpl fld="1" item="1"/>
        </tpls>
      </n>
      <n v="72977" in="0">
        <tpls c="4">
          <tpl fld="0" item="113"/>
          <tpl hier="3" item="0"/>
          <tpl fld="2" item="0"/>
          <tpl fld="1" item="0"/>
        </tpls>
      </n>
      <n v="2800" in="0">
        <tpls c="4">
          <tpl fld="0" item="113"/>
          <tpl hier="3" item="0"/>
          <tpl fld="2" item="0"/>
          <tpl fld="1" item="1"/>
        </tpls>
      </n>
      <n v="185684" in="0">
        <tpls c="4">
          <tpl fld="0" item="114"/>
          <tpl hier="3" item="0"/>
          <tpl fld="2" item="1"/>
          <tpl fld="1" item="0"/>
        </tpls>
      </n>
      <n v="9000" in="0">
        <tpls c="4">
          <tpl fld="0" item="114"/>
          <tpl hier="3" item="0"/>
          <tpl fld="2" item="1"/>
          <tpl fld="1" item="1"/>
        </tpls>
      </n>
      <n v="116825" in="0">
        <tpls c="4">
          <tpl fld="0" item="115"/>
          <tpl hier="3" item="0"/>
          <tpl fld="2" item="0"/>
          <tpl fld="1" item="0"/>
        </tpls>
      </n>
      <n v="2800" in="0">
        <tpls c="4">
          <tpl fld="0" item="115"/>
          <tpl hier="3" item="0"/>
          <tpl fld="2" item="0"/>
          <tpl fld="1" item="1"/>
        </tpls>
      </n>
      <n v="163898" in="0">
        <tpls c="4">
          <tpl fld="0" item="116"/>
          <tpl hier="3" item="0"/>
          <tpl fld="2" item="1"/>
          <tpl fld="1" item="0"/>
        </tpls>
      </n>
      <n v="9000" in="0">
        <tpls c="4">
          <tpl fld="0" item="116"/>
          <tpl hier="3" item="0"/>
          <tpl fld="2" item="1"/>
          <tpl fld="1" item="1"/>
        </tpls>
      </n>
      <n v="186750" in="0">
        <tpls c="4">
          <tpl fld="0" item="117"/>
          <tpl hier="3" item="0"/>
          <tpl fld="2" item="1"/>
          <tpl fld="1" item="0"/>
        </tpls>
      </n>
      <n v="6750" in="0">
        <tpls c="4">
          <tpl fld="0" item="117"/>
          <tpl hier="3" item="0"/>
          <tpl fld="2" item="1"/>
          <tpl fld="1" item="1"/>
        </tpls>
      </n>
      <n v="87960" in="0">
        <tpls c="4">
          <tpl fld="0" item="118"/>
          <tpl hier="3" item="0"/>
          <tpl fld="2" item="0"/>
          <tpl fld="1" item="0"/>
        </tpls>
      </n>
      <n v="2800" in="0">
        <tpls c="4">
          <tpl fld="0" item="118"/>
          <tpl hier="3" item="0"/>
          <tpl fld="2" item="0"/>
          <tpl fld="1" item="1"/>
        </tpls>
      </n>
      <n v="63007" in="0">
        <tpls c="4">
          <tpl fld="0" item="119"/>
          <tpl hier="3" item="0"/>
          <tpl fld="2" item="0"/>
          <tpl fld="1" item="0"/>
        </tpls>
      </n>
      <n v="4200" in="0">
        <tpls c="4">
          <tpl fld="0" item="119"/>
          <tpl hier="3" item="0"/>
          <tpl fld="2" item="0"/>
          <tpl fld="1" item="1"/>
        </tpls>
      </n>
      <n v="77592" in="0">
        <tpls c="4">
          <tpl fld="0" item="120"/>
          <tpl hier="3" item="0"/>
          <tpl fld="2" item="0"/>
          <tpl fld="1" item="0"/>
        </tpls>
      </n>
      <n v="4200" in="0">
        <tpls c="4">
          <tpl fld="0" item="120"/>
          <tpl hier="3" item="0"/>
          <tpl fld="2" item="0"/>
          <tpl fld="1" item="1"/>
        </tpls>
      </n>
      <n v="101486" in="0">
        <tpls c="4">
          <tpl fld="0" item="121"/>
          <tpl hier="3" item="0"/>
          <tpl fld="2" item="0"/>
          <tpl fld="1" item="0"/>
        </tpls>
      </n>
      <n v="2800" in="0">
        <tpls c="4">
          <tpl fld="0" item="121"/>
          <tpl hier="3" item="0"/>
          <tpl fld="2" item="0"/>
          <tpl fld="1" item="1"/>
        </tpls>
      </n>
      <n v="166295" in="0">
        <tpls c="4">
          <tpl fld="0" item="122"/>
          <tpl hier="3" item="0"/>
          <tpl fld="2" item="1"/>
          <tpl fld="1" item="0"/>
        </tpls>
      </n>
      <n v="9000" in="0">
        <tpls c="4">
          <tpl fld="0" item="122"/>
          <tpl hier="3" item="0"/>
          <tpl fld="2" item="1"/>
          <tpl fld="1" item="1"/>
        </tpls>
      </n>
      <n v="176775" in="0">
        <tpls c="4">
          <tpl fld="0" item="123"/>
          <tpl hier="3" item="0"/>
          <tpl fld="2" item="1"/>
          <tpl fld="1" item="0"/>
        </tpls>
      </n>
      <n v="6750" in="0">
        <tpls c="4">
          <tpl fld="0" item="123"/>
          <tpl hier="3" item="0"/>
          <tpl fld="2" item="1"/>
          <tpl fld="1" item="1"/>
        </tpls>
      </n>
      <n v="38296" in="0">
        <tpls c="4">
          <tpl fld="0" item="124"/>
          <tpl hier="3" item="0"/>
          <tpl fld="2" item="2"/>
          <tpl fld="1" item="0"/>
        </tpls>
      </n>
      <n v="1500" in="0">
        <tpls c="4">
          <tpl fld="0" item="124"/>
          <tpl hier="3" item="0"/>
          <tpl fld="2" item="2"/>
          <tpl fld="1" item="1"/>
        </tpls>
      </n>
      <n v="112754" in="0">
        <tpls c="4">
          <tpl fld="0" item="125"/>
          <tpl hier="3" item="0"/>
          <tpl fld="2" item="0"/>
          <tpl fld="1" item="0"/>
        </tpls>
      </n>
      <n v="2800" in="0">
        <tpls c="4">
          <tpl fld="0" item="125"/>
          <tpl hier="3" item="0"/>
          <tpl fld="2" item="0"/>
          <tpl fld="1" item="1"/>
        </tpls>
      </n>
      <n v="100234" in="0">
        <tpls c="4">
          <tpl fld="0" item="126"/>
          <tpl hier="3" item="0"/>
          <tpl fld="2" item="0"/>
          <tpl fld="1" item="0"/>
        </tpls>
      </n>
      <n v="2800" in="0">
        <tpls c="4">
          <tpl fld="0" item="126"/>
          <tpl hier="3" item="0"/>
          <tpl fld="2" item="0"/>
          <tpl fld="1" item="1"/>
        </tpls>
      </n>
      <n v="76942" in="0">
        <tpls c="4">
          <tpl fld="0" item="127"/>
          <tpl hier="3" item="0"/>
          <tpl fld="2" item="0"/>
          <tpl fld="1" item="0"/>
        </tpls>
      </n>
      <n v="2800" in="0">
        <tpls c="4">
          <tpl fld="0" item="127"/>
          <tpl hier="3" item="0"/>
          <tpl fld="2" item="0"/>
          <tpl fld="1" item="1"/>
        </tpls>
      </n>
      <n v="64448" in="0">
        <tpls c="4">
          <tpl fld="0" item="128"/>
          <tpl hier="3" item="0"/>
          <tpl fld="2" item="0"/>
          <tpl fld="1" item="0"/>
        </tpls>
      </n>
      <n v="4200" in="0">
        <tpls c="4">
          <tpl fld="0" item="128"/>
          <tpl hier="3" item="0"/>
          <tpl fld="2" item="0"/>
          <tpl fld="1" item="1"/>
        </tpls>
      </n>
      <n v="90307" in="0">
        <tpls c="4">
          <tpl fld="0" item="129"/>
          <tpl hier="3" item="0"/>
          <tpl fld="2" item="0"/>
          <tpl fld="1" item="0"/>
        </tpls>
      </n>
      <n v="4200" in="0">
        <tpls c="4">
          <tpl fld="0" item="129"/>
          <tpl hier="3" item="0"/>
          <tpl fld="2" item="0"/>
          <tpl fld="1" item="1"/>
        </tpls>
      </n>
      <n v="203117" in="0">
        <tpls c="4">
          <tpl fld="0" item="130"/>
          <tpl hier="3" item="0"/>
          <tpl fld="2" item="1"/>
          <tpl fld="1" item="0"/>
        </tpls>
      </n>
      <n v="6750" in="0">
        <tpls c="4">
          <tpl fld="0" item="130"/>
          <tpl hier="3" item="0"/>
          <tpl fld="2" item="1"/>
          <tpl fld="1" item="1"/>
        </tpls>
      </n>
      <n v="88579" in="0">
        <tpls c="4">
          <tpl fld="0" item="131"/>
          <tpl hier="3" item="0"/>
          <tpl fld="2" item="0"/>
          <tpl fld="1" item="0"/>
        </tpls>
      </n>
      <n v="2800" in="0">
        <tpls c="4">
          <tpl fld="0" item="131"/>
          <tpl hier="3" item="0"/>
          <tpl fld="2" item="0"/>
          <tpl fld="1" item="1"/>
        </tpls>
      </n>
      <n v="113887" in="0">
        <tpls c="4">
          <tpl fld="0" item="132"/>
          <tpl hier="3" item="0"/>
          <tpl fld="2" item="0"/>
          <tpl fld="1" item="0"/>
        </tpls>
      </n>
      <n v="2800" in="0">
        <tpls c="4">
          <tpl fld="0" item="132"/>
          <tpl hier="3" item="0"/>
          <tpl fld="2" item="0"/>
          <tpl fld="1" item="1"/>
        </tpls>
      </n>
      <n v="143071" in="0">
        <tpls c="4">
          <tpl fld="0" item="133"/>
          <tpl hier="3" item="0"/>
          <tpl fld="2" item="1"/>
          <tpl fld="1" item="0"/>
        </tpls>
      </n>
      <n v="9000" in="0">
        <tpls c="4">
          <tpl fld="0" item="133"/>
          <tpl hier="3" item="0"/>
          <tpl fld="2" item="1"/>
          <tpl fld="1" item="1"/>
        </tpls>
      </n>
      <n v="93474" in="0">
        <tpls c="4">
          <tpl fld="0" item="134"/>
          <tpl hier="3" item="0"/>
          <tpl fld="2" item="0"/>
          <tpl fld="1" item="0"/>
        </tpls>
      </n>
      <n v="2800" in="0">
        <tpls c="4">
          <tpl fld="0" item="134"/>
          <tpl hier="3" item="0"/>
          <tpl fld="2" item="0"/>
          <tpl fld="1" item="1"/>
        </tpls>
      </n>
      <n v="217039" in="0">
        <tpls c="4">
          <tpl fld="0" item="135"/>
          <tpl hier="3" item="0"/>
          <tpl fld="2" item="1"/>
          <tpl fld="1" item="0"/>
        </tpls>
      </n>
      <n v="6750" in="0">
        <tpls c="4">
          <tpl fld="0" item="135"/>
          <tpl hier="3" item="0"/>
          <tpl fld="2" item="1"/>
          <tpl fld="1" item="1"/>
        </tpls>
      </n>
      <n v="211976" in="0">
        <tpls c="4">
          <tpl fld="0" item="136"/>
          <tpl hier="3" item="0"/>
          <tpl fld="2" item="1"/>
          <tpl fld="1" item="0"/>
        </tpls>
      </n>
      <n v="6750" in="0">
        <tpls c="4">
          <tpl fld="0" item="136"/>
          <tpl hier="3" item="0"/>
          <tpl fld="2" item="1"/>
          <tpl fld="1" item="1"/>
        </tpls>
      </n>
      <n v="80275" in="0">
        <tpls c="4">
          <tpl fld="0" item="137"/>
          <tpl hier="3" item="0"/>
          <tpl fld="2" item="0"/>
          <tpl fld="1" item="0"/>
        </tpls>
      </n>
      <n v="2800" in="0">
        <tpls c="4">
          <tpl fld="0" item="137"/>
          <tpl hier="3" item="0"/>
          <tpl fld="2" item="0"/>
          <tpl fld="1" item="1"/>
        </tpls>
      </n>
      <n v="110874" in="0">
        <tpls c="4">
          <tpl fld="0" item="138"/>
          <tpl hier="3" item="0"/>
          <tpl fld="2" item="0"/>
          <tpl fld="1" item="0"/>
        </tpls>
      </n>
      <n v="4200" in="0">
        <tpls c="4">
          <tpl fld="0" item="138"/>
          <tpl hier="3" item="0"/>
          <tpl fld="2" item="0"/>
          <tpl fld="1" item="1"/>
        </tpls>
      </n>
      <n v="85938" in="0">
        <tpls c="4">
          <tpl fld="0" item="139"/>
          <tpl hier="3" item="0"/>
          <tpl fld="2" item="0"/>
          <tpl fld="1" item="0"/>
        </tpls>
      </n>
      <n v="4200" in="0">
        <tpls c="4">
          <tpl fld="0" item="139"/>
          <tpl hier="3" item="0"/>
          <tpl fld="2" item="0"/>
          <tpl fld="1" item="1"/>
        </tpls>
      </n>
      <n v="49109" in="0">
        <tpls c="4">
          <tpl fld="0" item="140"/>
          <tpl hier="3" item="0"/>
          <tpl fld="2" item="2"/>
          <tpl fld="1" item="0"/>
        </tpls>
      </n>
      <n v="1500" in="0">
        <tpls c="4">
          <tpl fld="0" item="140"/>
          <tpl hier="3" item="0"/>
          <tpl fld="2" item="2"/>
          <tpl fld="1" item="1"/>
        </tpls>
      </n>
      <n v="127395" in="0">
        <tpls c="4">
          <tpl fld="0" item="141"/>
          <tpl hier="3" item="0"/>
          <tpl fld="2" item="1"/>
          <tpl fld="1" item="0"/>
        </tpls>
      </n>
      <n v="6750" in="0">
        <tpls c="4">
          <tpl fld="0" item="141"/>
          <tpl hier="3" item="0"/>
          <tpl fld="2" item="1"/>
          <tpl fld="1" item="1"/>
        </tpls>
      </n>
      <n v="111627" in="0">
        <tpls c="4">
          <tpl fld="0" item="142"/>
          <tpl hier="3" item="0"/>
          <tpl fld="2" item="0"/>
          <tpl fld="1" item="0"/>
        </tpls>
      </n>
      <n v="2800" in="0">
        <tpls c="4">
          <tpl fld="0" item="142"/>
          <tpl hier="3" item="0"/>
          <tpl fld="2" item="0"/>
          <tpl fld="1" item="1"/>
        </tpls>
      </n>
      <n v="52575" in="0">
        <tpls c="4">
          <tpl fld="0" item="143"/>
          <tpl hier="3" item="0"/>
          <tpl fld="2" item="2"/>
          <tpl fld="1" item="0"/>
        </tpls>
      </n>
      <n v="1500" in="0">
        <tpls c="4">
          <tpl fld="0" item="143"/>
          <tpl hier="3" item="0"/>
          <tpl fld="2" item="2"/>
          <tpl fld="1" item="1"/>
        </tpls>
      </n>
      <n v="83350" in="0">
        <tpls c="4">
          <tpl fld="0" item="144"/>
          <tpl hier="3" item="0"/>
          <tpl fld="2" item="0"/>
          <tpl fld="1" item="0"/>
        </tpls>
      </n>
      <n v="2800" in="0">
        <tpls c="4">
          <tpl fld="0" item="144"/>
          <tpl hier="3" item="0"/>
          <tpl fld="2" item="0"/>
          <tpl fld="1" item="1"/>
        </tpls>
      </n>
      <n v="190571" in="0">
        <tpls c="4">
          <tpl fld="0" item="145"/>
          <tpl hier="3" item="0"/>
          <tpl fld="2" item="1"/>
          <tpl fld="1" item="0"/>
        </tpls>
      </n>
      <n v="9000" in="0">
        <tpls c="4">
          <tpl fld="0" item="145"/>
          <tpl hier="3" item="0"/>
          <tpl fld="2" item="1"/>
          <tpl fld="1" item="1"/>
        </tpls>
      </n>
      <n v="78895" in="0">
        <tpls c="4">
          <tpl fld="0" item="146"/>
          <tpl hier="3" item="0"/>
          <tpl fld="2" item="0"/>
          <tpl fld="1" item="0"/>
        </tpls>
      </n>
      <n v="4200" in="0">
        <tpls c="4">
          <tpl fld="0" item="146"/>
          <tpl hier="3" item="0"/>
          <tpl fld="2" item="0"/>
          <tpl fld="1" item="1"/>
        </tpls>
      </n>
      <n v="67874" in="0">
        <tpls c="4">
          <tpl fld="0" item="147"/>
          <tpl hier="3" item="0"/>
          <tpl fld="2" item="0"/>
          <tpl fld="1" item="0"/>
        </tpls>
      </n>
      <n v="4200" in="0">
        <tpls c="4">
          <tpl fld="0" item="147"/>
          <tpl hier="3" item="0"/>
          <tpl fld="2" item="0"/>
          <tpl fld="1" item="1"/>
        </tpls>
      </n>
      <n v="109799" in="0">
        <tpls c="4">
          <tpl fld="0" item="148"/>
          <tpl hier="3" item="0"/>
          <tpl fld="2" item="0"/>
          <tpl fld="1" item="0"/>
        </tpls>
      </n>
      <n v="2800" in="0">
        <tpls c="4">
          <tpl fld="0" item="148"/>
          <tpl hier="3" item="0"/>
          <tpl fld="2" item="0"/>
          <tpl fld="1" item="1"/>
        </tpls>
      </n>
      <n v="226495" in="0">
        <tpls c="4">
          <tpl fld="0" item="149"/>
          <tpl hier="3" item="0"/>
          <tpl fld="2" item="1"/>
          <tpl fld="1" item="0"/>
        </tpls>
      </n>
      <n v="9000" in="0">
        <tpls c="4">
          <tpl fld="0" item="149"/>
          <tpl hier="3" item="0"/>
          <tpl fld="2" item="1"/>
          <tpl fld="1" item="1"/>
        </tpls>
      </n>
      <n v="79175" in="0">
        <tpls c="4">
          <tpl fld="0" item="150"/>
          <tpl hier="3" item="0"/>
          <tpl fld="2" item="0"/>
          <tpl fld="1" item="0"/>
        </tpls>
      </n>
      <n v="4200" in="0">
        <tpls c="4">
          <tpl fld="0" item="150"/>
          <tpl hier="3" item="0"/>
          <tpl fld="2" item="0"/>
          <tpl fld="1" item="1"/>
        </tpls>
      </n>
      <n v="137648" in="0">
        <tpls c="4">
          <tpl fld="0" item="151"/>
          <tpl hier="3" item="0"/>
          <tpl fld="2" item="1"/>
          <tpl fld="1" item="0"/>
        </tpls>
      </n>
      <n v="9000" in="0">
        <tpls c="4">
          <tpl fld="0" item="151"/>
          <tpl hier="3" item="0"/>
          <tpl fld="2" item="1"/>
          <tpl fld="1" item="1"/>
        </tpls>
      </n>
      <n v="154199" in="0">
        <tpls c="4">
          <tpl fld="0" item="152"/>
          <tpl hier="3" item="0"/>
          <tpl fld="2" item="1"/>
          <tpl fld="1" item="0"/>
        </tpls>
      </n>
      <n v="9000" in="0">
        <tpls c="4">
          <tpl fld="0" item="152"/>
          <tpl hier="3" item="0"/>
          <tpl fld="2" item="1"/>
          <tpl fld="1" item="1"/>
        </tpls>
      </n>
      <n v="78678" in="0">
        <tpls c="4">
          <tpl fld="0" item="153"/>
          <tpl hier="3" item="0"/>
          <tpl fld="2" item="0"/>
          <tpl fld="1" item="0"/>
        </tpls>
      </n>
      <n v="2800" in="0">
        <tpls c="4">
          <tpl fld="0" item="153"/>
          <tpl hier="3" item="0"/>
          <tpl fld="2" item="0"/>
          <tpl fld="1" item="1"/>
        </tpls>
      </n>
      <n v="147707" in="0">
        <tpls c="4">
          <tpl fld="0" item="154"/>
          <tpl hier="3" item="0"/>
          <tpl fld="2" item="1"/>
          <tpl fld="1" item="0"/>
        </tpls>
      </n>
      <n v="9000" in="0">
        <tpls c="4">
          <tpl fld="0" item="154"/>
          <tpl hier="3" item="0"/>
          <tpl fld="2" item="1"/>
          <tpl fld="1" item="1"/>
        </tpls>
      </n>
      <n v="93986" in="0">
        <tpls c="4">
          <tpl fld="0" item="155"/>
          <tpl hier="3" item="0"/>
          <tpl fld="2" item="0"/>
          <tpl fld="1" item="0"/>
        </tpls>
      </n>
      <n v="2800" in="0">
        <tpls c="4">
          <tpl fld="0" item="155"/>
          <tpl hier="3" item="0"/>
          <tpl fld="2" item="0"/>
          <tpl fld="1" item="1"/>
        </tpls>
      </n>
      <n v="131020" in="0">
        <tpls c="4">
          <tpl fld="0" item="156"/>
          <tpl hier="3" item="0"/>
          <tpl fld="2" item="1"/>
          <tpl fld="1" item="0"/>
        </tpls>
      </n>
      <n v="9000" in="0">
        <tpls c="4">
          <tpl fld="0" item="156"/>
          <tpl hier="3" item="0"/>
          <tpl fld="2" item="1"/>
          <tpl fld="1" item="1"/>
        </tpls>
      </n>
      <n v="131218" in="0">
        <tpls c="4">
          <tpl fld="0" item="157"/>
          <tpl hier="3" item="0"/>
          <tpl fld="2" item="1"/>
          <tpl fld="1" item="0"/>
        </tpls>
      </n>
      <n v="6750" in="0">
        <tpls c="4">
          <tpl fld="0" item="157"/>
          <tpl hier="3" item="0"/>
          <tpl fld="2" item="1"/>
          <tpl fld="1" item="1"/>
        </tpls>
      </n>
      <n v="116311" in="0">
        <tpls c="4">
          <tpl fld="0" item="158"/>
          <tpl hier="3" item="0"/>
          <tpl fld="2" item="0"/>
          <tpl fld="1" item="0"/>
        </tpls>
      </n>
      <n v="2800" in="0">
        <tpls c="4">
          <tpl fld="0" item="158"/>
          <tpl hier="3" item="0"/>
          <tpl fld="2" item="0"/>
          <tpl fld="1" item="1"/>
        </tpls>
      </n>
      <n v="59897" in="0">
        <tpls c="4">
          <tpl fld="0" item="159"/>
          <tpl hier="3" item="0"/>
          <tpl fld="2" item="2"/>
          <tpl fld="1" item="0"/>
        </tpls>
      </n>
      <n v="1500" in="0">
        <tpls c="4">
          <tpl fld="0" item="159"/>
          <tpl hier="3" item="0"/>
          <tpl fld="2" item="2"/>
          <tpl fld="1" item="1"/>
        </tpls>
      </n>
      <n v="170370" in="0">
        <tpls c="4">
          <tpl fld="0" item="160"/>
          <tpl hier="3" item="0"/>
          <tpl fld="2" item="1"/>
          <tpl fld="1" item="0"/>
        </tpls>
      </n>
      <n v="9000" in="0">
        <tpls c="4">
          <tpl fld="0" item="160"/>
          <tpl hier="3" item="0"/>
          <tpl fld="2" item="1"/>
          <tpl fld="1" item="1"/>
        </tpls>
      </n>
      <n v="88290" in="0">
        <tpls c="4">
          <tpl fld="0" item="161"/>
          <tpl hier="3" item="0"/>
          <tpl fld="2" item="0"/>
          <tpl fld="1" item="0"/>
        </tpls>
      </n>
      <n v="4200" in="0">
        <tpls c="4">
          <tpl fld="0" item="161"/>
          <tpl hier="3" item="0"/>
          <tpl fld="2" item="0"/>
          <tpl fld="1" item="1"/>
        </tpls>
      </n>
      <n v="72971" in="0">
        <tpls c="4">
          <tpl fld="0" item="162"/>
          <tpl hier="3" item="0"/>
          <tpl fld="2" item="0"/>
          <tpl fld="1" item="0"/>
        </tpls>
      </n>
      <n v="2800" in="0">
        <tpls c="4">
          <tpl fld="0" item="162"/>
          <tpl hier="3" item="0"/>
          <tpl fld="2" item="0"/>
          <tpl fld="1" item="1"/>
        </tpls>
      </n>
      <n v="50091" in="0">
        <tpls c="4">
          <tpl fld="0" item="163"/>
          <tpl hier="3" item="0"/>
          <tpl fld="2" item="2"/>
          <tpl fld="1" item="0"/>
        </tpls>
      </n>
      <n v="1500" in="0">
        <tpls c="4">
          <tpl fld="0" item="163"/>
          <tpl hier="3" item="0"/>
          <tpl fld="2" item="2"/>
          <tpl fld="1" item="1"/>
        </tpls>
      </n>
      <n v="124498" in="0">
        <tpls c="4">
          <tpl fld="0" item="164"/>
          <tpl hier="3" item="0"/>
          <tpl fld="2" item="1"/>
          <tpl fld="1" item="0"/>
        </tpls>
      </n>
      <n v="9000" in="0">
        <tpls c="4">
          <tpl fld="0" item="164"/>
          <tpl hier="3" item="0"/>
          <tpl fld="2" item="1"/>
          <tpl fld="1" item="1"/>
        </tpls>
      </n>
      <n v="138582" in="0">
        <tpls c="4">
          <tpl fld="0" item="165"/>
          <tpl hier="3" item="0"/>
          <tpl fld="2" item="1"/>
          <tpl fld="1" item="0"/>
        </tpls>
      </n>
      <n v="6750" in="0">
        <tpls c="4">
          <tpl fld="0" item="165"/>
          <tpl hier="3" item="0"/>
          <tpl fld="2" item="1"/>
          <tpl fld="1" item="1"/>
        </tpls>
      </n>
      <n v="42814" in="0">
        <tpls c="4">
          <tpl fld="0" item="166"/>
          <tpl hier="3" item="0"/>
          <tpl fld="2" item="2"/>
          <tpl fld="1" item="0"/>
        </tpls>
      </n>
      <n v="1500" in="0">
        <tpls c="4">
          <tpl fld="0" item="166"/>
          <tpl hier="3" item="0"/>
          <tpl fld="2" item="2"/>
          <tpl fld="1" item="1"/>
        </tpls>
      </n>
      <n v="112943" in="0">
        <tpls c="4">
          <tpl fld="0" item="167"/>
          <tpl hier="3" item="0"/>
          <tpl fld="2" item="0"/>
          <tpl fld="1" item="0"/>
        </tpls>
      </n>
      <n v="2800" in="0">
        <tpls c="4">
          <tpl fld="0" item="167"/>
          <tpl hier="3" item="0"/>
          <tpl fld="2" item="0"/>
          <tpl fld="1" item="1"/>
        </tpls>
      </n>
      <n v="77431" in="0">
        <tpls c="4">
          <tpl fld="0" item="168"/>
          <tpl hier="3" item="0"/>
          <tpl fld="2" item="0"/>
          <tpl fld="1" item="0"/>
        </tpls>
      </n>
      <n v="2800" in="0">
        <tpls c="4">
          <tpl fld="0" item="168"/>
          <tpl hier="3" item="0"/>
          <tpl fld="2" item="0"/>
          <tpl fld="1" item="1"/>
        </tpls>
      </n>
      <n v="133120" in="0">
        <tpls c="4">
          <tpl fld="0" item="169"/>
          <tpl hier="3" item="0"/>
          <tpl fld="2" item="1"/>
          <tpl fld="1" item="0"/>
        </tpls>
      </n>
      <n v="6750" in="0">
        <tpls c="4">
          <tpl fld="0" item="169"/>
          <tpl hier="3" item="0"/>
          <tpl fld="2" item="1"/>
          <tpl fld="1" item="1"/>
        </tpls>
      </n>
      <n v="71547" in="0">
        <tpls c="4">
          <tpl fld="0" item="170"/>
          <tpl hier="3" item="0"/>
          <tpl fld="2" item="0"/>
          <tpl fld="1" item="0"/>
        </tpls>
      </n>
      <n v="4200" in="0">
        <tpls c="4">
          <tpl fld="0" item="170"/>
          <tpl hier="3" item="0"/>
          <tpl fld="2" item="0"/>
          <tpl fld="1" item="1"/>
        </tpls>
      </n>
      <n v="140917" in="0">
        <tpls c="4">
          <tpl fld="0" item="171"/>
          <tpl hier="3" item="0"/>
          <tpl fld="2" item="1"/>
          <tpl fld="1" item="0"/>
        </tpls>
      </n>
      <n v="9000" in="0">
        <tpls c="4">
          <tpl fld="0" item="171"/>
          <tpl hier="3" item="0"/>
          <tpl fld="2" item="1"/>
          <tpl fld="1" item="1"/>
        </tpls>
      </n>
      <n v="96342" in="0">
        <tpls c="4">
          <tpl fld="0" item="172"/>
          <tpl hier="3" item="0"/>
          <tpl fld="2" item="0"/>
          <tpl fld="1" item="0"/>
        </tpls>
      </n>
      <n v="4200" in="0">
        <tpls c="4">
          <tpl fld="0" item="172"/>
          <tpl hier="3" item="0"/>
          <tpl fld="2" item="0"/>
          <tpl fld="1" item="1"/>
        </tpls>
      </n>
      <n v="200645" in="0">
        <tpls c="4">
          <tpl fld="0" item="173"/>
          <tpl hier="3" item="0"/>
          <tpl fld="2" item="1"/>
          <tpl fld="1" item="0"/>
        </tpls>
      </n>
      <n v="9000" in="0">
        <tpls c="4">
          <tpl fld="0" item="173"/>
          <tpl hier="3" item="0"/>
          <tpl fld="2" item="1"/>
          <tpl fld="1" item="1"/>
        </tpls>
      </n>
      <n v="66897" in="0">
        <tpls c="4">
          <tpl fld="0" item="174"/>
          <tpl hier="3" item="0"/>
          <tpl fld="2" item="0"/>
          <tpl fld="1" item="0"/>
        </tpls>
      </n>
      <n v="4200" in="0">
        <tpls c="4">
          <tpl fld="0" item="174"/>
          <tpl hier="3" item="0"/>
          <tpl fld="2" item="0"/>
          <tpl fld="1" item="1"/>
        </tpls>
      </n>
      <n v="90723" in="0">
        <tpls c="4">
          <tpl fld="0" item="175"/>
          <tpl hier="3" item="0"/>
          <tpl fld="2" item="0"/>
          <tpl fld="1" item="0"/>
        </tpls>
      </n>
      <n v="4200" in="0">
        <tpls c="4">
          <tpl fld="0" item="175"/>
          <tpl hier="3" item="0"/>
          <tpl fld="2" item="0"/>
          <tpl fld="1" item="1"/>
        </tpls>
      </n>
      <n v="63516" in="0">
        <tpls c="4">
          <tpl fld="0" item="176"/>
          <tpl hier="3" item="0"/>
          <tpl fld="2" item="0"/>
          <tpl fld="1" item="0"/>
        </tpls>
      </n>
      <n v="4200" in="0">
        <tpls c="4">
          <tpl fld="0" item="176"/>
          <tpl hier="3" item="0"/>
          <tpl fld="2" item="0"/>
          <tpl fld="1" item="1"/>
        </tpls>
      </n>
      <n v="196154" in="0">
        <tpls c="4">
          <tpl fld="0" item="177"/>
          <tpl hier="3" item="0"/>
          <tpl fld="2" item="1"/>
          <tpl fld="1" item="0"/>
        </tpls>
      </n>
      <n v="6750" in="0">
        <tpls c="4">
          <tpl fld="0" item="177"/>
          <tpl hier="3" item="0"/>
          <tpl fld="2" item="1"/>
          <tpl fld="1" item="1"/>
        </tpls>
      </n>
      <n v="181280" in="0">
        <tpls c="4">
          <tpl fld="0" item="178"/>
          <tpl hier="3" item="0"/>
          <tpl fld="2" item="1"/>
          <tpl fld="1" item="0"/>
        </tpls>
      </n>
      <n v="6750" in="0">
        <tpls c="4">
          <tpl fld="0" item="178"/>
          <tpl hier="3" item="0"/>
          <tpl fld="2" item="1"/>
          <tpl fld="1" item="1"/>
        </tpls>
      </n>
      <n v="80975" in="0">
        <tpls c="4">
          <tpl fld="0" item="179"/>
          <tpl hier="3" item="0"/>
          <tpl fld="2" item="0"/>
          <tpl fld="1" item="0"/>
        </tpls>
      </n>
      <n v="4200" in="0">
        <tpls c="4">
          <tpl fld="0" item="179"/>
          <tpl hier="3" item="0"/>
          <tpl fld="2" item="0"/>
          <tpl fld="1" item="1"/>
        </tpls>
      </n>
      <n v="135585" in="0">
        <tpls c="4">
          <tpl fld="0" item="180"/>
          <tpl hier="3" item="0"/>
          <tpl fld="2" item="1"/>
          <tpl fld="1" item="0"/>
        </tpls>
      </n>
      <n v="9000" in="0">
        <tpls c="4">
          <tpl fld="0" item="180"/>
          <tpl hier="3" item="0"/>
          <tpl fld="2" item="1"/>
          <tpl fld="1" item="1"/>
        </tpls>
      </n>
      <n v="166113" in="0">
        <tpls c="4">
          <tpl fld="0" item="181"/>
          <tpl hier="3" item="0"/>
          <tpl fld="2" item="1"/>
          <tpl fld="1" item="0"/>
        </tpls>
      </n>
      <n v="9000" in="0">
        <tpls c="4">
          <tpl fld="0" item="181"/>
          <tpl hier="3" item="0"/>
          <tpl fld="2" item="1"/>
          <tpl fld="1" item="1"/>
        </tpls>
      </n>
      <n v="119138" in="0">
        <tpls c="4">
          <tpl fld="0" item="182"/>
          <tpl hier="3" item="0"/>
          <tpl fld="2" item="0"/>
          <tpl fld="1" item="0"/>
        </tpls>
      </n>
      <n v="2800" in="0">
        <tpls c="4">
          <tpl fld="0" item="182"/>
          <tpl hier="3" item="0"/>
          <tpl fld="2" item="0"/>
          <tpl fld="1" item="1"/>
        </tpls>
      </n>
      <n v="115432" in="0">
        <tpls c="4">
          <tpl fld="0" item="183"/>
          <tpl hier="3" item="0"/>
          <tpl fld="2" item="0"/>
          <tpl fld="1" item="0"/>
        </tpls>
      </n>
      <n v="4200" in="0">
        <tpls c="4">
          <tpl fld="0" item="183"/>
          <tpl hier="3" item="0"/>
          <tpl fld="2" item="0"/>
          <tpl fld="1" item="1"/>
        </tpls>
      </n>
      <n v="79153" in="0">
        <tpls c="4">
          <tpl fld="0" item="184"/>
          <tpl hier="3" item="0"/>
          <tpl fld="2" item="0"/>
          <tpl fld="1" item="0"/>
        </tpls>
      </n>
      <n v="2800" in="0">
        <tpls c="4">
          <tpl fld="0" item="184"/>
          <tpl hier="3" item="0"/>
          <tpl fld="2" item="0"/>
          <tpl fld="1" item="1"/>
        </tpls>
      </n>
      <n v="60359" in="0">
        <tpls c="4">
          <tpl fld="0" item="185"/>
          <tpl hier="3" item="0"/>
          <tpl fld="2" item="0"/>
          <tpl fld="1" item="0"/>
        </tpls>
      </n>
      <n v="4200" in="0">
        <tpls c="4">
          <tpl fld="0" item="185"/>
          <tpl hier="3" item="0"/>
          <tpl fld="2" item="0"/>
          <tpl fld="1" item="1"/>
        </tpls>
      </n>
      <n v="187093" in="0">
        <tpls c="4">
          <tpl fld="0" item="186"/>
          <tpl hier="3" item="0"/>
          <tpl fld="2" item="1"/>
          <tpl fld="1" item="0"/>
        </tpls>
      </n>
      <n v="9000" in="0">
        <tpls c="4">
          <tpl fld="0" item="186"/>
          <tpl hier="3" item="0"/>
          <tpl fld="2" item="1"/>
          <tpl fld="1" item="1"/>
        </tpls>
      </n>
      <n v="188081" in="0">
        <tpls c="4">
          <tpl fld="0" item="187"/>
          <tpl hier="3" item="0"/>
          <tpl fld="2" item="1"/>
          <tpl fld="1" item="0"/>
        </tpls>
      </n>
      <n v="9000" in="0">
        <tpls c="4">
          <tpl fld="0" item="187"/>
          <tpl hier="3" item="0"/>
          <tpl fld="2" item="1"/>
          <tpl fld="1" item="1"/>
        </tpls>
      </n>
      <n v="131148" in="0">
        <tpls c="4">
          <tpl fld="0" item="188"/>
          <tpl hier="3" item="0"/>
          <tpl fld="2" item="1"/>
          <tpl fld="1" item="0"/>
        </tpls>
      </n>
      <n v="6750" in="0">
        <tpls c="4">
          <tpl fld="0" item="188"/>
          <tpl hier="3" item="0"/>
          <tpl fld="2" item="1"/>
          <tpl fld="1" item="1"/>
        </tpls>
      </n>
      <n v="90477" in="0">
        <tpls c="4">
          <tpl fld="0" item="189"/>
          <tpl hier="3" item="0"/>
          <tpl fld="2" item="0"/>
          <tpl fld="1" item="0"/>
        </tpls>
      </n>
      <n v="4200" in="0">
        <tpls c="4">
          <tpl fld="0" item="189"/>
          <tpl hier="3" item="0"/>
          <tpl fld="2" item="0"/>
          <tpl fld="1" item="1"/>
        </tpls>
      </n>
      <n v="91710" in="0">
        <tpls c="4">
          <tpl fld="0" item="190"/>
          <tpl hier="3" item="0"/>
          <tpl fld="2" item="0"/>
          <tpl fld="1" item="0"/>
        </tpls>
      </n>
      <n v="4200" in="0">
        <tpls c="4">
          <tpl fld="0" item="190"/>
          <tpl hier="3" item="0"/>
          <tpl fld="2" item="0"/>
          <tpl fld="1" item="1"/>
        </tpls>
      </n>
      <n v="147283" in="0">
        <tpls c="4">
          <tpl fld="0" item="191"/>
          <tpl hier="3" item="0"/>
          <tpl fld="2" item="1"/>
          <tpl fld="1" item="0"/>
        </tpls>
      </n>
      <n v="9000" in="0">
        <tpls c="4">
          <tpl fld="0" item="191"/>
          <tpl hier="3" item="0"/>
          <tpl fld="2" item="1"/>
          <tpl fld="1" item="1"/>
        </tpls>
      </n>
      <n v="187061" in="0">
        <tpls c="4">
          <tpl fld="0" item="192"/>
          <tpl hier="3" item="0"/>
          <tpl fld="2" item="1"/>
          <tpl fld="1" item="0"/>
        </tpls>
      </n>
      <n v="9000" in="0">
        <tpls c="4">
          <tpl fld="0" item="192"/>
          <tpl hier="3" item="0"/>
          <tpl fld="2" item="1"/>
          <tpl fld="1" item="1"/>
        </tpls>
      </n>
      <n v="184066" in="0">
        <tpls c="4">
          <tpl fld="0" item="193"/>
          <tpl hier="3" item="0"/>
          <tpl fld="2" item="1"/>
          <tpl fld="1" item="0"/>
        </tpls>
      </n>
      <n v="9000" in="0">
        <tpls c="4">
          <tpl fld="0" item="193"/>
          <tpl hier="3" item="0"/>
          <tpl fld="2" item="1"/>
          <tpl fld="1" item="1"/>
        </tpls>
      </n>
      <n v="157941" in="0">
        <tpls c="4">
          <tpl fld="0" item="194"/>
          <tpl hier="3" item="0"/>
          <tpl fld="2" item="1"/>
          <tpl fld="1" item="0"/>
        </tpls>
      </n>
      <n v="9000" in="0">
        <tpls c="4">
          <tpl fld="0" item="194"/>
          <tpl hier="3" item="0"/>
          <tpl fld="2" item="1"/>
          <tpl fld="1" item="1"/>
        </tpls>
      </n>
      <n v="132604" in="0">
        <tpls c="4">
          <tpl fld="0" item="195"/>
          <tpl hier="3" item="0"/>
          <tpl fld="2" item="1"/>
          <tpl fld="1" item="0"/>
        </tpls>
      </n>
      <n v="6750" in="0">
        <tpls c="4">
          <tpl fld="0" item="195"/>
          <tpl hier="3" item="0"/>
          <tpl fld="2" item="1"/>
          <tpl fld="1" item="1"/>
        </tpls>
      </n>
      <n v="58861" in="0">
        <tpls c="4">
          <tpl fld="0" item="196"/>
          <tpl hier="3" item="0"/>
          <tpl fld="2" item="2"/>
          <tpl fld="1" item="0"/>
        </tpls>
      </n>
      <n v="1500" in="0">
        <tpls c="4">
          <tpl fld="0" item="196"/>
          <tpl hier="3" item="0"/>
          <tpl fld="2" item="2"/>
          <tpl fld="1" item="1"/>
        </tpls>
      </n>
      <n v="70001" in="0">
        <tpls c="4">
          <tpl fld="0" item="197"/>
          <tpl hier="3" item="0"/>
          <tpl fld="2" item="0"/>
          <tpl fld="1" item="0"/>
        </tpls>
      </n>
      <n v="2800" in="0">
        <tpls c="4">
          <tpl fld="0" item="197"/>
          <tpl hier="3" item="0"/>
          <tpl fld="2" item="0"/>
          <tpl fld="1" item="1"/>
        </tpls>
      </n>
      <n v="187504" in="0">
        <tpls c="4">
          <tpl fld="0" item="198"/>
          <tpl hier="3" item="0"/>
          <tpl fld="2" item="1"/>
          <tpl fld="1" item="0"/>
        </tpls>
      </n>
      <n v="9000" in="0">
        <tpls c="4">
          <tpl fld="0" item="198"/>
          <tpl hier="3" item="0"/>
          <tpl fld="2" item="1"/>
          <tpl fld="1" item="1"/>
        </tpls>
      </n>
      <n v="126904" in="0">
        <tpls c="4">
          <tpl fld="0" item="199"/>
          <tpl hier="3" item="0"/>
          <tpl fld="2" item="1"/>
          <tpl fld="1" item="0"/>
        </tpls>
      </n>
      <n v="9000" in="0">
        <tpls c="4">
          <tpl fld="0" item="199"/>
          <tpl hier="3" item="0"/>
          <tpl fld="2" item="1"/>
          <tpl fld="1" item="1"/>
        </tpls>
      </n>
      <n v="61694" in="0">
        <tpls c="4">
          <tpl fld="0" item="200"/>
          <tpl hier="3" item="0"/>
          <tpl fld="2" item="0"/>
          <tpl fld="1" item="0"/>
        </tpls>
      </n>
      <n v="2800" in="0">
        <tpls c="4">
          <tpl fld="0" item="200"/>
          <tpl hier="3" item="0"/>
          <tpl fld="2" item="0"/>
          <tpl fld="1" item="1"/>
        </tpls>
      </n>
      <n v="136179" in="0">
        <tpls c="4">
          <tpl fld="0" item="201"/>
          <tpl hier="3" item="0"/>
          <tpl fld="2" item="1"/>
          <tpl fld="1" item="0"/>
        </tpls>
      </n>
      <n v="9000" in="0">
        <tpls c="4">
          <tpl fld="0" item="201"/>
          <tpl hier="3" item="0"/>
          <tpl fld="2" item="1"/>
          <tpl fld="1" item="1"/>
        </tpls>
      </n>
      <n v="37078" in="0">
        <tpls c="4">
          <tpl fld="0" item="202"/>
          <tpl hier="3" item="0"/>
          <tpl fld="2" item="2"/>
          <tpl fld="1" item="0"/>
        </tpls>
      </n>
      <n v="1500" in="0">
        <tpls c="4">
          <tpl fld="0" item="202"/>
          <tpl hier="3" item="0"/>
          <tpl fld="2" item="2"/>
          <tpl fld="1" item="1"/>
        </tpls>
      </n>
      <n v="69899" in="0">
        <tpls c="4">
          <tpl fld="0" item="203"/>
          <tpl hier="3" item="0"/>
          <tpl fld="2" item="0"/>
          <tpl fld="1" item="0"/>
        </tpls>
      </n>
      <n v="4200" in="0">
        <tpls c="4">
          <tpl fld="0" item="203"/>
          <tpl hier="3" item="0"/>
          <tpl fld="2" item="0"/>
          <tpl fld="1" item="1"/>
        </tpls>
      </n>
      <n v="118190" in="0">
        <tpls c="4">
          <tpl fld="0" item="204"/>
          <tpl hier="3" item="0"/>
          <tpl fld="2" item="0"/>
          <tpl fld="1" item="0"/>
        </tpls>
      </n>
      <n v="4200" in="0">
        <tpls c="4">
          <tpl fld="0" item="204"/>
          <tpl hier="3" item="0"/>
          <tpl fld="2" item="0"/>
          <tpl fld="1" item="1"/>
        </tpls>
      </n>
      <n v="141087" in="0">
        <tpls c="4">
          <tpl fld="0" item="205"/>
          <tpl hier="3" item="0"/>
          <tpl fld="2" item="1"/>
          <tpl fld="1" item="0"/>
        </tpls>
      </n>
      <n v="9000" in="0">
        <tpls c="4">
          <tpl fld="0" item="205"/>
          <tpl hier="3" item="0"/>
          <tpl fld="2" item="1"/>
          <tpl fld="1" item="1"/>
        </tpls>
      </n>
      <n v="134243" in="0">
        <tpls c="4">
          <tpl fld="0" item="206"/>
          <tpl hier="3" item="0"/>
          <tpl fld="2" item="1"/>
          <tpl fld="1" item="0"/>
        </tpls>
      </n>
      <n v="9000" in="0">
        <tpls c="4">
          <tpl fld="0" item="206"/>
          <tpl hier="3" item="0"/>
          <tpl fld="2" item="1"/>
          <tpl fld="1" item="1"/>
        </tpls>
      </n>
      <n v="77183" in="0">
        <tpls c="4">
          <tpl fld="0" item="207"/>
          <tpl hier="3" item="0"/>
          <tpl fld="2" item="0"/>
          <tpl fld="1" item="0"/>
        </tpls>
      </n>
      <n v="4200" in="0">
        <tpls c="4">
          <tpl fld="0" item="207"/>
          <tpl hier="3" item="0"/>
          <tpl fld="2" item="0"/>
          <tpl fld="1" item="1"/>
        </tpls>
      </n>
      <n v="144733" in="0">
        <tpls c="4">
          <tpl fld="0" item="208"/>
          <tpl hier="3" item="0"/>
          <tpl fld="2" item="1"/>
          <tpl fld="1" item="0"/>
        </tpls>
      </n>
      <n v="9000" in="0">
        <tpls c="4">
          <tpl fld="0" item="208"/>
          <tpl hier="3" item="0"/>
          <tpl fld="2" item="1"/>
          <tpl fld="1" item="1"/>
        </tpls>
      </n>
      <n v="78635" in="0">
        <tpls c="4">
          <tpl fld="0" item="209"/>
          <tpl hier="3" item="0"/>
          <tpl fld="2" item="0"/>
          <tpl fld="1" item="0"/>
        </tpls>
      </n>
      <n v="2800" in="0">
        <tpls c="4">
          <tpl fld="0" item="209"/>
          <tpl hier="3" item="0"/>
          <tpl fld="2" item="0"/>
          <tpl fld="1" item="1"/>
        </tpls>
      </n>
      <n v="88841" in="0">
        <tpls c="4">
          <tpl fld="0" item="210"/>
          <tpl hier="3" item="0"/>
          <tpl fld="2" item="0"/>
          <tpl fld="1" item="0"/>
        </tpls>
      </n>
      <n v="4200" in="0">
        <tpls c="4">
          <tpl fld="0" item="210"/>
          <tpl hier="3" item="0"/>
          <tpl fld="2" item="0"/>
          <tpl fld="1" item="1"/>
        </tpls>
      </n>
      <n v="151206" in="0">
        <tpls c="4">
          <tpl fld="0" item="211"/>
          <tpl hier="3" item="0"/>
          <tpl fld="2" item="1"/>
          <tpl fld="1" item="0"/>
        </tpls>
      </n>
      <n v="9000" in="0">
        <tpls c="4">
          <tpl fld="0" item="211"/>
          <tpl hier="3" item="0"/>
          <tpl fld="2" item="1"/>
          <tpl fld="1" item="1"/>
        </tpls>
      </n>
      <n v="133857" in="0">
        <tpls c="4">
          <tpl fld="0" item="212"/>
          <tpl hier="3" item="0"/>
          <tpl fld="2" item="1"/>
          <tpl fld="1" item="0"/>
        </tpls>
      </n>
      <n v="9000" in="0">
        <tpls c="4">
          <tpl fld="0" item="212"/>
          <tpl hier="3" item="0"/>
          <tpl fld="2" item="1"/>
          <tpl fld="1" item="1"/>
        </tpls>
      </n>
      <n v="173810" in="0">
        <tpls c="4">
          <tpl fld="0" item="213"/>
          <tpl hier="3" item="0"/>
          <tpl fld="2" item="1"/>
          <tpl fld="1" item="0"/>
        </tpls>
      </n>
      <n v="9000" in="0">
        <tpls c="4">
          <tpl fld="0" item="213"/>
          <tpl hier="3" item="0"/>
          <tpl fld="2" item="1"/>
          <tpl fld="1" item="1"/>
        </tpls>
      </n>
      <n v="135187" in="0">
        <tpls c="4">
          <tpl fld="0" item="214"/>
          <tpl hier="3" item="0"/>
          <tpl fld="2" item="1"/>
          <tpl fld="1" item="0"/>
        </tpls>
      </n>
      <n v="9000" in="0">
        <tpls c="4">
          <tpl fld="0" item="214"/>
          <tpl hier="3" item="0"/>
          <tpl fld="2" item="1"/>
          <tpl fld="1" item="1"/>
        </tpls>
      </n>
      <n v="121080" in="0">
        <tpls c="4">
          <tpl fld="0" item="215"/>
          <tpl hier="3" item="0"/>
          <tpl fld="2" item="1"/>
          <tpl fld="1" item="0"/>
        </tpls>
      </n>
      <n v="9000" in="0">
        <tpls c="4">
          <tpl fld="0" item="215"/>
          <tpl hier="3" item="0"/>
          <tpl fld="2" item="1"/>
          <tpl fld="1" item="1"/>
        </tpls>
      </n>
      <n v="60452" in="0">
        <tpls c="4">
          <tpl fld="0" item="216"/>
          <tpl hier="3" item="0"/>
          <tpl fld="2" item="0"/>
          <tpl fld="1" item="0"/>
        </tpls>
      </n>
      <n v="2800" in="0">
        <tpls c="4">
          <tpl fld="0" item="216"/>
          <tpl hier="3" item="0"/>
          <tpl fld="2" item="0"/>
          <tpl fld="1" item="1"/>
        </tpls>
      </n>
      <n v="93977" in="0">
        <tpls c="4">
          <tpl fld="0" item="217"/>
          <tpl hier="3" item="0"/>
          <tpl fld="2" item="0"/>
          <tpl fld="1" item="0"/>
        </tpls>
      </n>
      <n v="4200" in="0">
        <tpls c="4">
          <tpl fld="0" item="217"/>
          <tpl hier="3" item="0"/>
          <tpl fld="2" item="0"/>
          <tpl fld="1" item="1"/>
        </tpls>
      </n>
      <n v="81804" in="0">
        <tpls c="4">
          <tpl fld="0" item="218"/>
          <tpl hier="3" item="0"/>
          <tpl fld="2" item="0"/>
          <tpl fld="1" item="0"/>
        </tpls>
      </n>
      <n v="2800" in="0">
        <tpls c="4">
          <tpl fld="0" item="218"/>
          <tpl hier="3" item="0"/>
          <tpl fld="2" item="0"/>
          <tpl fld="1" item="1"/>
        </tpls>
      </n>
      <n v="79394" in="0">
        <tpls c="4">
          <tpl fld="0" item="219"/>
          <tpl hier="3" item="0"/>
          <tpl fld="2" item="0"/>
          <tpl fld="1" item="0"/>
        </tpls>
      </n>
      <n v="2800" in="0">
        <tpls c="4">
          <tpl fld="0" item="219"/>
          <tpl hier="3" item="0"/>
          <tpl fld="2" item="0"/>
          <tpl fld="1" item="1"/>
        </tpls>
      </n>
      <n v="217765" in="0">
        <tpls c="4">
          <tpl fld="0" item="220"/>
          <tpl hier="3" item="0"/>
          <tpl fld="2" item="1"/>
          <tpl fld="1" item="0"/>
        </tpls>
      </n>
      <n v="9000" in="0">
        <tpls c="4">
          <tpl fld="0" item="220"/>
          <tpl hier="3" item="0"/>
          <tpl fld="2" item="1"/>
          <tpl fld="1" item="1"/>
        </tpls>
      </n>
      <n v="97141" in="0">
        <tpls c="4">
          <tpl fld="0" item="221"/>
          <tpl hier="3" item="0"/>
          <tpl fld="2" item="0"/>
          <tpl fld="1" item="0"/>
        </tpls>
      </n>
      <n v="4200" in="0">
        <tpls c="4">
          <tpl fld="0" item="221"/>
          <tpl hier="3" item="0"/>
          <tpl fld="2" item="0"/>
          <tpl fld="1" item="1"/>
        </tpls>
      </n>
      <n v="185531" in="0">
        <tpls c="4">
          <tpl fld="0" item="222"/>
          <tpl hier="3" item="0"/>
          <tpl fld="2" item="1"/>
          <tpl fld="1" item="0"/>
        </tpls>
      </n>
      <n v="9000" in="0">
        <tpls c="4">
          <tpl fld="0" item="222"/>
          <tpl hier="3" item="0"/>
          <tpl fld="2" item="1"/>
          <tpl fld="1" item="1"/>
        </tpls>
      </n>
      <n v="161119" in="0">
        <tpls c="4">
          <tpl fld="0" item="223"/>
          <tpl hier="3" item="0"/>
          <tpl fld="2" item="1"/>
          <tpl fld="1" item="0"/>
        </tpls>
      </n>
      <n v="9000" in="0">
        <tpls c="4">
          <tpl fld="0" item="223"/>
          <tpl hier="3" item="0"/>
          <tpl fld="2" item="1"/>
          <tpl fld="1" item="1"/>
        </tpls>
      </n>
      <n v="111621" in="0">
        <tpls c="4">
          <tpl fld="0" item="224"/>
          <tpl hier="3" item="0"/>
          <tpl fld="2" item="0"/>
          <tpl fld="1" item="0"/>
        </tpls>
      </n>
      <n v="4200" in="0">
        <tpls c="4">
          <tpl fld="0" item="224"/>
          <tpl hier="3" item="0"/>
          <tpl fld="2" item="0"/>
          <tpl fld="1" item="1"/>
        </tpls>
      </n>
      <n v="122370" in="0">
        <tpls c="4">
          <tpl fld="0" item="225"/>
          <tpl hier="3" item="0"/>
          <tpl fld="2" item="1"/>
          <tpl fld="1" item="0"/>
        </tpls>
      </n>
      <n v="9000" in="0">
        <tpls c="4">
          <tpl fld="0" item="225"/>
          <tpl hier="3" item="0"/>
          <tpl fld="2" item="1"/>
          <tpl fld="1" item="1"/>
        </tpls>
      </n>
      <n v="110221" in="0">
        <tpls c="4">
          <tpl fld="0" item="226"/>
          <tpl hier="3" item="0"/>
          <tpl fld="2" item="0"/>
          <tpl fld="1" item="0"/>
        </tpls>
      </n>
      <n v="2800" in="0">
        <tpls c="4">
          <tpl fld="0" item="226"/>
          <tpl hier="3" item="0"/>
          <tpl fld="2" item="0"/>
          <tpl fld="1" item="1"/>
        </tpls>
      </n>
      <n v="73964" in="0">
        <tpls c="4">
          <tpl fld="0" item="227"/>
          <tpl hier="3" item="0"/>
          <tpl fld="2" item="0"/>
          <tpl fld="1" item="0"/>
        </tpls>
      </n>
      <n v="2800" in="0">
        <tpls c="4">
          <tpl fld="0" item="227"/>
          <tpl hier="3" item="0"/>
          <tpl fld="2" item="0"/>
          <tpl fld="1" item="1"/>
        </tpls>
      </n>
      <n v="146628" in="0">
        <tpls c="4">
          <tpl fld="0" item="228"/>
          <tpl hier="3" item="0"/>
          <tpl fld="2" item="1"/>
          <tpl fld="1" item="0"/>
        </tpls>
      </n>
      <n v="9000" in="0">
        <tpls c="4">
          <tpl fld="0" item="228"/>
          <tpl hier="3" item="0"/>
          <tpl fld="2" item="1"/>
          <tpl fld="1" item="1"/>
        </tpls>
      </n>
      <n v="83596" in="0">
        <tpls c="4">
          <tpl fld="0" item="229"/>
          <tpl hier="3" item="0"/>
          <tpl fld="2" item="0"/>
          <tpl fld="1" item="0"/>
        </tpls>
      </n>
      <n v="4200" in="0">
        <tpls c="4">
          <tpl fld="0" item="229"/>
          <tpl hier="3" item="0"/>
          <tpl fld="2" item="0"/>
          <tpl fld="1" item="1"/>
        </tpls>
      </n>
      <n v="45515" in="0">
        <tpls c="4">
          <tpl fld="0" item="230"/>
          <tpl hier="3" item="0"/>
          <tpl fld="2" item="2"/>
          <tpl fld="1" item="0"/>
        </tpls>
      </n>
      <n v="1500" in="0">
        <tpls c="4">
          <tpl fld="0" item="230"/>
          <tpl hier="3" item="0"/>
          <tpl fld="2" item="2"/>
          <tpl fld="1" item="1"/>
        </tpls>
      </n>
      <n v="133169" in="0">
        <tpls c="4">
          <tpl fld="0" item="231"/>
          <tpl hier="3" item="0"/>
          <tpl fld="2" item="1"/>
          <tpl fld="1" item="0"/>
        </tpls>
      </n>
      <n v="6750" in="0">
        <tpls c="4">
          <tpl fld="0" item="231"/>
          <tpl hier="3" item="0"/>
          <tpl fld="2" item="1"/>
          <tpl fld="1" item="1"/>
        </tpls>
      </n>
      <n v="71873" in="0">
        <tpls c="4">
          <tpl fld="0" item="232"/>
          <tpl hier="3" item="0"/>
          <tpl fld="2" item="0"/>
          <tpl fld="1" item="0"/>
        </tpls>
      </n>
      <n v="2800" in="0">
        <tpls c="4">
          <tpl fld="0" item="232"/>
          <tpl hier="3" item="0"/>
          <tpl fld="2" item="0"/>
          <tpl fld="1" item="1"/>
        </tpls>
      </n>
      <n v="202121" in="0">
        <tpls c="4">
          <tpl fld="0" item="233"/>
          <tpl hier="3" item="0"/>
          <tpl fld="2" item="1"/>
          <tpl fld="1" item="0"/>
        </tpls>
      </n>
      <n v="9000" in="0">
        <tpls c="4">
          <tpl fld="0" item="233"/>
          <tpl hier="3" item="0"/>
          <tpl fld="2" item="1"/>
          <tpl fld="1" item="1"/>
        </tpls>
      </n>
      <n v="207884" in="0">
        <tpls c="4">
          <tpl fld="0" item="234"/>
          <tpl hier="3" item="0"/>
          <tpl fld="2" item="1"/>
          <tpl fld="1" item="0"/>
        </tpls>
      </n>
      <n v="6750" in="0">
        <tpls c="4">
          <tpl fld="0" item="234"/>
          <tpl hier="3" item="0"/>
          <tpl fld="2" item="1"/>
          <tpl fld="1" item="1"/>
        </tpls>
      </n>
      <n v="192748" in="0">
        <tpls c="4">
          <tpl fld="0" item="235"/>
          <tpl hier="3" item="0"/>
          <tpl fld="2" item="1"/>
          <tpl fld="1" item="0"/>
        </tpls>
      </n>
      <n v="6750" in="0">
        <tpls c="4">
          <tpl fld="0" item="235"/>
          <tpl hier="3" item="0"/>
          <tpl fld="2" item="1"/>
          <tpl fld="1" item="1"/>
        </tpls>
      </n>
      <n v="94279" in="0">
        <tpls c="4">
          <tpl fld="0" item="236"/>
          <tpl hier="3" item="0"/>
          <tpl fld="2" item="0"/>
          <tpl fld="1" item="0"/>
        </tpls>
      </n>
      <n v="4200" in="0">
        <tpls c="4">
          <tpl fld="0" item="236"/>
          <tpl hier="3" item="0"/>
          <tpl fld="2" item="0"/>
          <tpl fld="1" item="1"/>
        </tpls>
      </n>
      <n v="42370" in="0">
        <tpls c="4">
          <tpl fld="0" item="237"/>
          <tpl hier="3" item="0"/>
          <tpl fld="2" item="2"/>
          <tpl fld="1" item="0"/>
        </tpls>
      </n>
      <n v="1500" in="0">
        <tpls c="4">
          <tpl fld="0" item="237"/>
          <tpl hier="3" item="0"/>
          <tpl fld="2" item="2"/>
          <tpl fld="1" item="1"/>
        </tpls>
      </n>
      <n v="197466" in="0">
        <tpls c="4">
          <tpl fld="0" item="238"/>
          <tpl hier="3" item="0"/>
          <tpl fld="2" item="1"/>
          <tpl fld="1" item="0"/>
        </tpls>
      </n>
      <n v="6750" in="0">
        <tpls c="4">
          <tpl fld="0" item="238"/>
          <tpl hier="3" item="0"/>
          <tpl fld="2" item="1"/>
          <tpl fld="1" item="1"/>
        </tpls>
      </n>
      <n v="101625" in="0">
        <tpls c="4">
          <tpl fld="0" item="239"/>
          <tpl hier="3" item="0"/>
          <tpl fld="2" item="0"/>
          <tpl fld="1" item="0"/>
        </tpls>
      </n>
      <n v="4200" in="0">
        <tpls c="4">
          <tpl fld="0" item="239"/>
          <tpl hier="3" item="0"/>
          <tpl fld="2" item="0"/>
          <tpl fld="1" item="1"/>
        </tpls>
      </n>
      <n v="214169" in="0">
        <tpls c="4">
          <tpl fld="0" item="240"/>
          <tpl hier="3" item="0"/>
          <tpl fld="2" item="1"/>
          <tpl fld="1" item="0"/>
        </tpls>
      </n>
      <n v="6750" in="0">
        <tpls c="4">
          <tpl fld="0" item="240"/>
          <tpl hier="3" item="0"/>
          <tpl fld="2" item="1"/>
          <tpl fld="1" item="1"/>
        </tpls>
      </n>
      <n v="212574" in="0">
        <tpls c="4">
          <tpl fld="0" item="241"/>
          <tpl hier="3" item="0"/>
          <tpl fld="2" item="1"/>
          <tpl fld="1" item="0"/>
        </tpls>
      </n>
      <n v="6750" in="0">
        <tpls c="4">
          <tpl fld="0" item="241"/>
          <tpl hier="3" item="0"/>
          <tpl fld="2" item="1"/>
          <tpl fld="1" item="1"/>
        </tpls>
      </n>
      <n v="174772" in="0">
        <tpls c="4">
          <tpl fld="0" item="242"/>
          <tpl hier="3" item="0"/>
          <tpl fld="2" item="1"/>
          <tpl fld="1" item="0"/>
        </tpls>
      </n>
      <n v="6750" in="0">
        <tpls c="4">
          <tpl fld="0" item="242"/>
          <tpl hier="3" item="0"/>
          <tpl fld="2" item="1"/>
          <tpl fld="1" item="1"/>
        </tpls>
      </n>
      <n v="85185" in="0">
        <tpls c="4">
          <tpl fld="0" item="243"/>
          <tpl hier="3" item="0"/>
          <tpl fld="2" item="0"/>
          <tpl fld="1" item="0"/>
        </tpls>
      </n>
      <n v="4200" in="0">
        <tpls c="4">
          <tpl fld="0" item="243"/>
          <tpl hier="3" item="0"/>
          <tpl fld="2" item="0"/>
          <tpl fld="1" item="1"/>
        </tpls>
      </n>
      <n v="96137" in="0">
        <tpls c="4">
          <tpl fld="0" item="244"/>
          <tpl hier="3" item="0"/>
          <tpl fld="2" item="0"/>
          <tpl fld="1" item="0"/>
        </tpls>
      </n>
      <n v="2800" in="0">
        <tpls c="4">
          <tpl fld="0" item="244"/>
          <tpl hier="3" item="0"/>
          <tpl fld="2" item="0"/>
          <tpl fld="1" item="1"/>
        </tpls>
      </n>
      <n v="174295" in="0">
        <tpls c="4">
          <tpl fld="0" item="245"/>
          <tpl hier="3" item="0"/>
          <tpl fld="2" item="1"/>
          <tpl fld="1" item="0"/>
        </tpls>
      </n>
      <n v="9000" in="0">
        <tpls c="4">
          <tpl fld="0" item="245"/>
          <tpl hier="3" item="0"/>
          <tpl fld="2" item="1"/>
          <tpl fld="1" item="1"/>
        </tpls>
      </n>
      <n v="87831" in="0">
        <tpls c="4">
          <tpl fld="0" item="246"/>
          <tpl hier="3" item="0"/>
          <tpl fld="2" item="0"/>
          <tpl fld="1" item="0"/>
        </tpls>
      </n>
      <n v="2800" in="0">
        <tpls c="4">
          <tpl fld="0" item="246"/>
          <tpl hier="3" item="0"/>
          <tpl fld="2" item="0"/>
          <tpl fld="1" item="1"/>
        </tpls>
      </n>
      <n v="70963" in="0">
        <tpls c="4">
          <tpl fld="0" item="247"/>
          <tpl hier="3" item="0"/>
          <tpl fld="2" item="0"/>
          <tpl fld="1" item="0"/>
        </tpls>
      </n>
      <n v="4200" in="0">
        <tpls c="4">
          <tpl fld="0" item="247"/>
          <tpl hier="3" item="0"/>
          <tpl fld="2" item="0"/>
          <tpl fld="1" item="1"/>
        </tpls>
      </n>
      <n v="119374" in="0">
        <tpls c="4">
          <tpl fld="0" item="248"/>
          <tpl hier="3" item="0"/>
          <tpl fld="2" item="0"/>
          <tpl fld="1" item="0"/>
        </tpls>
      </n>
      <n v="4200" in="0">
        <tpls c="4">
          <tpl fld="0" item="248"/>
          <tpl hier="3" item="0"/>
          <tpl fld="2" item="0"/>
          <tpl fld="1" item="1"/>
        </tpls>
      </n>
      <n v="200421" in="0">
        <tpls c="4">
          <tpl fld="0" item="249"/>
          <tpl hier="3" item="0"/>
          <tpl fld="2" item="1"/>
          <tpl fld="1" item="0"/>
        </tpls>
      </n>
      <n v="6750" in="0">
        <tpls c="4">
          <tpl fld="0" item="249"/>
          <tpl hier="3" item="0"/>
          <tpl fld="2" item="1"/>
          <tpl fld="1" item="1"/>
        </tpls>
      </n>
      <n v="141820" in="0">
        <tpls c="4">
          <tpl fld="0" item="250"/>
          <tpl hier="3" item="0"/>
          <tpl fld="2" item="1"/>
          <tpl fld="1" item="0"/>
        </tpls>
      </n>
      <n v="6750" in="0">
        <tpls c="4">
          <tpl fld="0" item="250"/>
          <tpl hier="3" item="0"/>
          <tpl fld="2" item="1"/>
          <tpl fld="1" item="1"/>
        </tpls>
      </n>
      <n v="121342" in="0">
        <tpls c="4">
          <tpl fld="0" item="251"/>
          <tpl hier="3" item="0"/>
          <tpl fld="2" item="1"/>
          <tpl fld="1" item="0"/>
        </tpls>
      </n>
      <n v="9000" in="0">
        <tpls c="4">
          <tpl fld="0" item="251"/>
          <tpl hier="3" item="0"/>
          <tpl fld="2" item="1"/>
          <tpl fld="1" item="1"/>
        </tpls>
      </n>
      <n v="61016" in="0">
        <tpls c="4">
          <tpl fld="0" item="252"/>
          <tpl hier="3" item="0"/>
          <tpl fld="2" item="0"/>
          <tpl fld="1" item="0"/>
        </tpls>
      </n>
      <n v="2800" in="0">
        <tpls c="4">
          <tpl fld="0" item="252"/>
          <tpl hier="3" item="0"/>
          <tpl fld="2" item="0"/>
          <tpl fld="1" item="1"/>
        </tpls>
      </n>
      <n v="128253" in="0">
        <tpls c="4">
          <tpl fld="0" item="253"/>
          <tpl hier="3" item="0"/>
          <tpl fld="2" item="1"/>
          <tpl fld="1" item="0"/>
        </tpls>
      </n>
      <n v="9000" in="0">
        <tpls c="4">
          <tpl fld="0" item="253"/>
          <tpl hier="3" item="0"/>
          <tpl fld="2" item="1"/>
          <tpl fld="1" item="1"/>
        </tpls>
      </n>
      <n v="230431" in="0">
        <tpls c="4">
          <tpl fld="0" item="254"/>
          <tpl hier="3" item="0"/>
          <tpl fld="2" item="1"/>
          <tpl fld="1" item="0"/>
        </tpls>
      </n>
      <n v="6750" in="0">
        <tpls c="4">
          <tpl fld="0" item="254"/>
          <tpl hier="3" item="0"/>
          <tpl fld="2" item="1"/>
          <tpl fld="1" item="1"/>
        </tpls>
      </n>
      <n v="67240" in="0">
        <tpls c="4">
          <tpl fld="0" item="255"/>
          <tpl hier="3" item="0"/>
          <tpl fld="2" item="0"/>
          <tpl fld="1" item="0"/>
        </tpls>
      </n>
      <n v="2800" in="0">
        <tpls c="4">
          <tpl fld="0" item="255"/>
          <tpl hier="3" item="0"/>
          <tpl fld="2" item="0"/>
          <tpl fld="1" item="1"/>
        </tpls>
      </n>
      <n v="113822" in="0">
        <tpls c="4">
          <tpl fld="0" item="256"/>
          <tpl hier="3" item="0"/>
          <tpl fld="2" item="0"/>
          <tpl fld="1" item="0"/>
        </tpls>
      </n>
      <n v="2800" in="0">
        <tpls c="4">
          <tpl fld="0" item="256"/>
          <tpl hier="3" item="0"/>
          <tpl fld="2" item="0"/>
          <tpl fld="1" item="1"/>
        </tpls>
      </n>
      <n v="181289" in="0">
        <tpls c="4">
          <tpl fld="0" item="257"/>
          <tpl hier="3" item="0"/>
          <tpl fld="2" item="1"/>
          <tpl fld="1" item="0"/>
        </tpls>
      </n>
      <n v="9000" in="0">
        <tpls c="4">
          <tpl fld="0" item="257"/>
          <tpl hier="3" item="0"/>
          <tpl fld="2" item="1"/>
          <tpl fld="1" item="1"/>
        </tpls>
      </n>
      <n v="150098" in="0">
        <tpls c="4">
          <tpl fld="0" item="258"/>
          <tpl hier="3" item="0"/>
          <tpl fld="2" item="1"/>
          <tpl fld="1" item="0"/>
        </tpls>
      </n>
      <n v="6750" in="0">
        <tpls c="4">
          <tpl fld="0" item="258"/>
          <tpl hier="3" item="0"/>
          <tpl fld="2" item="1"/>
          <tpl fld="1" item="1"/>
        </tpls>
      </n>
      <n v="141995" in="0">
        <tpls c="4">
          <tpl fld="0" item="259"/>
          <tpl hier="3" item="0"/>
          <tpl fld="2" item="1"/>
          <tpl fld="1" item="0"/>
        </tpls>
      </n>
      <n v="6750" in="0">
        <tpls c="4">
          <tpl fld="0" item="259"/>
          <tpl hier="3" item="0"/>
          <tpl fld="2" item="1"/>
          <tpl fld="1" item="1"/>
        </tpls>
      </n>
      <n v="142974" in="0">
        <tpls c="4">
          <tpl fld="0" item="260"/>
          <tpl hier="3" item="0"/>
          <tpl fld="2" item="1"/>
          <tpl fld="1" item="0"/>
        </tpls>
      </n>
      <n v="6750" in="0">
        <tpls c="4">
          <tpl fld="0" item="260"/>
          <tpl hier="3" item="0"/>
          <tpl fld="2" item="1"/>
          <tpl fld="1" item="1"/>
        </tpls>
      </n>
      <n v="92966" in="0">
        <tpls c="4">
          <tpl fld="0" item="261"/>
          <tpl hier="3" item="0"/>
          <tpl fld="2" item="0"/>
          <tpl fld="1" item="0"/>
        </tpls>
      </n>
      <n v="4200" in="0">
        <tpls c="4">
          <tpl fld="0" item="261"/>
          <tpl hier="3" item="0"/>
          <tpl fld="2" item="0"/>
          <tpl fld="1" item="1"/>
        </tpls>
      </n>
      <n v="85085" in="0">
        <tpls c="4">
          <tpl fld="0" item="262"/>
          <tpl hier="3" item="0"/>
          <tpl fld="2" item="0"/>
          <tpl fld="1" item="0"/>
        </tpls>
      </n>
      <n v="4200" in="0">
        <tpls c="4">
          <tpl fld="0" item="262"/>
          <tpl hier="3" item="0"/>
          <tpl fld="2" item="0"/>
          <tpl fld="1" item="1"/>
        </tpls>
      </n>
      <n v="164328" in="0">
        <tpls c="4">
          <tpl fld="0" item="263"/>
          <tpl hier="3" item="0"/>
          <tpl fld="2" item="1"/>
          <tpl fld="1" item="0"/>
        </tpls>
      </n>
      <n v="9000" in="0">
        <tpls c="4">
          <tpl fld="0" item="263"/>
          <tpl hier="3" item="0"/>
          <tpl fld="2" item="1"/>
          <tpl fld="1" item="1"/>
        </tpls>
      </n>
      <n v="164497" in="0">
        <tpls c="4">
          <tpl fld="0" item="264"/>
          <tpl hier="3" item="0"/>
          <tpl fld="2" item="1"/>
          <tpl fld="1" item="0"/>
        </tpls>
      </n>
      <n v="6750" in="0">
        <tpls c="4">
          <tpl fld="0" item="264"/>
          <tpl hier="3" item="0"/>
          <tpl fld="2" item="1"/>
          <tpl fld="1" item="1"/>
        </tpls>
      </n>
      <n v="178461" in="0">
        <tpls c="4">
          <tpl fld="0" item="265"/>
          <tpl hier="3" item="0"/>
          <tpl fld="2" item="1"/>
          <tpl fld="1" item="0"/>
        </tpls>
      </n>
      <n v="6750" in="0">
        <tpls c="4">
          <tpl fld="0" item="265"/>
          <tpl hier="3" item="0"/>
          <tpl fld="2" item="1"/>
          <tpl fld="1" item="1"/>
        </tpls>
      </n>
      <n v="192205" in="0">
        <tpls c="4">
          <tpl fld="0" item="266"/>
          <tpl hier="3" item="0"/>
          <tpl fld="2" item="1"/>
          <tpl fld="1" item="0"/>
        </tpls>
      </n>
      <n v="9000" in="0">
        <tpls c="4">
          <tpl fld="0" item="266"/>
          <tpl hier="3" item="0"/>
          <tpl fld="2" item="1"/>
          <tpl fld="1" item="1"/>
        </tpls>
      </n>
      <n v="112838" in="0">
        <tpls c="4">
          <tpl fld="0" item="267"/>
          <tpl hier="3" item="0"/>
          <tpl fld="2" item="0"/>
          <tpl fld="1" item="0"/>
        </tpls>
      </n>
      <n v="2800" in="0">
        <tpls c="4">
          <tpl fld="0" item="267"/>
          <tpl hier="3" item="0"/>
          <tpl fld="2" item="0"/>
          <tpl fld="1" item="1"/>
        </tpls>
      </n>
      <n v="111466" in="0">
        <tpls c="4">
          <tpl fld="0" item="268"/>
          <tpl hier="3" item="0"/>
          <tpl fld="2" item="0"/>
          <tpl fld="1" item="0"/>
        </tpls>
      </n>
      <n v="4200" in="0">
        <tpls c="4">
          <tpl fld="0" item="268"/>
          <tpl hier="3" item="0"/>
          <tpl fld="2" item="0"/>
          <tpl fld="1" item="1"/>
        </tpls>
      </n>
      <n v="161877" in="0">
        <tpls c="4">
          <tpl fld="0" item="269"/>
          <tpl hier="3" item="0"/>
          <tpl fld="2" item="1"/>
          <tpl fld="1" item="0"/>
        </tpls>
      </n>
      <n v="9000" in="0">
        <tpls c="4">
          <tpl fld="0" item="269"/>
          <tpl hier="3" item="0"/>
          <tpl fld="2" item="1"/>
          <tpl fld="1" item="1"/>
        </tpls>
      </n>
      <n v="133912" in="0">
        <tpls c="4">
          <tpl fld="0" item="270"/>
          <tpl hier="3" item="0"/>
          <tpl fld="2" item="1"/>
          <tpl fld="1" item="0"/>
        </tpls>
      </n>
      <n v="6750" in="0">
        <tpls c="4">
          <tpl fld="0" item="270"/>
          <tpl hier="3" item="0"/>
          <tpl fld="2" item="1"/>
          <tpl fld="1" item="1"/>
        </tpls>
      </n>
      <n v="142881" in="0">
        <tpls c="4">
          <tpl fld="0" item="271"/>
          <tpl hier="3" item="0"/>
          <tpl fld="2" item="1"/>
          <tpl fld="1" item="0"/>
        </tpls>
      </n>
      <n v="6750" in="0">
        <tpls c="4">
          <tpl fld="0" item="271"/>
          <tpl hier="3" item="0"/>
          <tpl fld="2" item="1"/>
          <tpl fld="1" item="1"/>
        </tpls>
      </n>
      <n v="161332" in="0">
        <tpls c="4">
          <tpl fld="0" item="272"/>
          <tpl hier="3" item="0"/>
          <tpl fld="2" item="1"/>
          <tpl fld="1" item="0"/>
        </tpls>
      </n>
      <n v="9000" in="0">
        <tpls c="4">
          <tpl fld="0" item="272"/>
          <tpl hier="3" item="0"/>
          <tpl fld="2" item="1"/>
          <tpl fld="1" item="1"/>
        </tpls>
      </n>
      <n v="184924" in="0">
        <tpls c="4">
          <tpl fld="0" item="273"/>
          <tpl hier="3" item="0"/>
          <tpl fld="2" item="1"/>
          <tpl fld="1" item="0"/>
        </tpls>
      </n>
      <n v="6750" in="0">
        <tpls c="4">
          <tpl fld="0" item="273"/>
          <tpl hier="3" item="0"/>
          <tpl fld="2" item="1"/>
          <tpl fld="1" item="1"/>
        </tpls>
      </n>
      <n v="90352" in="0">
        <tpls c="4">
          <tpl fld="0" item="274"/>
          <tpl hier="3" item="0"/>
          <tpl fld="2" item="0"/>
          <tpl fld="1" item="0"/>
        </tpls>
      </n>
      <n v="2800" in="0">
        <tpls c="4">
          <tpl fld="0" item="274"/>
          <tpl hier="3" item="0"/>
          <tpl fld="2" item="0"/>
          <tpl fld="1" item="1"/>
        </tpls>
      </n>
      <n v="94951" in="0">
        <tpls c="4">
          <tpl fld="0" item="275"/>
          <tpl hier="3" item="0"/>
          <tpl fld="2" item="0"/>
          <tpl fld="1" item="0"/>
        </tpls>
      </n>
      <n v="2800" in="0">
        <tpls c="4">
          <tpl fld="0" item="275"/>
          <tpl hier="3" item="0"/>
          <tpl fld="2" item="0"/>
          <tpl fld="1" item="1"/>
        </tpls>
      </n>
      <n v="60502" in="0">
        <tpls c="4">
          <tpl fld="0" item="276"/>
          <tpl hier="3" item="0"/>
          <tpl fld="2" item="0"/>
          <tpl fld="1" item="0"/>
        </tpls>
      </n>
      <n v="2800" in="0">
        <tpls c="4">
          <tpl fld="0" item="276"/>
          <tpl hier="3" item="0"/>
          <tpl fld="2" item="0"/>
          <tpl fld="1" item="1"/>
        </tpls>
      </n>
      <n v="122578" in="0">
        <tpls c="4">
          <tpl fld="0" item="277"/>
          <tpl hier="3" item="0"/>
          <tpl fld="2" item="1"/>
          <tpl fld="1" item="0"/>
        </tpls>
      </n>
      <n v="9000" in="0">
        <tpls c="4">
          <tpl fld="0" item="277"/>
          <tpl hier="3" item="0"/>
          <tpl fld="2" item="1"/>
          <tpl fld="1" item="1"/>
        </tpls>
      </n>
      <n v="48863" in="0">
        <tpls c="4">
          <tpl fld="0" item="278"/>
          <tpl hier="3" item="0"/>
          <tpl fld="2" item="2"/>
          <tpl fld="1" item="0"/>
        </tpls>
      </n>
      <n v="1500" in="0">
        <tpls c="4">
          <tpl fld="0" item="278"/>
          <tpl hier="3" item="0"/>
          <tpl fld="2" item="2"/>
          <tpl fld="1" item="1"/>
        </tpls>
      </n>
      <n v="106561" in="0">
        <tpls c="4">
          <tpl fld="0" item="279"/>
          <tpl hier="3" item="0"/>
          <tpl fld="2" item="0"/>
          <tpl fld="1" item="0"/>
        </tpls>
      </n>
      <n v="4200" in="0">
        <tpls c="4">
          <tpl fld="0" item="279"/>
          <tpl hier="3" item="0"/>
          <tpl fld="2" item="0"/>
          <tpl fld="1" item="1"/>
        </tpls>
      </n>
      <n v="117304" in="0">
        <tpls c="4">
          <tpl fld="0" item="280"/>
          <tpl hier="3" item="0"/>
          <tpl fld="2" item="0"/>
          <tpl fld="1" item="0"/>
        </tpls>
      </n>
      <n v="2800" in="0">
        <tpls c="4">
          <tpl fld="0" item="280"/>
          <tpl hier="3" item="0"/>
          <tpl fld="2" item="0"/>
          <tpl fld="1" item="1"/>
        </tpls>
      </n>
      <n v="84264" in="0">
        <tpls c="4">
          <tpl fld="0" item="281"/>
          <tpl hier="3" item="0"/>
          <tpl fld="2" item="0"/>
          <tpl fld="1" item="0"/>
        </tpls>
      </n>
      <n v="2800" in="0">
        <tpls c="4">
          <tpl fld="0" item="281"/>
          <tpl hier="3" item="0"/>
          <tpl fld="2" item="0"/>
          <tpl fld="1" item="1"/>
        </tpls>
      </n>
      <n v="124489" in="0">
        <tpls c="4">
          <tpl fld="0" item="282"/>
          <tpl hier="3" item="0"/>
          <tpl fld="2" item="1"/>
          <tpl fld="1" item="0"/>
        </tpls>
      </n>
      <n v="6750" in="0">
        <tpls c="4">
          <tpl fld="0" item="282"/>
          <tpl hier="3" item="0"/>
          <tpl fld="2" item="1"/>
          <tpl fld="1" item="1"/>
        </tpls>
      </n>
      <n v="47376" in="0">
        <tpls c="4">
          <tpl fld="0" item="283"/>
          <tpl hier="3" item="0"/>
          <tpl fld="2" item="2"/>
          <tpl fld="1" item="0"/>
        </tpls>
      </n>
      <n v="1500" in="0">
        <tpls c="4">
          <tpl fld="0" item="283"/>
          <tpl hier="3" item="0"/>
          <tpl fld="2" item="2"/>
          <tpl fld="1" item="1"/>
        </tpls>
      </n>
      <n v="49228" in="0">
        <tpls c="4">
          <tpl fld="0" item="284"/>
          <tpl hier="3" item="0"/>
          <tpl fld="2" item="2"/>
          <tpl fld="1" item="0"/>
        </tpls>
      </n>
      <n v="1500" in="0">
        <tpls c="4">
          <tpl fld="0" item="284"/>
          <tpl hier="3" item="0"/>
          <tpl fld="2" item="2"/>
          <tpl fld="1" item="1"/>
        </tpls>
      </n>
      <n v="167356" in="0">
        <tpls c="4">
          <tpl fld="0" item="285"/>
          <tpl hier="3" item="0"/>
          <tpl fld="2" item="1"/>
          <tpl fld="1" item="0"/>
        </tpls>
      </n>
      <n v="6750" in="0">
        <tpls c="4">
          <tpl fld="0" item="285"/>
          <tpl hier="3" item="0"/>
          <tpl fld="2" item="1"/>
          <tpl fld="1" item="1"/>
        </tpls>
      </n>
      <n v="93052" in="0">
        <tpls c="4">
          <tpl fld="0" item="286"/>
          <tpl hier="3" item="0"/>
          <tpl fld="2" item="0"/>
          <tpl fld="1" item="0"/>
        </tpls>
      </n>
      <n v="2800" in="0">
        <tpls c="4">
          <tpl fld="0" item="286"/>
          <tpl hier="3" item="0"/>
          <tpl fld="2" item="0"/>
          <tpl fld="1" item="1"/>
        </tpls>
      </n>
      <n v="65466" in="0">
        <tpls c="4">
          <tpl fld="0" item="287"/>
          <tpl hier="3" item="0"/>
          <tpl fld="2" item="0"/>
          <tpl fld="1" item="0"/>
        </tpls>
      </n>
      <n v="4200" in="0">
        <tpls c="4">
          <tpl fld="0" item="287"/>
          <tpl hier="3" item="0"/>
          <tpl fld="2" item="0"/>
          <tpl fld="1" item="1"/>
        </tpls>
      </n>
      <n v="114376" in="0">
        <tpls c="4">
          <tpl fld="0" item="288"/>
          <tpl hier="3" item="0"/>
          <tpl fld="2" item="0"/>
          <tpl fld="1" item="0"/>
        </tpls>
      </n>
      <n v="2800" in="0">
        <tpls c="4">
          <tpl fld="0" item="288"/>
          <tpl hier="3" item="0"/>
          <tpl fld="2" item="0"/>
          <tpl fld="1" item="1"/>
        </tpls>
      </n>
      <n v="155897" in="0">
        <tpls c="4">
          <tpl fld="0" item="289"/>
          <tpl hier="3" item="0"/>
          <tpl fld="2" item="1"/>
          <tpl fld="1" item="0"/>
        </tpls>
      </n>
      <n v="9000" in="0">
        <tpls c="4">
          <tpl fld="0" item="289"/>
          <tpl hier="3" item="0"/>
          <tpl fld="2" item="1"/>
          <tpl fld="1" item="1"/>
        </tpls>
      </n>
      <n v="76244" in="0">
        <tpls c="4">
          <tpl fld="0" item="290"/>
          <tpl hier="3" item="0"/>
          <tpl fld="2" item="0"/>
          <tpl fld="1" item="0"/>
        </tpls>
      </n>
      <n v="4200" in="0">
        <tpls c="4">
          <tpl fld="0" item="290"/>
          <tpl hier="3" item="0"/>
          <tpl fld="2" item="0"/>
          <tpl fld="1" item="1"/>
        </tpls>
      </n>
      <n v="129506" in="0">
        <tpls c="4">
          <tpl fld="0" item="291"/>
          <tpl hier="3" item="0"/>
          <tpl fld="2" item="1"/>
          <tpl fld="1" item="0"/>
        </tpls>
      </n>
      <n v="6750" in="0">
        <tpls c="4">
          <tpl fld="0" item="291"/>
          <tpl hier="3" item="0"/>
          <tpl fld="2" item="1"/>
          <tpl fld="1" item="1"/>
        </tpls>
      </n>
      <n v="59067" in="0">
        <tpls c="4">
          <tpl fld="0" item="292"/>
          <tpl hier="3" item="0"/>
          <tpl fld="2" item="2"/>
          <tpl fld="1" item="0"/>
        </tpls>
      </n>
      <n v="1500" in="0">
        <tpls c="4">
          <tpl fld="0" item="292"/>
          <tpl hier="3" item="0"/>
          <tpl fld="2" item="2"/>
          <tpl fld="1" item="1"/>
        </tpls>
      </n>
      <n v="52619" in="0">
        <tpls c="4">
          <tpl fld="0" item="293"/>
          <tpl hier="3" item="0"/>
          <tpl fld="2" item="2"/>
          <tpl fld="1" item="0"/>
        </tpls>
      </n>
      <n v="1500" in="0">
        <tpls c="4">
          <tpl fld="0" item="293"/>
          <tpl hier="3" item="0"/>
          <tpl fld="2" item="2"/>
          <tpl fld="1" item="1"/>
        </tpls>
      </n>
      <n v="115676" in="0">
        <tpls c="4">
          <tpl fld="0" item="294"/>
          <tpl hier="3" item="0"/>
          <tpl fld="2" item="0"/>
          <tpl fld="1" item="0"/>
        </tpls>
      </n>
      <n v="2800" in="0">
        <tpls c="4">
          <tpl fld="0" item="294"/>
          <tpl hier="3" item="0"/>
          <tpl fld="2" item="0"/>
          <tpl fld="1" item="1"/>
        </tpls>
      </n>
      <n v="117012" in="0">
        <tpls c="4">
          <tpl fld="0" item="295"/>
          <tpl hier="3" item="0"/>
          <tpl fld="2" item="0"/>
          <tpl fld="1" item="0"/>
        </tpls>
      </n>
      <n v="2800" in="0">
        <tpls c="4">
          <tpl fld="0" item="295"/>
          <tpl hier="3" item="0"/>
          <tpl fld="2" item="0"/>
          <tpl fld="1" item="1"/>
        </tpls>
      </n>
      <n v="131852" in="0">
        <tpls c="4">
          <tpl fld="0" item="296"/>
          <tpl hier="3" item="0"/>
          <tpl fld="2" item="1"/>
          <tpl fld="1" item="0"/>
        </tpls>
      </n>
      <n v="6750" in="0">
        <tpls c="4">
          <tpl fld="0" item="296"/>
          <tpl hier="3" item="0"/>
          <tpl fld="2" item="1"/>
          <tpl fld="1" item="1"/>
        </tpls>
      </n>
      <n v="147308" in="0">
        <tpls c="4">
          <tpl fld="0" item="297"/>
          <tpl hier="3" item="0"/>
          <tpl fld="2" item="1"/>
          <tpl fld="1" item="0"/>
        </tpls>
      </n>
      <n v="6750" in="0">
        <tpls c="4">
          <tpl fld="0" item="297"/>
          <tpl hier="3" item="0"/>
          <tpl fld="2" item="1"/>
          <tpl fld="1" item="1"/>
        </tpls>
      </n>
      <n v="219509" in="0">
        <tpls c="4">
          <tpl fld="0" item="298"/>
          <tpl hier="3" item="0"/>
          <tpl fld="2" item="1"/>
          <tpl fld="1" item="0"/>
        </tpls>
      </n>
      <n v="9000" in="0">
        <tpls c="4">
          <tpl fld="0" item="298"/>
          <tpl hier="3" item="0"/>
          <tpl fld="2" item="1"/>
          <tpl fld="1" item="1"/>
        </tpls>
      </n>
      <n v="113535" in="0">
        <tpls c="4">
          <tpl fld="0" item="299"/>
          <tpl hier="3" item="0"/>
          <tpl fld="2" item="0"/>
          <tpl fld="1" item="0"/>
        </tpls>
      </n>
      <n v="2800" in="0">
        <tpls c="4">
          <tpl fld="0" item="299"/>
          <tpl hier="3" item="0"/>
          <tpl fld="2" item="0"/>
          <tpl fld="1" item="1"/>
        </tpls>
      </n>
      <n v="88549" in="0">
        <tpls c="4">
          <tpl fld="0" item="300"/>
          <tpl hier="3" item="0"/>
          <tpl fld="2" item="0"/>
          <tpl fld="1" item="0"/>
        </tpls>
      </n>
      <n v="2800" in="0">
        <tpls c="4">
          <tpl fld="0" item="300"/>
          <tpl hier="3" item="0"/>
          <tpl fld="2" item="0"/>
          <tpl fld="1" item="1"/>
        </tpls>
      </n>
      <n v="161200" in="0">
        <tpls c="4">
          <tpl fld="0" item="301"/>
          <tpl hier="3" item="0"/>
          <tpl fld="2" item="1"/>
          <tpl fld="1" item="0"/>
        </tpls>
      </n>
      <n v="6750" in="0">
        <tpls c="4">
          <tpl fld="0" item="301"/>
          <tpl hier="3" item="0"/>
          <tpl fld="2" item="1"/>
          <tpl fld="1" item="1"/>
        </tpls>
      </n>
      <n v="82450" in="0">
        <tpls c="4">
          <tpl fld="0" item="302"/>
          <tpl hier="3" item="0"/>
          <tpl fld="2" item="0"/>
          <tpl fld="1" item="0"/>
        </tpls>
      </n>
      <n v="2800" in="0">
        <tpls c="4">
          <tpl fld="0" item="302"/>
          <tpl hier="3" item="0"/>
          <tpl fld="2" item="0"/>
          <tpl fld="1" item="1"/>
        </tpls>
      </n>
      <n v="103031" in="0">
        <tpls c="4">
          <tpl fld="0" item="303"/>
          <tpl hier="3" item="0"/>
          <tpl fld="2" item="0"/>
          <tpl fld="1" item="0"/>
        </tpls>
      </n>
      <n v="4200" in="0">
        <tpls c="4">
          <tpl fld="0" item="303"/>
          <tpl hier="3" item="0"/>
          <tpl fld="2" item="0"/>
          <tpl fld="1" item="1"/>
        </tpls>
      </n>
      <n v="57869" in="0">
        <tpls c="4">
          <tpl fld="0" item="304"/>
          <tpl hier="3" item="0"/>
          <tpl fld="2" item="2"/>
          <tpl fld="1" item="0"/>
        </tpls>
      </n>
      <n v="1500" in="0">
        <tpls c="4">
          <tpl fld="0" item="304"/>
          <tpl hier="3" item="0"/>
          <tpl fld="2" item="2"/>
          <tpl fld="1" item="1"/>
        </tpls>
      </n>
      <n v="45842" in="0">
        <tpls c="4">
          <tpl fld="0" item="305"/>
          <tpl hier="3" item="0"/>
          <tpl fld="2" item="2"/>
          <tpl fld="1" item="0"/>
        </tpls>
      </n>
      <n v="1500" in="0">
        <tpls c="4">
          <tpl fld="0" item="305"/>
          <tpl hier="3" item="0"/>
          <tpl fld="2" item="2"/>
          <tpl fld="1" item="1"/>
        </tpls>
      </n>
      <n v="212078" in="0">
        <tpls c="4">
          <tpl fld="0" item="306"/>
          <tpl hier="3" item="0"/>
          <tpl fld="2" item="1"/>
          <tpl fld="1" item="0"/>
        </tpls>
      </n>
      <n v="6750" in="0">
        <tpls c="4">
          <tpl fld="0" item="306"/>
          <tpl hier="3" item="0"/>
          <tpl fld="2" item="1"/>
          <tpl fld="1" item="1"/>
        </tpls>
      </n>
      <n v="170534" in="0">
        <tpls c="4">
          <tpl fld="0" item="307"/>
          <tpl hier="3" item="0"/>
          <tpl fld="2" item="1"/>
          <tpl fld="1" item="0"/>
        </tpls>
      </n>
      <n v="6750" in="0">
        <tpls c="4">
          <tpl fld="0" item="307"/>
          <tpl hier="3" item="0"/>
          <tpl fld="2" item="1"/>
          <tpl fld="1" item="1"/>
        </tpls>
      </n>
      <n v="141810" in="0">
        <tpls c="4">
          <tpl fld="0" item="308"/>
          <tpl hier="3" item="0"/>
          <tpl fld="2" item="1"/>
          <tpl fld="1" item="0"/>
        </tpls>
      </n>
      <n v="9000" in="0">
        <tpls c="4">
          <tpl fld="0" item="308"/>
          <tpl hier="3" item="0"/>
          <tpl fld="2" item="1"/>
          <tpl fld="1" item="1"/>
        </tpls>
      </n>
      <n v="99151" in="0">
        <tpls c="4">
          <tpl fld="0" item="309"/>
          <tpl hier="3" item="0"/>
          <tpl fld="2" item="0"/>
          <tpl fld="1" item="0"/>
        </tpls>
      </n>
      <n v="2800" in="0">
        <tpls c="4">
          <tpl fld="0" item="309"/>
          <tpl hier="3" item="0"/>
          <tpl fld="2" item="0"/>
          <tpl fld="1" item="1"/>
        </tpls>
      </n>
      <n v="71419" in="0">
        <tpls c="4">
          <tpl fld="0" item="310"/>
          <tpl hier="3" item="0"/>
          <tpl fld="2" item="0"/>
          <tpl fld="1" item="0"/>
        </tpls>
      </n>
      <n v="4200" in="0">
        <tpls c="4">
          <tpl fld="0" item="310"/>
          <tpl hier="3" item="0"/>
          <tpl fld="2" item="0"/>
          <tpl fld="1" item="1"/>
        </tpls>
      </n>
      <n v="69353" in="0">
        <tpls c="4">
          <tpl fld="0" item="311"/>
          <tpl hier="3" item="0"/>
          <tpl fld="2" item="0"/>
          <tpl fld="1" item="0"/>
        </tpls>
      </n>
      <n v="4200" in="0">
        <tpls c="4">
          <tpl fld="0" item="311"/>
          <tpl hier="3" item="0"/>
          <tpl fld="2" item="0"/>
          <tpl fld="1" item="1"/>
        </tpls>
      </n>
      <n v="80101" in="0">
        <tpls c="4">
          <tpl fld="0" item="312"/>
          <tpl hier="3" item="0"/>
          <tpl fld="2" item="0"/>
          <tpl fld="1" item="0"/>
        </tpls>
      </n>
      <n v="2800" in="0">
        <tpls c="4">
          <tpl fld="0" item="312"/>
          <tpl hier="3" item="0"/>
          <tpl fld="2" item="0"/>
          <tpl fld="1" item="1"/>
        </tpls>
      </n>
      <n v="118262" in="0">
        <tpls c="4">
          <tpl fld="0" item="313"/>
          <tpl hier="3" item="0"/>
          <tpl fld="2" item="0"/>
          <tpl fld="1" item="0"/>
        </tpls>
      </n>
      <n v="2800" in="0">
        <tpls c="4">
          <tpl fld="0" item="313"/>
          <tpl hier="3" item="0"/>
          <tpl fld="2" item="0"/>
          <tpl fld="1" item="1"/>
        </tpls>
      </n>
      <n v="145176" in="0">
        <tpls c="4">
          <tpl fld="0" item="314"/>
          <tpl hier="3" item="0"/>
          <tpl fld="2" item="1"/>
          <tpl fld="1" item="0"/>
        </tpls>
      </n>
      <n v="6750" in="0">
        <tpls c="4">
          <tpl fld="0" item="314"/>
          <tpl hier="3" item="0"/>
          <tpl fld="2" item="1"/>
          <tpl fld="1" item="1"/>
        </tpls>
      </n>
      <n v="135621" in="0">
        <tpls c="4">
          <tpl fld="0" item="315"/>
          <tpl hier="3" item="0"/>
          <tpl fld="2" item="1"/>
          <tpl fld="1" item="0"/>
        </tpls>
      </n>
      <n v="9000" in="0">
        <tpls c="4">
          <tpl fld="0" item="315"/>
          <tpl hier="3" item="0"/>
          <tpl fld="2" item="1"/>
          <tpl fld="1" item="1"/>
        </tpls>
      </n>
      <n v="83499" in="0">
        <tpls c="4">
          <tpl fld="0" item="316"/>
          <tpl hier="3" item="0"/>
          <tpl fld="2" item="0"/>
          <tpl fld="1" item="0"/>
        </tpls>
      </n>
      <n v="2800" in="0">
        <tpls c="4">
          <tpl fld="0" item="316"/>
          <tpl hier="3" item="0"/>
          <tpl fld="2" item="0"/>
          <tpl fld="1" item="1"/>
        </tpls>
      </n>
      <n v="208314" in="0">
        <tpls c="4">
          <tpl fld="0" item="317"/>
          <tpl hier="3" item="0"/>
          <tpl fld="2" item="1"/>
          <tpl fld="1" item="0"/>
        </tpls>
      </n>
      <n v="9000" in="0">
        <tpls c="4">
          <tpl fld="0" item="317"/>
          <tpl hier="3" item="0"/>
          <tpl fld="2" item="1"/>
          <tpl fld="1" item="1"/>
        </tpls>
      </n>
      <n v="149546" in="0">
        <tpls c="4">
          <tpl fld="0" item="318"/>
          <tpl hier="3" item="0"/>
          <tpl fld="2" item="1"/>
          <tpl fld="1" item="0"/>
        </tpls>
      </n>
      <n v="9000" in="0">
        <tpls c="4">
          <tpl fld="0" item="318"/>
          <tpl hier="3" item="0"/>
          <tpl fld="2" item="1"/>
          <tpl fld="1" item="1"/>
        </tpls>
      </n>
      <n v="119013" in="0">
        <tpls c="4">
          <tpl fld="0" item="319"/>
          <tpl hier="3" item="0"/>
          <tpl fld="2" item="0"/>
          <tpl fld="1" item="0"/>
        </tpls>
      </n>
      <n v="4200" in="0">
        <tpls c="4">
          <tpl fld="0" item="319"/>
          <tpl hier="3" item="0"/>
          <tpl fld="2" item="0"/>
          <tpl fld="1" item="1"/>
        </tpls>
      </n>
      <n v="127734" in="0">
        <tpls c="4">
          <tpl fld="0" item="320"/>
          <tpl hier="3" item="0"/>
          <tpl fld="2" item="2"/>
          <tpl fld="1" item="0"/>
        </tpls>
      </n>
      <n v="9500" in="0">
        <tpls c="4">
          <tpl fld="0" item="320"/>
          <tpl hier="3" item="0"/>
          <tpl fld="2" item="2"/>
          <tpl fld="1" item="1"/>
        </tpls>
      </n>
      <n v="100516" in="0">
        <tpls c="4">
          <tpl fld="0" item="321"/>
          <tpl hier="3" item="0"/>
          <tpl fld="2" item="0"/>
          <tpl fld="1" item="0"/>
        </tpls>
      </n>
      <n v="2800" in="0">
        <tpls c="4">
          <tpl fld="0" item="321"/>
          <tpl hier="3" item="0"/>
          <tpl fld="2" item="0"/>
          <tpl fld="1" item="1"/>
        </tpls>
      </n>
      <n v="79816" in="0">
        <tpls c="4">
          <tpl fld="0" item="322"/>
          <tpl hier="3" item="0"/>
          <tpl fld="2" item="0"/>
          <tpl fld="1" item="0"/>
        </tpls>
      </n>
      <n v="4200" in="0">
        <tpls c="4">
          <tpl fld="0" item="322"/>
          <tpl hier="3" item="0"/>
          <tpl fld="2" item="0"/>
          <tpl fld="1" item="1"/>
        </tpls>
      </n>
      <n v="92535" in="0">
        <tpls c="4">
          <tpl fld="0" item="323"/>
          <tpl hier="3" item="0"/>
          <tpl fld="2" item="0"/>
          <tpl fld="1" item="0"/>
        </tpls>
      </n>
      <n v="4200" in="0">
        <tpls c="4">
          <tpl fld="0" item="323"/>
          <tpl hier="3" item="0"/>
          <tpl fld="2" item="0"/>
          <tpl fld="1" item="1"/>
        </tpls>
      </n>
      <n v="153444" in="0">
        <tpls c="4">
          <tpl fld="0" item="324"/>
          <tpl hier="3" item="0"/>
          <tpl fld="2" item="1"/>
          <tpl fld="1" item="0"/>
        </tpls>
      </n>
      <n v="6750" in="0">
        <tpls c="4">
          <tpl fld="0" item="324"/>
          <tpl hier="3" item="0"/>
          <tpl fld="2" item="1"/>
          <tpl fld="1" item="1"/>
        </tpls>
      </n>
      <n v="41937" in="0">
        <tpls c="4">
          <tpl fld="0" item="325"/>
          <tpl hier="3" item="0"/>
          <tpl fld="2" item="2"/>
          <tpl fld="1" item="0"/>
        </tpls>
      </n>
      <n v="1500" in="0">
        <tpls c="4">
          <tpl fld="0" item="325"/>
          <tpl hier="3" item="0"/>
          <tpl fld="2" item="2"/>
          <tpl fld="1" item="1"/>
        </tpls>
      </n>
      <n v="63898" in="0">
        <tpls c="4">
          <tpl fld="0" item="326"/>
          <tpl hier="3" item="0"/>
          <tpl fld="2" item="0"/>
          <tpl fld="1" item="0"/>
        </tpls>
      </n>
      <n v="2800" in="0">
        <tpls c="4">
          <tpl fld="0" item="326"/>
          <tpl hier="3" item="0"/>
          <tpl fld="2" item="0"/>
          <tpl fld="1" item="1"/>
        </tpls>
      </n>
      <n v="51340" in="0">
        <tpls c="4">
          <tpl fld="0" item="327"/>
          <tpl hier="3" item="0"/>
          <tpl fld="2" item="2"/>
          <tpl fld="1" item="0"/>
        </tpls>
      </n>
      <n v="1500" in="0">
        <tpls c="4">
          <tpl fld="0" item="327"/>
          <tpl hier="3" item="0"/>
          <tpl fld="2" item="2"/>
          <tpl fld="1" item="1"/>
        </tpls>
      </n>
      <n v="50080" in="0">
        <tpls c="4">
          <tpl fld="0" item="328"/>
          <tpl hier="3" item="0"/>
          <tpl fld="2" item="2"/>
          <tpl fld="1" item="0"/>
        </tpls>
      </n>
      <n v="1500" in="0">
        <tpls c="4">
          <tpl fld="0" item="328"/>
          <tpl hier="3" item="0"/>
          <tpl fld="2" item="2"/>
          <tpl fld="1" item="1"/>
        </tpls>
      </n>
      <n v="175402" in="0">
        <tpls c="4">
          <tpl fld="0" item="329"/>
          <tpl hier="3" item="0"/>
          <tpl fld="2" item="1"/>
          <tpl fld="1" item="0"/>
        </tpls>
      </n>
      <n v="9000" in="0">
        <tpls c="4">
          <tpl fld="0" item="329"/>
          <tpl hier="3" item="0"/>
          <tpl fld="2" item="1"/>
          <tpl fld="1" item="1"/>
        </tpls>
      </n>
      <n v="143186" in="0">
        <tpls c="4">
          <tpl fld="0" item="330"/>
          <tpl hier="3" item="0"/>
          <tpl fld="2" item="1"/>
          <tpl fld="1" item="0"/>
        </tpls>
      </n>
      <n v="6750" in="0">
        <tpls c="4">
          <tpl fld="0" item="330"/>
          <tpl hier="3" item="0"/>
          <tpl fld="2" item="1"/>
          <tpl fld="1" item="1"/>
        </tpls>
      </n>
      <n v="107717" in="0">
        <tpls c="4">
          <tpl fld="0" item="331"/>
          <tpl hier="3" item="0"/>
          <tpl fld="2" item="0"/>
          <tpl fld="1" item="0"/>
        </tpls>
      </n>
      <n v="2800" in="0">
        <tpls c="4">
          <tpl fld="0" item="331"/>
          <tpl hier="3" item="0"/>
          <tpl fld="2" item="0"/>
          <tpl fld="1" item="1"/>
        </tpls>
      </n>
      <n v="61121" in="0">
        <tpls c="4">
          <tpl fld="0" item="332"/>
          <tpl hier="3" item="0"/>
          <tpl fld="2" item="0"/>
          <tpl fld="1" item="0"/>
        </tpls>
      </n>
      <n v="2800" in="0">
        <tpls c="4">
          <tpl fld="0" item="332"/>
          <tpl hier="3" item="0"/>
          <tpl fld="2" item="0"/>
          <tpl fld="1" item="1"/>
        </tpls>
      </n>
      <n v="110097" in="0">
        <tpls c="4">
          <tpl fld="0" item="333"/>
          <tpl hier="3" item="0"/>
          <tpl fld="2" item="0"/>
          <tpl fld="1" item="0"/>
        </tpls>
      </n>
      <n v="4200" in="0">
        <tpls c="4">
          <tpl fld="0" item="333"/>
          <tpl hier="3" item="0"/>
          <tpl fld="2" item="0"/>
          <tpl fld="1" item="1"/>
        </tpls>
      </n>
      <n v="107622" in="0">
        <tpls c="4">
          <tpl fld="0" item="334"/>
          <tpl hier="3" item="0"/>
          <tpl fld="2" item="0"/>
          <tpl fld="1" item="0"/>
        </tpls>
      </n>
      <n v="2800" in="0">
        <tpls c="4">
          <tpl fld="0" item="334"/>
          <tpl hier="3" item="0"/>
          <tpl fld="2" item="0"/>
          <tpl fld="1" item="1"/>
        </tpls>
      </n>
      <n v="71408" in="0">
        <tpls c="4">
          <tpl fld="0" item="335"/>
          <tpl hier="3" item="0"/>
          <tpl fld="2" item="0"/>
          <tpl fld="1" item="0"/>
        </tpls>
      </n>
      <n v="2800" in="0">
        <tpls c="4">
          <tpl fld="0" item="335"/>
          <tpl hier="3" item="0"/>
          <tpl fld="2" item="0"/>
          <tpl fld="1" item="1"/>
        </tpls>
      </n>
      <n v="102362" in="0">
        <tpls c="4">
          <tpl fld="0" item="336"/>
          <tpl hier="3" item="0"/>
          <tpl fld="2" item="0"/>
          <tpl fld="1" item="0"/>
        </tpls>
      </n>
      <n v="4200" in="0">
        <tpls c="4">
          <tpl fld="0" item="336"/>
          <tpl hier="3" item="0"/>
          <tpl fld="2" item="0"/>
          <tpl fld="1" item="1"/>
        </tpls>
      </n>
      <n v="97823" in="0">
        <tpls c="4">
          <tpl fld="0" item="337"/>
          <tpl hier="3" item="0"/>
          <tpl fld="2" item="0"/>
          <tpl fld="1" item="0"/>
        </tpls>
      </n>
      <n v="4200" in="0">
        <tpls c="4">
          <tpl fld="0" item="337"/>
          <tpl hier="3" item="0"/>
          <tpl fld="2" item="0"/>
          <tpl fld="1" item="1"/>
        </tpls>
      </n>
      <n v="128386" in="0">
        <tpls c="4">
          <tpl fld="0" item="338"/>
          <tpl hier="3" item="0"/>
          <tpl fld="2" item="1"/>
          <tpl fld="1" item="0"/>
        </tpls>
      </n>
      <n v="6750" in="0">
        <tpls c="4">
          <tpl fld="0" item="338"/>
          <tpl hier="3" item="0"/>
          <tpl fld="2" item="1"/>
          <tpl fld="1" item="1"/>
        </tpls>
      </n>
      <n v="131471" in="0">
        <tpls c="4">
          <tpl fld="0" item="339"/>
          <tpl hier="3" item="0"/>
          <tpl fld="2" item="1"/>
          <tpl fld="1" item="0"/>
        </tpls>
      </n>
      <n v="9000" in="0">
        <tpls c="4">
          <tpl fld="0" item="339"/>
          <tpl hier="3" item="0"/>
          <tpl fld="2" item="1"/>
          <tpl fld="1" item="1"/>
        </tpls>
      </n>
      <n v="51178" in="0">
        <tpls c="4">
          <tpl fld="0" item="340"/>
          <tpl hier="3" item="0"/>
          <tpl fld="2" item="2"/>
          <tpl fld="1" item="0"/>
        </tpls>
      </n>
      <n v="1500" in="0">
        <tpls c="4">
          <tpl fld="0" item="340"/>
          <tpl hier="3" item="0"/>
          <tpl fld="2" item="2"/>
          <tpl fld="1" item="1"/>
        </tpls>
      </n>
      <n v="94831" in="0">
        <tpls c="4">
          <tpl fld="0" item="341"/>
          <tpl hier="3" item="0"/>
          <tpl fld="2" item="0"/>
          <tpl fld="1" item="0"/>
        </tpls>
      </n>
      <n v="4200" in="0">
        <tpls c="4">
          <tpl fld="0" item="341"/>
          <tpl hier="3" item="0"/>
          <tpl fld="2" item="0"/>
          <tpl fld="1" item="1"/>
        </tpls>
      </n>
      <n v="111691" in="0">
        <tpls c="4">
          <tpl fld="0" item="342"/>
          <tpl hier="3" item="0"/>
          <tpl fld="2" item="0"/>
          <tpl fld="1" item="0"/>
        </tpls>
      </n>
      <n v="2800" in="0">
        <tpls c="4">
          <tpl fld="0" item="342"/>
          <tpl hier="3" item="0"/>
          <tpl fld="2" item="0"/>
          <tpl fld="1" item="1"/>
        </tpls>
      </n>
      <n v="175668" in="0">
        <tpls c="4">
          <tpl fld="0" item="343"/>
          <tpl hier="3" item="0"/>
          <tpl fld="2" item="1"/>
          <tpl fld="1" item="0"/>
        </tpls>
      </n>
      <n v="9000" in="0">
        <tpls c="4">
          <tpl fld="0" item="343"/>
          <tpl hier="3" item="0"/>
          <tpl fld="2" item="1"/>
          <tpl fld="1" item="1"/>
        </tpls>
      </n>
      <n v="135368" in="0">
        <tpls c="4">
          <tpl fld="0" item="344"/>
          <tpl hier="3" item="0"/>
          <tpl fld="2" item="1"/>
          <tpl fld="1" item="0"/>
        </tpls>
      </n>
      <n v="9000" in="0">
        <tpls c="4">
          <tpl fld="0" item="344"/>
          <tpl hier="3" item="0"/>
          <tpl fld="2" item="1"/>
          <tpl fld="1" item="1"/>
        </tpls>
      </n>
      <n v="70162" in="0">
        <tpls c="4">
          <tpl fld="0" item="345"/>
          <tpl hier="3" item="0"/>
          <tpl fld="2" item="0"/>
          <tpl fld="1" item="0"/>
        </tpls>
      </n>
      <n v="4200" in="0">
        <tpls c="4">
          <tpl fld="0" item="345"/>
          <tpl hier="3" item="0"/>
          <tpl fld="2" item="0"/>
          <tpl fld="1" item="1"/>
        </tpls>
      </n>
      <n v="56431" in="0">
        <tpls c="4">
          <tpl fld="0" item="346"/>
          <tpl hier="3" item="0"/>
          <tpl fld="2" item="2"/>
          <tpl fld="1" item="0"/>
        </tpls>
      </n>
      <n v="1500" in="0">
        <tpls c="4">
          <tpl fld="0" item="346"/>
          <tpl hier="3" item="0"/>
          <tpl fld="2" item="2"/>
          <tpl fld="1" item="1"/>
        </tpls>
      </n>
      <n v="132667" in="0">
        <tpls c="4">
          <tpl fld="0" item="347"/>
          <tpl hier="3" item="0"/>
          <tpl fld="2" item="1"/>
          <tpl fld="1" item="0"/>
        </tpls>
      </n>
      <n v="6750" in="0">
        <tpls c="4">
          <tpl fld="0" item="347"/>
          <tpl hier="3" item="0"/>
          <tpl fld="2" item="1"/>
          <tpl fld="1" item="1"/>
        </tpls>
      </n>
      <n v="46200" in="0">
        <tpls c="4">
          <tpl fld="0" item="348"/>
          <tpl hier="3" item="0"/>
          <tpl fld="2" item="2"/>
          <tpl fld="1" item="0"/>
        </tpls>
      </n>
      <n v="1500" in="0">
        <tpls c="4">
          <tpl fld="0" item="348"/>
          <tpl hier="3" item="0"/>
          <tpl fld="2" item="2"/>
          <tpl fld="1" item="1"/>
        </tpls>
      </n>
      <n v="123716" in="0">
        <tpls c="4">
          <tpl fld="0" item="349"/>
          <tpl hier="3" item="0"/>
          <tpl fld="2" item="1"/>
          <tpl fld="1" item="0"/>
        </tpls>
      </n>
      <n v="6750" in="0">
        <tpls c="4">
          <tpl fld="0" item="349"/>
          <tpl hier="3" item="0"/>
          <tpl fld="2" item="1"/>
          <tpl fld="1" item="1"/>
        </tpls>
      </n>
      <n v="202029" in="0">
        <tpls c="4">
          <tpl fld="0" item="350"/>
          <tpl hier="3" item="0"/>
          <tpl fld="2" item="1"/>
          <tpl fld="1" item="0"/>
        </tpls>
      </n>
      <n v="9000" in="0">
        <tpls c="4">
          <tpl fld="0" item="350"/>
          <tpl hier="3" item="0"/>
          <tpl fld="2" item="1"/>
          <tpl fld="1" item="1"/>
        </tpls>
      </n>
      <n v="122155" in="0">
        <tpls c="4">
          <tpl fld="0" item="351"/>
          <tpl hier="3" item="0"/>
          <tpl fld="2" item="1"/>
          <tpl fld="1" item="0"/>
        </tpls>
      </n>
      <n v="9000" in="0">
        <tpls c="4">
          <tpl fld="0" item="351"/>
          <tpl hier="3" item="0"/>
          <tpl fld="2" item="1"/>
          <tpl fld="1" item="1"/>
        </tpls>
      </n>
      <n v="96522" in="0">
        <tpls c="4">
          <tpl fld="0" item="352"/>
          <tpl hier="3" item="0"/>
          <tpl fld="2" item="0"/>
          <tpl fld="1" item="0"/>
        </tpls>
      </n>
      <n v="4200" in="0">
        <tpls c="4">
          <tpl fld="0" item="352"/>
          <tpl hier="3" item="0"/>
          <tpl fld="2" item="0"/>
          <tpl fld="1" item="1"/>
        </tpls>
      </n>
      <n v="132810" in="0">
        <tpls c="4">
          <tpl fld="0" item="353"/>
          <tpl hier="3" item="0"/>
          <tpl fld="2" item="1"/>
          <tpl fld="1" item="0"/>
        </tpls>
      </n>
      <n v="6750" in="0">
        <tpls c="4">
          <tpl fld="0" item="353"/>
          <tpl hier="3" item="0"/>
          <tpl fld="2" item="1"/>
          <tpl fld="1" item="1"/>
        </tpls>
      </n>
      <n v="105579" in="0">
        <tpls c="4">
          <tpl fld="0" item="354"/>
          <tpl hier="3" item="0"/>
          <tpl fld="2" item="0"/>
          <tpl fld="1" item="0"/>
        </tpls>
      </n>
      <n v="4200" in="0">
        <tpls c="4">
          <tpl fld="0" item="354"/>
          <tpl hier="3" item="0"/>
          <tpl fld="2" item="0"/>
          <tpl fld="1" item="1"/>
        </tpls>
      </n>
      <n v="117736" in="0">
        <tpls c="4">
          <tpl fld="0" item="355"/>
          <tpl hier="3" item="0"/>
          <tpl fld="2" item="0"/>
          <tpl fld="1" item="0"/>
        </tpls>
      </n>
      <n v="4200" in="0">
        <tpls c="4">
          <tpl fld="0" item="355"/>
          <tpl hier="3" item="0"/>
          <tpl fld="2" item="0"/>
          <tpl fld="1" item="1"/>
        </tpls>
      </n>
      <n v="202527" in="0">
        <tpls c="4">
          <tpl fld="0" item="356"/>
          <tpl hier="3" item="0"/>
          <tpl fld="2" item="1"/>
          <tpl fld="1" item="0"/>
        </tpls>
      </n>
      <n v="6750" in="0">
        <tpls c="4">
          <tpl fld="0" item="356"/>
          <tpl hier="3" item="0"/>
          <tpl fld="2" item="1"/>
          <tpl fld="1" item="1"/>
        </tpls>
      </n>
      <n v="96263" in="0">
        <tpls c="4">
          <tpl fld="0" item="357"/>
          <tpl hier="3" item="0"/>
          <tpl fld="2" item="0"/>
          <tpl fld="1" item="0"/>
        </tpls>
      </n>
      <n v="4200" in="0">
        <tpls c="4">
          <tpl fld="0" item="357"/>
          <tpl hier="3" item="0"/>
          <tpl fld="2" item="0"/>
          <tpl fld="1" item="1"/>
        </tpls>
      </n>
      <n v="211345" in="0">
        <tpls c="4">
          <tpl fld="0" item="358"/>
          <tpl hier="3" item="0"/>
          <tpl fld="2" item="1"/>
          <tpl fld="1" item="0"/>
        </tpls>
      </n>
      <n v="9000" in="0">
        <tpls c="4">
          <tpl fld="0" item="358"/>
          <tpl hier="3" item="0"/>
          <tpl fld="2" item="1"/>
          <tpl fld="1" item="1"/>
        </tpls>
      </n>
      <n v="189634" in="0">
        <tpls c="4">
          <tpl fld="0" item="359"/>
          <tpl hier="3" item="0"/>
          <tpl fld="2" item="1"/>
          <tpl fld="1" item="0"/>
        </tpls>
      </n>
      <n v="9000" in="0">
        <tpls c="4">
          <tpl fld="0" item="359"/>
          <tpl hier="3" item="0"/>
          <tpl fld="2" item="1"/>
          <tpl fld="1" item="1"/>
        </tpls>
      </n>
      <n v="74026" in="0">
        <tpls c="4">
          <tpl fld="0" item="360"/>
          <tpl hier="3" item="0"/>
          <tpl fld="2" item="0"/>
          <tpl fld="1" item="0"/>
        </tpls>
      </n>
      <n v="4200" in="0">
        <tpls c="4">
          <tpl fld="0" item="360"/>
          <tpl hier="3" item="0"/>
          <tpl fld="2" item="0"/>
          <tpl fld="1" item="1"/>
        </tpls>
      </n>
      <n v="56204" in="0">
        <tpls c="4">
          <tpl fld="0" item="361"/>
          <tpl hier="3" item="0"/>
          <tpl fld="2" item="2"/>
          <tpl fld="1" item="0"/>
        </tpls>
      </n>
      <n v="1500" in="0">
        <tpls c="4">
          <tpl fld="0" item="361"/>
          <tpl hier="3" item="0"/>
          <tpl fld="2" item="2"/>
          <tpl fld="1" item="1"/>
        </tpls>
      </n>
      <n v="61586" in="0">
        <tpls c="4">
          <tpl fld="0" item="362"/>
          <tpl hier="3" item="0"/>
          <tpl fld="2" item="0"/>
          <tpl fld="1" item="0"/>
        </tpls>
      </n>
      <n v="4200" in="0">
        <tpls c="4">
          <tpl fld="0" item="362"/>
          <tpl hier="3" item="0"/>
          <tpl fld="2" item="0"/>
          <tpl fld="1" item="1"/>
        </tpls>
      </n>
      <n v="43431" in="0">
        <tpls c="4">
          <tpl fld="0" item="363"/>
          <tpl hier="3" item="0"/>
          <tpl fld="2" item="2"/>
          <tpl fld="1" item="0"/>
        </tpls>
      </n>
      <n v="1500" in="0">
        <tpls c="4">
          <tpl fld="0" item="363"/>
          <tpl hier="3" item="0"/>
          <tpl fld="2" item="2"/>
          <tpl fld="1" item="1"/>
        </tpls>
      </n>
      <n v="60577" in="0">
        <tpls c="4">
          <tpl fld="0" item="364"/>
          <tpl hier="3" item="0"/>
          <tpl fld="2" item="0"/>
          <tpl fld="1" item="0"/>
        </tpls>
      </n>
      <n v="2800" in="0">
        <tpls c="4">
          <tpl fld="0" item="364"/>
          <tpl hier="3" item="0"/>
          <tpl fld="2" item="0"/>
          <tpl fld="1" item="1"/>
        </tpls>
      </n>
      <n v="139527" in="0">
        <tpls c="4">
          <tpl fld="0" item="365"/>
          <tpl hier="3" item="0"/>
          <tpl fld="2" item="1"/>
          <tpl fld="1" item="0"/>
        </tpls>
      </n>
      <n v="6750" in="0">
        <tpls c="4">
          <tpl fld="0" item="365"/>
          <tpl hier="3" item="0"/>
          <tpl fld="2" item="1"/>
          <tpl fld="1" item="1"/>
        </tpls>
      </n>
      <n v="56547" in="0">
        <tpls c="4">
          <tpl fld="0" item="366"/>
          <tpl hier="3" item="0"/>
          <tpl fld="2" item="2"/>
          <tpl fld="1" item="0"/>
        </tpls>
      </n>
      <n v="1500" in="0">
        <tpls c="4">
          <tpl fld="0" item="366"/>
          <tpl hier="3" item="0"/>
          <tpl fld="2" item="2"/>
          <tpl fld="1" item="1"/>
        </tpls>
      </n>
      <n v="88075" in="0">
        <tpls c="4">
          <tpl fld="0" item="367"/>
          <tpl hier="3" item="0"/>
          <tpl fld="2" item="0"/>
          <tpl fld="1" item="0"/>
        </tpls>
      </n>
      <n v="2800" in="0">
        <tpls c="4">
          <tpl fld="0" item="367"/>
          <tpl hier="3" item="0"/>
          <tpl fld="2" item="0"/>
          <tpl fld="1" item="1"/>
        </tpls>
      </n>
      <n v="172719" in="0">
        <tpls c="4">
          <tpl fld="0" item="368"/>
          <tpl hier="3" item="0"/>
          <tpl fld="2" item="1"/>
          <tpl fld="1" item="0"/>
        </tpls>
      </n>
      <n v="6750" in="0">
        <tpls c="4">
          <tpl fld="0" item="368"/>
          <tpl hier="3" item="0"/>
          <tpl fld="2" item="1"/>
          <tpl fld="1" item="1"/>
        </tpls>
      </n>
      <n v="45178" in="0">
        <tpls c="4">
          <tpl fld="0" item="369"/>
          <tpl hier="3" item="0"/>
          <tpl fld="2" item="2"/>
          <tpl fld="1" item="0"/>
        </tpls>
      </n>
      <n v="1500" in="0">
        <tpls c="4">
          <tpl fld="0" item="369"/>
          <tpl hier="3" item="0"/>
          <tpl fld="2" item="2"/>
          <tpl fld="1" item="1"/>
        </tpls>
      </n>
      <n v="165483" in="0">
        <tpls c="4">
          <tpl fld="0" item="370"/>
          <tpl hier="3" item="0"/>
          <tpl fld="2" item="1"/>
          <tpl fld="1" item="0"/>
        </tpls>
      </n>
      <n v="9000" in="0">
        <tpls c="4">
          <tpl fld="0" item="370"/>
          <tpl hier="3" item="0"/>
          <tpl fld="2" item="1"/>
          <tpl fld="1" item="1"/>
        </tpls>
      </n>
      <n v="83721" in="0">
        <tpls c="4">
          <tpl fld="0" item="371"/>
          <tpl hier="3" item="0"/>
          <tpl fld="2" item="0"/>
          <tpl fld="1" item="0"/>
        </tpls>
      </n>
      <n v="4200" in="0">
        <tpls c="4">
          <tpl fld="0" item="371"/>
          <tpl hier="3" item="0"/>
          <tpl fld="2" item="0"/>
          <tpl fld="1" item="1"/>
        </tpls>
      </n>
      <n v="64202" in="0">
        <tpls c="4">
          <tpl fld="0" item="372"/>
          <tpl hier="3" item="0"/>
          <tpl fld="2" item="0"/>
          <tpl fld="1" item="0"/>
        </tpls>
      </n>
      <n v="2800" in="0">
        <tpls c="4">
          <tpl fld="0" item="372"/>
          <tpl hier="3" item="0"/>
          <tpl fld="2" item="0"/>
          <tpl fld="1" item="1"/>
        </tpls>
      </n>
      <n v="141946" in="0">
        <tpls c="4">
          <tpl fld="0" item="373"/>
          <tpl hier="3" item="0"/>
          <tpl fld="2" item="1"/>
          <tpl fld="1" item="0"/>
        </tpls>
      </n>
      <n v="9000" in="0">
        <tpls c="4">
          <tpl fld="0" item="373"/>
          <tpl hier="3" item="0"/>
          <tpl fld="2" item="1"/>
          <tpl fld="1" item="1"/>
        </tpls>
      </n>
      <n v="130477" in="0">
        <tpls c="4">
          <tpl fld="0" item="374"/>
          <tpl hier="3" item="0"/>
          <tpl fld="2" item="1"/>
          <tpl fld="1" item="0"/>
        </tpls>
      </n>
      <n v="6750" in="0">
        <tpls c="4">
          <tpl fld="0" item="374"/>
          <tpl hier="3" item="0"/>
          <tpl fld="2" item="1"/>
          <tpl fld="1" item="1"/>
        </tpls>
      </n>
      <n v="181317" in="0">
        <tpls c="4">
          <tpl fld="0" item="375"/>
          <tpl hier="3" item="0"/>
          <tpl fld="2" item="1"/>
          <tpl fld="1" item="0"/>
        </tpls>
      </n>
      <n v="9000" in="0">
        <tpls c="4">
          <tpl fld="0" item="375"/>
          <tpl hier="3" item="0"/>
          <tpl fld="2" item="1"/>
          <tpl fld="1" item="1"/>
        </tpls>
      </n>
      <n v="149006" in="0">
        <tpls c="4">
          <tpl fld="0" item="376"/>
          <tpl hier="3" item="0"/>
          <tpl fld="2" item="1"/>
          <tpl fld="1" item="0"/>
        </tpls>
      </n>
      <n v="9000" in="0">
        <tpls c="4">
          <tpl fld="0" item="376"/>
          <tpl hier="3" item="0"/>
          <tpl fld="2" item="1"/>
          <tpl fld="1" item="1"/>
        </tpls>
      </n>
      <n v="163017" in="0">
        <tpls c="4">
          <tpl fld="0" item="377"/>
          <tpl hier="3" item="0"/>
          <tpl fld="2" item="1"/>
          <tpl fld="1" item="0"/>
        </tpls>
      </n>
      <n v="6750" in="0">
        <tpls c="4">
          <tpl fld="0" item="377"/>
          <tpl hier="3" item="0"/>
          <tpl fld="2" item="1"/>
          <tpl fld="1" item="1"/>
        </tpls>
      </n>
      <n v="83742" in="0">
        <tpls c="4">
          <tpl fld="0" item="378"/>
          <tpl hier="3" item="0"/>
          <tpl fld="2" item="0"/>
          <tpl fld="1" item="0"/>
        </tpls>
      </n>
      <n v="2800" in="0">
        <tpls c="4">
          <tpl fld="0" item="378"/>
          <tpl hier="3" item="0"/>
          <tpl fld="2" item="0"/>
          <tpl fld="1" item="1"/>
        </tpls>
      </n>
      <n v="71912" in="0">
        <tpls c="4">
          <tpl fld="0" item="379"/>
          <tpl hier="3" item="0"/>
          <tpl fld="2" item="0"/>
          <tpl fld="1" item="0"/>
        </tpls>
      </n>
      <n v="2800" in="0">
        <tpls c="4">
          <tpl fld="0" item="379"/>
          <tpl hier="3" item="0"/>
          <tpl fld="2" item="0"/>
          <tpl fld="1" item="1"/>
        </tpls>
      </n>
      <n v="152013" in="0">
        <tpls c="4">
          <tpl fld="0" item="380"/>
          <tpl hier="3" item="0"/>
          <tpl fld="2" item="1"/>
          <tpl fld="1" item="0"/>
        </tpls>
      </n>
      <n v="6750" in="0">
        <tpls c="4">
          <tpl fld="0" item="380"/>
          <tpl hier="3" item="0"/>
          <tpl fld="2" item="1"/>
          <tpl fld="1" item="1"/>
        </tpls>
      </n>
      <n v="163762" in="0">
        <tpls c="4">
          <tpl fld="0" item="381"/>
          <tpl hier="3" item="0"/>
          <tpl fld="2" item="1"/>
          <tpl fld="1" item="0"/>
        </tpls>
      </n>
      <n v="6750" in="0">
        <tpls c="4">
          <tpl fld="0" item="381"/>
          <tpl hier="3" item="0"/>
          <tpl fld="2" item="1"/>
          <tpl fld="1" item="1"/>
        </tpls>
      </n>
      <n v="230880" in="0">
        <tpls c="4">
          <tpl fld="0" item="382"/>
          <tpl hier="3" item="0"/>
          <tpl fld="2" item="1"/>
          <tpl fld="1" item="0"/>
        </tpls>
      </n>
      <n v="6750" in="0">
        <tpls c="4">
          <tpl fld="0" item="382"/>
          <tpl hier="3" item="0"/>
          <tpl fld="2" item="1"/>
          <tpl fld="1" item="1"/>
        </tpls>
      </n>
      <n v="99619" in="0">
        <tpls c="4">
          <tpl fld="0" item="383"/>
          <tpl hier="3" item="0"/>
          <tpl fld="2" item="0"/>
          <tpl fld="1" item="0"/>
        </tpls>
      </n>
      <n v="4200" in="0">
        <tpls c="4">
          <tpl fld="0" item="383"/>
          <tpl hier="3" item="0"/>
          <tpl fld="2" item="0"/>
          <tpl fld="1" item="1"/>
        </tpls>
      </n>
      <n v="94509" in="0">
        <tpls c="4">
          <tpl fld="0" item="384"/>
          <tpl hier="3" item="0"/>
          <tpl fld="2" item="0"/>
          <tpl fld="1" item="0"/>
        </tpls>
      </n>
      <n v="2800" in="0">
        <tpls c="4">
          <tpl fld="0" item="384"/>
          <tpl hier="3" item="0"/>
          <tpl fld="2" item="0"/>
          <tpl fld="1" item="1"/>
        </tpls>
      </n>
      <n v="157220" in="0">
        <tpls c="4">
          <tpl fld="0" item="385"/>
          <tpl hier="3" item="0"/>
          <tpl fld="2" item="1"/>
          <tpl fld="1" item="0"/>
        </tpls>
      </n>
      <n v="9000" in="0">
        <tpls c="4">
          <tpl fld="0" item="385"/>
          <tpl hier="3" item="0"/>
          <tpl fld="2" item="1"/>
          <tpl fld="1" item="1"/>
        </tpls>
      </n>
      <n v="90691" in="0">
        <tpls c="4">
          <tpl fld="0" item="386"/>
          <tpl hier="3" item="0"/>
          <tpl fld="2" item="0"/>
          <tpl fld="1" item="0"/>
        </tpls>
      </n>
      <n v="4200" in="0">
        <tpls c="4">
          <tpl fld="0" item="386"/>
          <tpl hier="3" item="0"/>
          <tpl fld="2" item="0"/>
          <tpl fld="1" item="1"/>
        </tpls>
      </n>
      <n v="198368" in="0">
        <tpls c="4">
          <tpl fld="0" item="387"/>
          <tpl hier="3" item="0"/>
          <tpl fld="2" item="1"/>
          <tpl fld="1" item="0"/>
        </tpls>
      </n>
      <n v="6750" in="0">
        <tpls c="4">
          <tpl fld="0" item="387"/>
          <tpl hier="3" item="0"/>
          <tpl fld="2" item="1"/>
          <tpl fld="1" item="1"/>
        </tpls>
      </n>
      <n v="176168" in="0">
        <tpls c="4">
          <tpl fld="0" item="388"/>
          <tpl hier="3" item="0"/>
          <tpl fld="2" item="1"/>
          <tpl fld="1" item="0"/>
        </tpls>
      </n>
      <n v="6750" in="0">
        <tpls c="4">
          <tpl fld="0" item="388"/>
          <tpl hier="3" item="0"/>
          <tpl fld="2" item="1"/>
          <tpl fld="1" item="1"/>
        </tpls>
      </n>
      <n v="101730" in="0">
        <tpls c="4">
          <tpl fld="0" item="389"/>
          <tpl hier="3" item="0"/>
          <tpl fld="2" item="0"/>
          <tpl fld="1" item="0"/>
        </tpls>
      </n>
      <n v="2800" in="0">
        <tpls c="4">
          <tpl fld="0" item="389"/>
          <tpl hier="3" item="0"/>
          <tpl fld="2" item="0"/>
          <tpl fld="1" item="1"/>
        </tpls>
      </n>
      <n v="152063" in="0">
        <tpls c="4">
          <tpl fld="0" item="390"/>
          <tpl hier="3" item="0"/>
          <tpl fld="2" item="1"/>
          <tpl fld="1" item="0"/>
        </tpls>
      </n>
      <n v="6750" in="0">
        <tpls c="4">
          <tpl fld="0" item="390"/>
          <tpl hier="3" item="0"/>
          <tpl fld="2" item="1"/>
          <tpl fld="1" item="1"/>
        </tpls>
      </n>
      <n v="152788" in="0">
        <tpls c="4">
          <tpl fld="0" item="391"/>
          <tpl hier="3" item="0"/>
          <tpl fld="2" item="1"/>
          <tpl fld="1" item="0"/>
        </tpls>
      </n>
      <n v="9000" in="0">
        <tpls c="4">
          <tpl fld="0" item="391"/>
          <tpl hier="3" item="0"/>
          <tpl fld="2" item="1"/>
          <tpl fld="1" item="1"/>
        </tpls>
      </n>
      <n v="61951" in="0">
        <tpls c="4">
          <tpl fld="0" item="392"/>
          <tpl hier="3" item="0"/>
          <tpl fld="2" item="0"/>
          <tpl fld="1" item="0"/>
        </tpls>
      </n>
      <n v="2800" in="0">
        <tpls c="4">
          <tpl fld="0" item="392"/>
          <tpl hier="3" item="0"/>
          <tpl fld="2" item="0"/>
          <tpl fld="1" item="1"/>
        </tpls>
      </n>
      <n v="188748" in="0">
        <tpls c="4">
          <tpl fld="0" item="393"/>
          <tpl hier="3" item="0"/>
          <tpl fld="2" item="1"/>
          <tpl fld="1" item="0"/>
        </tpls>
      </n>
      <n v="6750" in="0">
        <tpls c="4">
          <tpl fld="0" item="393"/>
          <tpl hier="3" item="0"/>
          <tpl fld="2" item="1"/>
          <tpl fld="1" item="1"/>
        </tpls>
      </n>
      <n v="111986" in="0">
        <tpls c="4">
          <tpl fld="0" item="394"/>
          <tpl hier="3" item="0"/>
          <tpl fld="2" item="0"/>
          <tpl fld="1" item="0"/>
        </tpls>
      </n>
      <n v="4200" in="0">
        <tpls c="4">
          <tpl fld="0" item="394"/>
          <tpl hier="3" item="0"/>
          <tpl fld="2" item="0"/>
          <tpl fld="1" item="1"/>
        </tpls>
      </n>
      <n v="168260" in="0">
        <tpls c="4">
          <tpl fld="0" item="395"/>
          <tpl hier="3" item="0"/>
          <tpl fld="2" item="1"/>
          <tpl fld="1" item="0"/>
        </tpls>
      </n>
      <n v="9000" in="0">
        <tpls c="4">
          <tpl fld="0" item="395"/>
          <tpl hier="3" item="0"/>
          <tpl fld="2" item="1"/>
          <tpl fld="1" item="1"/>
        </tpls>
      </n>
      <n v="88203" in="0">
        <tpls c="4">
          <tpl fld="0" item="396"/>
          <tpl hier="3" item="0"/>
          <tpl fld="2" item="0"/>
          <tpl fld="1" item="0"/>
        </tpls>
      </n>
      <n v="2800" in="0">
        <tpls c="4">
          <tpl fld="0" item="396"/>
          <tpl hier="3" item="0"/>
          <tpl fld="2" item="0"/>
          <tpl fld="1" item="1"/>
        </tpls>
      </n>
      <n v="186577" in="0">
        <tpls c="4">
          <tpl fld="0" item="397"/>
          <tpl hier="3" item="0"/>
          <tpl fld="2" item="1"/>
          <tpl fld="1" item="0"/>
        </tpls>
      </n>
      <n v="9000" in="0">
        <tpls c="4">
          <tpl fld="0" item="397"/>
          <tpl hier="3" item="0"/>
          <tpl fld="2" item="1"/>
          <tpl fld="1" item="1"/>
        </tpls>
      </n>
      <n v="96651" in="0">
        <tpls c="4">
          <tpl fld="0" item="398"/>
          <tpl hier="3" item="0"/>
          <tpl fld="2" item="0"/>
          <tpl fld="1" item="0"/>
        </tpls>
      </n>
      <n v="2800" in="0">
        <tpls c="4">
          <tpl fld="0" item="398"/>
          <tpl hier="3" item="0"/>
          <tpl fld="2" item="0"/>
          <tpl fld="1" item="1"/>
        </tpls>
      </n>
      <n v="40358" in="0">
        <tpls c="4">
          <tpl fld="0" item="399"/>
          <tpl hier="3" item="0"/>
          <tpl fld="2" item="2"/>
          <tpl fld="1" item="0"/>
        </tpls>
      </n>
      <n v="1500" in="0">
        <tpls c="4">
          <tpl fld="0" item="399"/>
          <tpl hier="3" item="0"/>
          <tpl fld="2" item="2"/>
          <tpl fld="1" item="1"/>
        </tpls>
      </n>
      <n v="189644" in="0">
        <tpls c="4">
          <tpl fld="0" item="400"/>
          <tpl hier="3" item="0"/>
          <tpl fld="2" item="1"/>
          <tpl fld="1" item="0"/>
        </tpls>
      </n>
      <n v="9000" in="0">
        <tpls c="4">
          <tpl fld="0" item="400"/>
          <tpl hier="3" item="0"/>
          <tpl fld="2" item="1"/>
          <tpl fld="1" item="1"/>
        </tpls>
      </n>
      <n v="60062" in="0">
        <tpls c="4">
          <tpl fld="0" item="401"/>
          <tpl hier="3" item="0"/>
          <tpl fld="2" item="0"/>
          <tpl fld="1" item="0"/>
        </tpls>
      </n>
      <n v="2800" in="0">
        <tpls c="4">
          <tpl fld="0" item="401"/>
          <tpl hier="3" item="0"/>
          <tpl fld="2" item="0"/>
          <tpl fld="1" item="1"/>
        </tpls>
      </n>
      <n v="88116" in="0">
        <tpls c="4">
          <tpl fld="0" item="402"/>
          <tpl hier="3" item="0"/>
          <tpl fld="2" item="0"/>
          <tpl fld="1" item="0"/>
        </tpls>
      </n>
      <n v="4200" in="0">
        <tpls c="4">
          <tpl fld="0" item="402"/>
          <tpl hier="3" item="0"/>
          <tpl fld="2" item="0"/>
          <tpl fld="1" item="1"/>
        </tpls>
      </n>
      <n v="206152" in="0">
        <tpls c="4">
          <tpl fld="0" item="403"/>
          <tpl hier="3" item="0"/>
          <tpl fld="2" item="1"/>
          <tpl fld="1" item="0"/>
        </tpls>
      </n>
      <n v="6750" in="0">
        <tpls c="4">
          <tpl fld="0" item="403"/>
          <tpl hier="3" item="0"/>
          <tpl fld="2" item="1"/>
          <tpl fld="1" item="1"/>
        </tpls>
      </n>
      <n v="206392" in="0">
        <tpls c="4">
          <tpl fld="0" item="404"/>
          <tpl hier="3" item="0"/>
          <tpl fld="2" item="1"/>
          <tpl fld="1" item="0"/>
        </tpls>
      </n>
      <n v="9000" in="0">
        <tpls c="4">
          <tpl fld="0" item="404"/>
          <tpl hier="3" item="0"/>
          <tpl fld="2" item="1"/>
          <tpl fld="1" item="1"/>
        </tpls>
      </n>
      <n v="121849" in="0">
        <tpls c="4">
          <tpl fld="0" item="405"/>
          <tpl hier="3" item="0"/>
          <tpl fld="2" item="1"/>
          <tpl fld="1" item="0"/>
        </tpls>
      </n>
      <n v="6750" in="0">
        <tpls c="4">
          <tpl fld="0" item="405"/>
          <tpl hier="3" item="0"/>
          <tpl fld="2" item="1"/>
          <tpl fld="1" item="1"/>
        </tpls>
      </n>
      <n v="130944" in="0">
        <tpls c="4">
          <tpl fld="0" item="406"/>
          <tpl hier="3" item="0"/>
          <tpl fld="2" item="1"/>
          <tpl fld="1" item="0"/>
        </tpls>
      </n>
      <n v="6750" in="0">
        <tpls c="4">
          <tpl fld="0" item="406"/>
          <tpl hier="3" item="0"/>
          <tpl fld="2" item="1"/>
          <tpl fld="1" item="1"/>
        </tpls>
      </n>
      <n v="104278" in="0">
        <tpls c="4">
          <tpl fld="0" item="407"/>
          <tpl hier="3" item="0"/>
          <tpl fld="2" item="0"/>
          <tpl fld="1" item="0"/>
        </tpls>
      </n>
      <n v="2800" in="0">
        <tpls c="4">
          <tpl fld="0" item="407"/>
          <tpl hier="3" item="0"/>
          <tpl fld="2" item="0"/>
          <tpl fld="1" item="1"/>
        </tpls>
      </n>
      <n v="85041" in="0">
        <tpls c="4">
          <tpl fld="0" item="408"/>
          <tpl hier="3" item="0"/>
          <tpl fld="2" item="0"/>
          <tpl fld="1" item="0"/>
        </tpls>
      </n>
      <n v="4200" in="0">
        <tpls c="4">
          <tpl fld="0" item="408"/>
          <tpl hier="3" item="0"/>
          <tpl fld="2" item="0"/>
          <tpl fld="1" item="1"/>
        </tpls>
      </n>
      <n v="89231" in="0">
        <tpls c="4">
          <tpl fld="0" item="409"/>
          <tpl hier="3" item="0"/>
          <tpl fld="2" item="0"/>
          <tpl fld="1" item="0"/>
        </tpls>
      </n>
      <n v="4200" in="0">
        <tpls c="4">
          <tpl fld="0" item="409"/>
          <tpl hier="3" item="0"/>
          <tpl fld="2" item="0"/>
          <tpl fld="1" item="1"/>
        </tpls>
      </n>
      <n v="137714" in="0">
        <tpls c="4">
          <tpl fld="0" item="410"/>
          <tpl hier="3" item="0"/>
          <tpl fld="2" item="1"/>
          <tpl fld="1" item="0"/>
        </tpls>
      </n>
      <n v="6750" in="0">
        <tpls c="4">
          <tpl fld="0" item="410"/>
          <tpl hier="3" item="0"/>
          <tpl fld="2" item="1"/>
          <tpl fld="1" item="1"/>
        </tpls>
      </n>
      <n v="152359" in="0">
        <tpls c="4">
          <tpl fld="0" item="411"/>
          <tpl hier="3" item="0"/>
          <tpl fld="2" item="1"/>
          <tpl fld="1" item="0"/>
        </tpls>
      </n>
      <n v="6750" in="0">
        <tpls c="4">
          <tpl fld="0" item="411"/>
          <tpl hier="3" item="0"/>
          <tpl fld="2" item="1"/>
          <tpl fld="1" item="1"/>
        </tpls>
      </n>
      <n v="160422" in="0">
        <tpls c="4">
          <tpl fld="0" item="412"/>
          <tpl hier="3" item="0"/>
          <tpl fld="2" item="1"/>
          <tpl fld="1" item="0"/>
        </tpls>
      </n>
      <n v="9000" in="0">
        <tpls c="4">
          <tpl fld="0" item="412"/>
          <tpl hier="3" item="0"/>
          <tpl fld="2" item="1"/>
          <tpl fld="1" item="1"/>
        </tpls>
      </n>
      <n v="160001" in="0">
        <tpls c="4">
          <tpl fld="0" item="413"/>
          <tpl hier="3" item="0"/>
          <tpl fld="2" item="1"/>
          <tpl fld="1" item="0"/>
        </tpls>
      </n>
      <n v="9000" in="0">
        <tpls c="4">
          <tpl fld="0" item="413"/>
          <tpl hier="3" item="0"/>
          <tpl fld="2" item="1"/>
          <tpl fld="1" item="1"/>
        </tpls>
      </n>
      <n v="60048" in="0">
        <tpls c="4">
          <tpl fld="0" item="414"/>
          <tpl hier="3" item="0"/>
          <tpl fld="2" item="0"/>
          <tpl fld="1" item="0"/>
        </tpls>
      </n>
      <n v="2800" in="0">
        <tpls c="4">
          <tpl fld="0" item="414"/>
          <tpl hier="3" item="0"/>
          <tpl fld="2" item="0"/>
          <tpl fld="1" item="1"/>
        </tpls>
      </n>
      <n v="110483" in="0">
        <tpls c="4">
          <tpl fld="0" item="415"/>
          <tpl hier="3" item="0"/>
          <tpl fld="2" item="0"/>
          <tpl fld="1" item="0"/>
        </tpls>
      </n>
      <n v="2800" in="0">
        <tpls c="4">
          <tpl fld="0" item="415"/>
          <tpl hier="3" item="0"/>
          <tpl fld="2" item="0"/>
          <tpl fld="1" item="1"/>
        </tpls>
      </n>
      <n v="53871" in="0">
        <tpls c="4">
          <tpl fld="0" item="416"/>
          <tpl hier="3" item="0"/>
          <tpl fld="2" item="2"/>
          <tpl fld="1" item="0"/>
        </tpls>
      </n>
      <n v="1500" in="0">
        <tpls c="4">
          <tpl fld="0" item="416"/>
          <tpl hier="3" item="0"/>
          <tpl fld="2" item="2"/>
          <tpl fld="1" item="1"/>
        </tpls>
      </n>
      <n v="118306" in="0">
        <tpls c="4">
          <tpl fld="0" item="417"/>
          <tpl hier="3" item="0"/>
          <tpl fld="2" item="0"/>
          <tpl fld="1" item="0"/>
        </tpls>
      </n>
      <n v="4200" in="0">
        <tpls c="4">
          <tpl fld="0" item="417"/>
          <tpl hier="3" item="0"/>
          <tpl fld="2" item="0"/>
          <tpl fld="1" item="1"/>
        </tpls>
      </n>
      <n v="103367" in="0">
        <tpls c="4">
          <tpl fld="0" item="418"/>
          <tpl hier="3" item="0"/>
          <tpl fld="2" item="0"/>
          <tpl fld="1" item="0"/>
        </tpls>
      </n>
      <n v="4200" in="0">
        <tpls c="4">
          <tpl fld="0" item="418"/>
          <tpl hier="3" item="0"/>
          <tpl fld="2" item="0"/>
          <tpl fld="1" item="1"/>
        </tpls>
      </n>
      <n v="184247" in="0">
        <tpls c="4">
          <tpl fld="0" item="419"/>
          <tpl hier="3" item="0"/>
          <tpl fld="2" item="1"/>
          <tpl fld="1" item="0"/>
        </tpls>
      </n>
      <n v="9000" in="0">
        <tpls c="4">
          <tpl fld="0" item="419"/>
          <tpl hier="3" item="0"/>
          <tpl fld="2" item="1"/>
          <tpl fld="1" item="1"/>
        </tpls>
      </n>
      <n v="91918" in="0">
        <tpls c="4">
          <tpl fld="0" item="420"/>
          <tpl hier="3" item="0"/>
          <tpl fld="2" item="0"/>
          <tpl fld="1" item="0"/>
        </tpls>
      </n>
      <n v="2800" in="0">
        <tpls c="4">
          <tpl fld="0" item="420"/>
          <tpl hier="3" item="0"/>
          <tpl fld="2" item="0"/>
          <tpl fld="1" item="1"/>
        </tpls>
      </n>
      <n v="64043" in="0">
        <tpls c="4">
          <tpl fld="0" item="421"/>
          <tpl hier="3" item="0"/>
          <tpl fld="2" item="0"/>
          <tpl fld="1" item="0"/>
        </tpls>
      </n>
      <n v="4200" in="0">
        <tpls c="4">
          <tpl fld="0" item="421"/>
          <tpl hier="3" item="0"/>
          <tpl fld="2" item="0"/>
          <tpl fld="1" item="1"/>
        </tpls>
      </n>
      <n v="67624" in="0">
        <tpls c="4">
          <tpl fld="0" item="422"/>
          <tpl hier="3" item="0"/>
          <tpl fld="2" item="0"/>
          <tpl fld="1" item="0"/>
        </tpls>
      </n>
      <n v="2800" in="0">
        <tpls c="4">
          <tpl fld="0" item="422"/>
          <tpl hier="3" item="0"/>
          <tpl fld="2" item="0"/>
          <tpl fld="1" item="1"/>
        </tpls>
      </n>
      <n v="154178" in="0">
        <tpls c="4">
          <tpl fld="0" item="423"/>
          <tpl hier="3" item="0"/>
          <tpl fld="2" item="1"/>
          <tpl fld="1" item="0"/>
        </tpls>
      </n>
      <n v="9000" in="0">
        <tpls c="4">
          <tpl fld="0" item="423"/>
          <tpl hier="3" item="0"/>
          <tpl fld="2" item="1"/>
          <tpl fld="1" item="1"/>
        </tpls>
      </n>
      <n v="128762" in="0">
        <tpls c="4">
          <tpl fld="0" item="424"/>
          <tpl hier="3" item="0"/>
          <tpl fld="2" item="1"/>
          <tpl fld="1" item="0"/>
        </tpls>
      </n>
      <n v="6750" in="0">
        <tpls c="4">
          <tpl fld="0" item="424"/>
          <tpl hier="3" item="0"/>
          <tpl fld="2" item="1"/>
          <tpl fld="1" item="1"/>
        </tpls>
      </n>
      <n v="61640" in="0">
        <tpls c="4">
          <tpl fld="0" item="425"/>
          <tpl hier="3" item="0"/>
          <tpl fld="2" item="0"/>
          <tpl fld="1" item="0"/>
        </tpls>
      </n>
      <n v="4200" in="0">
        <tpls c="4">
          <tpl fld="0" item="425"/>
          <tpl hier="3" item="0"/>
          <tpl fld="2" item="0"/>
          <tpl fld="1" item="1"/>
        </tpls>
      </n>
      <n v="58855" in="0">
        <tpls c="4">
          <tpl fld="0" item="426"/>
          <tpl hier="3" item="0"/>
          <tpl fld="2" item="2"/>
          <tpl fld="1" item="0"/>
        </tpls>
      </n>
      <n v="1500" in="0">
        <tpls c="4">
          <tpl fld="0" item="426"/>
          <tpl hier="3" item="0"/>
          <tpl fld="2" item="2"/>
          <tpl fld="1" item="1"/>
        </tpls>
      </n>
      <n v="142702" in="0">
        <tpls c="4">
          <tpl fld="0" item="427"/>
          <tpl hier="3" item="0"/>
          <tpl fld="2" item="1"/>
          <tpl fld="1" item="0"/>
        </tpls>
      </n>
      <n v="9000" in="0">
        <tpls c="4">
          <tpl fld="0" item="427"/>
          <tpl hier="3" item="0"/>
          <tpl fld="2" item="1"/>
          <tpl fld="1" item="1"/>
        </tpls>
      </n>
      <n v="56839" in="0">
        <tpls c="4">
          <tpl fld="0" item="428"/>
          <tpl hier="3" item="0"/>
          <tpl fld="2" item="2"/>
          <tpl fld="1" item="0"/>
        </tpls>
      </n>
      <n v="1500" in="0">
        <tpls c="4">
          <tpl fld="0" item="428"/>
          <tpl hier="3" item="0"/>
          <tpl fld="2" item="2"/>
          <tpl fld="1" item="1"/>
        </tpls>
      </n>
      <n v="167184" in="0">
        <tpls c="4">
          <tpl fld="0" item="429"/>
          <tpl hier="3" item="0"/>
          <tpl fld="2" item="1"/>
          <tpl fld="1" item="0"/>
        </tpls>
      </n>
      <n v="6750" in="0">
        <tpls c="4">
          <tpl fld="0" item="429"/>
          <tpl hier="3" item="0"/>
          <tpl fld="2" item="1"/>
          <tpl fld="1" item="1"/>
        </tpls>
      </n>
      <n v="143653" in="0">
        <tpls c="4">
          <tpl fld="0" item="430"/>
          <tpl hier="3" item="0"/>
          <tpl fld="2" item="1"/>
          <tpl fld="1" item="0"/>
        </tpls>
      </n>
      <n v="6750" in="0">
        <tpls c="4">
          <tpl fld="0" item="430"/>
          <tpl hier="3" item="0"/>
          <tpl fld="2" item="1"/>
          <tpl fld="1" item="1"/>
        </tpls>
      </n>
      <n v="58378" in="0">
        <tpls c="4">
          <tpl fld="0" item="431"/>
          <tpl hier="3" item="0"/>
          <tpl fld="2" item="2"/>
          <tpl fld="1" item="0"/>
        </tpls>
      </n>
      <n v="1500" in="0">
        <tpls c="4">
          <tpl fld="0" item="431"/>
          <tpl hier="3" item="0"/>
          <tpl fld="2" item="2"/>
          <tpl fld="1" item="1"/>
        </tpls>
      </n>
      <n v="58980" in="0">
        <tpls c="4">
          <tpl fld="0" item="432"/>
          <tpl hier="3" item="0"/>
          <tpl fld="2" item="2"/>
          <tpl fld="1" item="0"/>
        </tpls>
      </n>
      <n v="1500" in="0">
        <tpls c="4">
          <tpl fld="0" item="432"/>
          <tpl hier="3" item="0"/>
          <tpl fld="2" item="2"/>
          <tpl fld="1" item="1"/>
        </tpls>
      </n>
      <n v="227320" in="0">
        <tpls c="4">
          <tpl fld="0" item="433"/>
          <tpl hier="3" item="0"/>
          <tpl fld="2" item="1"/>
          <tpl fld="1" item="0"/>
        </tpls>
      </n>
      <n v="6750" in="0">
        <tpls c="4">
          <tpl fld="0" item="433"/>
          <tpl hier="3" item="0"/>
          <tpl fld="2" item="1"/>
          <tpl fld="1" item="1"/>
        </tpls>
      </n>
      <n v="94788" in="0">
        <tpls c="4">
          <tpl fld="0" item="434"/>
          <tpl hier="3" item="0"/>
          <tpl fld="2" item="0"/>
          <tpl fld="1" item="0"/>
        </tpls>
      </n>
      <n v="4200" in="0">
        <tpls c="4">
          <tpl fld="0" item="434"/>
          <tpl hier="3" item="0"/>
          <tpl fld="2" item="0"/>
          <tpl fld="1" item="1"/>
        </tpls>
      </n>
      <n v="94339" in="0">
        <tpls c="4">
          <tpl fld="0" item="435"/>
          <tpl hier="3" item="0"/>
          <tpl fld="2" item="0"/>
          <tpl fld="1" item="0"/>
        </tpls>
      </n>
      <n v="4200" in="0">
        <tpls c="4">
          <tpl fld="0" item="435"/>
          <tpl hier="3" item="0"/>
          <tpl fld="2" item="0"/>
          <tpl fld="1" item="1"/>
        </tpls>
      </n>
      <n v="165104" in="0">
        <tpls c="4">
          <tpl fld="0" item="436"/>
          <tpl hier="3" item="0"/>
          <tpl fld="2" item="1"/>
          <tpl fld="1" item="0"/>
        </tpls>
      </n>
      <n v="6750" in="0">
        <tpls c="4">
          <tpl fld="0" item="436"/>
          <tpl hier="3" item="0"/>
          <tpl fld="2" item="1"/>
          <tpl fld="1" item="1"/>
        </tpls>
      </n>
      <n v="204934" in="0">
        <tpls c="4">
          <tpl fld="0" item="437"/>
          <tpl hier="3" item="0"/>
          <tpl fld="2" item="1"/>
          <tpl fld="1" item="0"/>
        </tpls>
      </n>
      <n v="9000" in="0">
        <tpls c="4">
          <tpl fld="0" item="437"/>
          <tpl hier="3" item="0"/>
          <tpl fld="2" item="1"/>
          <tpl fld="1" item="1"/>
        </tpls>
      </n>
      <n v="226784" in="0">
        <tpls c="4">
          <tpl fld="0" item="438"/>
          <tpl hier="3" item="0"/>
          <tpl fld="2" item="1"/>
          <tpl fld="1" item="0"/>
        </tpls>
      </n>
      <n v="6750" in="0">
        <tpls c="4">
          <tpl fld="0" item="438"/>
          <tpl hier="3" item="0"/>
          <tpl fld="2" item="1"/>
          <tpl fld="1" item="1"/>
        </tpls>
      </n>
      <n v="152558" in="0">
        <tpls c="4">
          <tpl fld="0" item="439"/>
          <tpl hier="3" item="0"/>
          <tpl fld="2" item="1"/>
          <tpl fld="1" item="0"/>
        </tpls>
      </n>
      <n v="6750" in="0">
        <tpls c="4">
          <tpl fld="0" item="439"/>
          <tpl hier="3" item="0"/>
          <tpl fld="2" item="1"/>
          <tpl fld="1" item="1"/>
        </tpls>
      </n>
      <n v="95035" in="0">
        <tpls c="4">
          <tpl fld="0" item="440"/>
          <tpl hier="3" item="0"/>
          <tpl fld="2" item="0"/>
          <tpl fld="1" item="0"/>
        </tpls>
      </n>
      <n v="4200" in="0">
        <tpls c="4">
          <tpl fld="0" item="440"/>
          <tpl hier="3" item="0"/>
          <tpl fld="2" item="0"/>
          <tpl fld="1" item="1"/>
        </tpls>
      </n>
      <n v="58751" in="0">
        <tpls c="4">
          <tpl fld="0" item="441"/>
          <tpl hier="3" item="0"/>
          <tpl fld="2" item="2"/>
          <tpl fld="1" item="0"/>
        </tpls>
      </n>
      <n v="1500" in="0">
        <tpls c="4">
          <tpl fld="0" item="441"/>
          <tpl hier="3" item="0"/>
          <tpl fld="2" item="2"/>
          <tpl fld="1" item="1"/>
        </tpls>
      </n>
      <n v="157372" in="0">
        <tpls c="4">
          <tpl fld="0" item="442"/>
          <tpl hier="3" item="0"/>
          <tpl fld="2" item="1"/>
          <tpl fld="1" item="0"/>
        </tpls>
      </n>
      <n v="9000" in="0">
        <tpls c="4">
          <tpl fld="0" item="442"/>
          <tpl hier="3" item="0"/>
          <tpl fld="2" item="1"/>
          <tpl fld="1" item="1"/>
        </tpls>
      </n>
      <n v="119610" in="0">
        <tpls c="4">
          <tpl fld="0" item="443"/>
          <tpl hier="3" item="0"/>
          <tpl fld="2" item="0"/>
          <tpl fld="1" item="0"/>
        </tpls>
      </n>
      <n v="2800" in="0">
        <tpls c="4">
          <tpl fld="0" item="443"/>
          <tpl hier="3" item="0"/>
          <tpl fld="2" item="0"/>
          <tpl fld="1" item="1"/>
        </tpls>
      </n>
      <n v="101112" in="0">
        <tpls c="4">
          <tpl fld="0" item="444"/>
          <tpl hier="3" item="0"/>
          <tpl fld="2" item="0"/>
          <tpl fld="1" item="0"/>
        </tpls>
      </n>
      <n v="4200" in="0">
        <tpls c="4">
          <tpl fld="0" item="444"/>
          <tpl hier="3" item="0"/>
          <tpl fld="2" item="0"/>
          <tpl fld="1" item="1"/>
        </tpls>
      </n>
      <n v="189955" in="0">
        <tpls c="4">
          <tpl fld="0" item="445"/>
          <tpl hier="3" item="0"/>
          <tpl fld="2" item="1"/>
          <tpl fld="1" item="0"/>
        </tpls>
      </n>
      <n v="6750" in="0">
        <tpls c="4">
          <tpl fld="0" item="445"/>
          <tpl hier="3" item="0"/>
          <tpl fld="2" item="1"/>
          <tpl fld="1" item="1"/>
        </tpls>
      </n>
      <n v="63179" in="0">
        <tpls c="4">
          <tpl fld="0" item="446"/>
          <tpl hier="3" item="0"/>
          <tpl fld="2" item="0"/>
          <tpl fld="1" item="0"/>
        </tpls>
      </n>
      <n v="4200" in="0">
        <tpls c="4">
          <tpl fld="0" item="446"/>
          <tpl hier="3" item="0"/>
          <tpl fld="2" item="0"/>
          <tpl fld="1" item="1"/>
        </tpls>
      </n>
      <n v="110236" in="0">
        <tpls c="4">
          <tpl fld="0" item="447"/>
          <tpl hier="3" item="0"/>
          <tpl fld="2" item="0"/>
          <tpl fld="1" item="0"/>
        </tpls>
      </n>
      <n v="4200" in="0">
        <tpls c="4">
          <tpl fld="0" item="447"/>
          <tpl hier="3" item="0"/>
          <tpl fld="2" item="0"/>
          <tpl fld="1" item="1"/>
        </tpls>
      </n>
      <n v="40601" in="0">
        <tpls c="4">
          <tpl fld="0" item="448"/>
          <tpl hier="3" item="0"/>
          <tpl fld="2" item="2"/>
          <tpl fld="1" item="0"/>
        </tpls>
      </n>
      <n v="1500" in="0">
        <tpls c="4">
          <tpl fld="0" item="448"/>
          <tpl hier="3" item="0"/>
          <tpl fld="2" item="2"/>
          <tpl fld="1" item="1"/>
        </tpls>
      </n>
      <n v="106973" in="0">
        <tpls c="4">
          <tpl fld="0" item="449"/>
          <tpl hier="3" item="0"/>
          <tpl fld="2" item="0"/>
          <tpl fld="1" item="0"/>
        </tpls>
      </n>
      <n v="2800" in="0">
        <tpls c="4">
          <tpl fld="0" item="449"/>
          <tpl hier="3" item="0"/>
          <tpl fld="2" item="0"/>
          <tpl fld="1" item="1"/>
        </tpls>
      </n>
      <n v="53609" in="0">
        <tpls c="4">
          <tpl fld="0" item="450"/>
          <tpl hier="3" item="0"/>
          <tpl fld="2" item="2"/>
          <tpl fld="1" item="0"/>
        </tpls>
      </n>
      <n v="1500" in="0">
        <tpls c="4">
          <tpl fld="0" item="450"/>
          <tpl hier="3" item="0"/>
          <tpl fld="2" item="2"/>
          <tpl fld="1" item="1"/>
        </tpls>
      </n>
      <n v="64297" in="0">
        <tpls c="4">
          <tpl fld="0" item="451"/>
          <tpl hier="3" item="0"/>
          <tpl fld="2" item="0"/>
          <tpl fld="1" item="0"/>
        </tpls>
      </n>
      <n v="4200" in="0">
        <tpls c="4">
          <tpl fld="0" item="451"/>
          <tpl hier="3" item="0"/>
          <tpl fld="2" item="0"/>
          <tpl fld="1" item="1"/>
        </tpls>
      </n>
      <n v="64110" in="0">
        <tpls c="4">
          <tpl fld="0" item="452"/>
          <tpl hier="3" item="0"/>
          <tpl fld="2" item="0"/>
          <tpl fld="1" item="0"/>
        </tpls>
      </n>
      <n v="2800" in="0">
        <tpls c="4">
          <tpl fld="0" item="452"/>
          <tpl hier="3" item="0"/>
          <tpl fld="2" item="0"/>
          <tpl fld="1" item="1"/>
        </tpls>
      </n>
      <n v="133787" in="0">
        <tpls c="4">
          <tpl fld="0" item="453"/>
          <tpl hier="3" item="0"/>
          <tpl fld="2" item="1"/>
          <tpl fld="1" item="0"/>
        </tpls>
      </n>
      <n v="9000" in="0">
        <tpls c="4">
          <tpl fld="0" item="453"/>
          <tpl hier="3" item="0"/>
          <tpl fld="2" item="1"/>
          <tpl fld="1" item="1"/>
        </tpls>
      </n>
      <n v="151119" in="0">
        <tpls c="4">
          <tpl fld="0" item="454"/>
          <tpl hier="3" item="0"/>
          <tpl fld="2" item="2"/>
          <tpl fld="1" item="0"/>
        </tpls>
      </n>
      <n v="9500" in="0">
        <tpls c="4">
          <tpl fld="0" item="454"/>
          <tpl hier="3" item="0"/>
          <tpl fld="2" item="2"/>
          <tpl fld="1" item="1"/>
        </tpls>
      </n>
      <n v="123349" in="0">
        <tpls c="4">
          <tpl fld="0" item="455"/>
          <tpl hier="3" item="0"/>
          <tpl fld="2" item="1"/>
          <tpl fld="1" item="0"/>
        </tpls>
      </n>
      <n v="9000" in="0">
        <tpls c="4">
          <tpl fld="0" item="455"/>
          <tpl hier="3" item="0"/>
          <tpl fld="2" item="1"/>
          <tpl fld="1" item="1"/>
        </tpls>
      </n>
      <n v="211837" in="0">
        <tpls c="4">
          <tpl fld="0" item="456"/>
          <tpl hier="3" item="0"/>
          <tpl fld="2" item="1"/>
          <tpl fld="1" item="0"/>
        </tpls>
      </n>
      <n v="6750" in="0">
        <tpls c="4">
          <tpl fld="0" item="456"/>
          <tpl hier="3" item="0"/>
          <tpl fld="2" item="1"/>
          <tpl fld="1" item="1"/>
        </tpls>
      </n>
      <n v="94863" in="0">
        <tpls c="4">
          <tpl fld="0" item="457"/>
          <tpl hier="3" item="0"/>
          <tpl fld="2" item="0"/>
          <tpl fld="1" item="0"/>
        </tpls>
      </n>
      <n v="4200" in="0">
        <tpls c="4">
          <tpl fld="0" item="457"/>
          <tpl hier="3" item="0"/>
          <tpl fld="2" item="0"/>
          <tpl fld="1" item="1"/>
        </tpls>
      </n>
      <n v="84168" in="0">
        <tpls c="4">
          <tpl fld="0" item="458"/>
          <tpl hier="3" item="0"/>
          <tpl fld="2" item="0"/>
          <tpl fld="1" item="0"/>
        </tpls>
      </n>
      <n v="2800" in="0">
        <tpls c="4">
          <tpl fld="0" item="458"/>
          <tpl hier="3" item="0"/>
          <tpl fld="2" item="0"/>
          <tpl fld="1" item="1"/>
        </tpls>
      </n>
      <n v="178873" in="0">
        <tpls c="4">
          <tpl fld="0" item="459"/>
          <tpl hier="3" item="0"/>
          <tpl fld="2" item="1"/>
          <tpl fld="1" item="0"/>
        </tpls>
      </n>
      <n v="9000" in="0">
        <tpls c="4">
          <tpl fld="0" item="459"/>
          <tpl hier="3" item="0"/>
          <tpl fld="2" item="1"/>
          <tpl fld="1" item="1"/>
        </tpls>
      </n>
      <n v="77108" in="0">
        <tpls c="4">
          <tpl fld="0" item="460"/>
          <tpl hier="3" item="0"/>
          <tpl fld="2" item="0"/>
          <tpl fld="1" item="0"/>
        </tpls>
      </n>
      <n v="2800" in="0">
        <tpls c="4">
          <tpl fld="0" item="460"/>
          <tpl hier="3" item="0"/>
          <tpl fld="2" item="0"/>
          <tpl fld="1" item="1"/>
        </tpls>
      </n>
      <n v="212371" in="0">
        <tpls c="4">
          <tpl fld="0" item="461"/>
          <tpl hier="3" item="0"/>
          <tpl fld="2" item="1"/>
          <tpl fld="1" item="0"/>
        </tpls>
      </n>
      <n v="6750" in="0">
        <tpls c="4">
          <tpl fld="0" item="461"/>
          <tpl hier="3" item="0"/>
          <tpl fld="2" item="1"/>
          <tpl fld="1" item="1"/>
        </tpls>
      </n>
      <n v="40969" in="0">
        <tpls c="4">
          <tpl fld="0" item="462"/>
          <tpl hier="3" item="0"/>
          <tpl fld="2" item="2"/>
          <tpl fld="1" item="0"/>
        </tpls>
      </n>
      <n v="1500" in="0">
        <tpls c="4">
          <tpl fld="0" item="462"/>
          <tpl hier="3" item="0"/>
          <tpl fld="2" item="2"/>
          <tpl fld="1" item="1"/>
        </tpls>
      </n>
      <n v="215946" in="0">
        <tpls c="4">
          <tpl fld="0" item="463"/>
          <tpl hier="3" item="0"/>
          <tpl fld="2" item="1"/>
          <tpl fld="1" item="0"/>
        </tpls>
      </n>
      <n v="6750" in="0">
        <tpls c="4">
          <tpl fld="0" item="463"/>
          <tpl hier="3" item="0"/>
          <tpl fld="2" item="1"/>
          <tpl fld="1" item="1"/>
        </tpls>
      </n>
      <n v="50670" in="0">
        <tpls c="4">
          <tpl fld="0" item="464"/>
          <tpl hier="3" item="0"/>
          <tpl fld="2" item="2"/>
          <tpl fld="1" item="0"/>
        </tpls>
      </n>
      <n v="1500" in="0">
        <tpls c="4">
          <tpl fld="0" item="464"/>
          <tpl hier="3" item="0"/>
          <tpl fld="2" item="2"/>
          <tpl fld="1" item="1"/>
        </tpls>
      </n>
      <n v="185262" in="0">
        <tpls c="4">
          <tpl fld="0" item="465"/>
          <tpl hier="3" item="0"/>
          <tpl fld="2" item="1"/>
          <tpl fld="1" item="0"/>
        </tpls>
      </n>
      <n v="9000" in="0">
        <tpls c="4">
          <tpl fld="0" item="465"/>
          <tpl hier="3" item="0"/>
          <tpl fld="2" item="1"/>
          <tpl fld="1" item="1"/>
        </tpls>
      </n>
      <n v="115153" in="0">
        <tpls c="4">
          <tpl fld="0" item="466"/>
          <tpl hier="3" item="0"/>
          <tpl fld="2" item="0"/>
          <tpl fld="1" item="0"/>
        </tpls>
      </n>
      <n v="2800" in="0">
        <tpls c="4">
          <tpl fld="0" item="466"/>
          <tpl hier="3" item="0"/>
          <tpl fld="2" item="0"/>
          <tpl fld="1" item="1"/>
        </tpls>
      </n>
      <n v="233542" in="0">
        <tpls c="4">
          <tpl fld="0" item="467"/>
          <tpl hier="3" item="0"/>
          <tpl fld="2" item="1"/>
          <tpl fld="1" item="0"/>
        </tpls>
      </n>
      <n v="6750" in="0">
        <tpls c="4">
          <tpl fld="0" item="467"/>
          <tpl hier="3" item="0"/>
          <tpl fld="2" item="1"/>
          <tpl fld="1" item="1"/>
        </tpls>
      </n>
      <n v="57029" in="0">
        <tpls c="4">
          <tpl fld="0" item="468"/>
          <tpl hier="3" item="0"/>
          <tpl fld="2" item="2"/>
          <tpl fld="1" item="0"/>
        </tpls>
      </n>
      <n v="1500" in="0">
        <tpls c="4">
          <tpl fld="0" item="468"/>
          <tpl hier="3" item="0"/>
          <tpl fld="2" item="2"/>
          <tpl fld="1" item="1"/>
        </tpls>
      </n>
      <n v="118940" in="0">
        <tpls c="4">
          <tpl fld="0" item="469"/>
          <tpl hier="3" item="0"/>
          <tpl fld="2" item="0"/>
          <tpl fld="1" item="0"/>
        </tpls>
      </n>
      <n v="2800" in="0">
        <tpls c="4">
          <tpl fld="0" item="469"/>
          <tpl hier="3" item="0"/>
          <tpl fld="2" item="0"/>
          <tpl fld="1" item="1"/>
        </tpls>
      </n>
      <n v="215621" in="0">
        <tpls c="4">
          <tpl fld="0" item="470"/>
          <tpl hier="3" item="0"/>
          <tpl fld="2" item="1"/>
          <tpl fld="1" item="0"/>
        </tpls>
      </n>
      <n v="9000" in="0">
        <tpls c="4">
          <tpl fld="0" item="470"/>
          <tpl hier="3" item="0"/>
          <tpl fld="2" item="1"/>
          <tpl fld="1" item="1"/>
        </tpls>
      </n>
      <n v="114498" in="0">
        <tpls c="4">
          <tpl fld="0" item="471"/>
          <tpl hier="3" item="0"/>
          <tpl fld="2" item="0"/>
          <tpl fld="1" item="0"/>
        </tpls>
      </n>
      <n v="2800" in="0">
        <tpls c="4">
          <tpl fld="0" item="471"/>
          <tpl hier="3" item="0"/>
          <tpl fld="2" item="0"/>
          <tpl fld="1" item="1"/>
        </tpls>
      </n>
      <n v="130550" in="0">
        <tpls c="4">
          <tpl fld="0" item="472"/>
          <tpl hier="3" item="0"/>
          <tpl fld="2" item="1"/>
          <tpl fld="1" item="0"/>
        </tpls>
      </n>
      <n v="9000" in="0">
        <tpls c="4">
          <tpl fld="0" item="472"/>
          <tpl hier="3" item="0"/>
          <tpl fld="2" item="1"/>
          <tpl fld="1" item="1"/>
        </tpls>
      </n>
      <n v="141770" in="0">
        <tpls c="4">
          <tpl fld="0" item="473"/>
          <tpl hier="3" item="0"/>
          <tpl fld="2" item="1"/>
          <tpl fld="1" item="0"/>
        </tpls>
      </n>
      <n v="9000" in="0">
        <tpls c="4">
          <tpl fld="0" item="473"/>
          <tpl hier="3" item="0"/>
          <tpl fld="2" item="1"/>
          <tpl fld="1" item="1"/>
        </tpls>
      </n>
      <n v="105085" in="0">
        <tpls c="4">
          <tpl fld="0" item="474"/>
          <tpl hier="3" item="0"/>
          <tpl fld="2" item="0"/>
          <tpl fld="1" item="0"/>
        </tpls>
      </n>
      <n v="4200" in="0">
        <tpls c="4">
          <tpl fld="0" item="474"/>
          <tpl hier="3" item="0"/>
          <tpl fld="2" item="0"/>
          <tpl fld="1" item="1"/>
        </tpls>
      </n>
      <n v="130254" in="0">
        <tpls c="4">
          <tpl fld="0" item="475"/>
          <tpl hier="3" item="0"/>
          <tpl fld="2" item="1"/>
          <tpl fld="1" item="0"/>
        </tpls>
      </n>
      <n v="9000" in="0">
        <tpls c="4">
          <tpl fld="0" item="475"/>
          <tpl hier="3" item="0"/>
          <tpl fld="2" item="1"/>
          <tpl fld="1" item="1"/>
        </tpls>
      </n>
      <n v="123493" in="0">
        <tpls c="4">
          <tpl fld="0" item="476"/>
          <tpl hier="3" item="0"/>
          <tpl fld="2" item="1"/>
          <tpl fld="1" item="0"/>
        </tpls>
      </n>
      <n v="9000" in="0">
        <tpls c="4">
          <tpl fld="0" item="476"/>
          <tpl hier="3" item="0"/>
          <tpl fld="2" item="1"/>
          <tpl fld="1" item="1"/>
        </tpls>
      </n>
      <n v="188311" in="0">
        <tpls c="4">
          <tpl fld="0" item="477"/>
          <tpl hier="3" item="0"/>
          <tpl fld="2" item="1"/>
          <tpl fld="1" item="0"/>
        </tpls>
      </n>
      <n v="6750" in="0">
        <tpls c="4">
          <tpl fld="0" item="477"/>
          <tpl hier="3" item="0"/>
          <tpl fld="2" item="1"/>
          <tpl fld="1" item="1"/>
        </tpls>
      </n>
      <n v="51211" in="0">
        <tpls c="4">
          <tpl fld="0" item="478"/>
          <tpl hier="3" item="0"/>
          <tpl fld="2" item="2"/>
          <tpl fld="1" item="0"/>
        </tpls>
      </n>
      <n v="1500" in="0">
        <tpls c="4">
          <tpl fld="0" item="478"/>
          <tpl hier="3" item="0"/>
          <tpl fld="2" item="2"/>
          <tpl fld="1" item="1"/>
        </tpls>
      </n>
      <n v="83618" in="0">
        <tpls c="4">
          <tpl fld="0" item="479"/>
          <tpl hier="3" item="0"/>
          <tpl fld="2" item="0"/>
          <tpl fld="1" item="0"/>
        </tpls>
      </n>
      <n v="2800" in="0">
        <tpls c="4">
          <tpl fld="0" item="479"/>
          <tpl hier="3" item="0"/>
          <tpl fld="2" item="0"/>
          <tpl fld="1" item="1"/>
        </tpls>
      </n>
      <n v="206306" in="0">
        <tpls c="4">
          <tpl fld="0" item="480"/>
          <tpl hier="3" item="0"/>
          <tpl fld="2" item="1"/>
          <tpl fld="1" item="0"/>
        </tpls>
      </n>
      <n v="6750" in="0">
        <tpls c="4">
          <tpl fld="0" item="480"/>
          <tpl hier="3" item="0"/>
          <tpl fld="2" item="1"/>
          <tpl fld="1" item="1"/>
        </tpls>
      </n>
      <n v="185001" in="0">
        <tpls c="4">
          <tpl fld="0" item="481"/>
          <tpl hier="3" item="0"/>
          <tpl fld="2" item="1"/>
          <tpl fld="1" item="0"/>
        </tpls>
      </n>
      <n v="6750" in="0">
        <tpls c="4">
          <tpl fld="0" item="481"/>
          <tpl hier="3" item="0"/>
          <tpl fld="2" item="1"/>
          <tpl fld="1" item="1"/>
        </tpls>
      </n>
      <n v="105233" in="0">
        <tpls c="4">
          <tpl fld="0" item="482"/>
          <tpl hier="3" item="0"/>
          <tpl fld="2" item="0"/>
          <tpl fld="1" item="0"/>
        </tpls>
      </n>
      <n v="2800" in="0">
        <tpls c="4">
          <tpl fld="0" item="482"/>
          <tpl hier="3" item="0"/>
          <tpl fld="2" item="0"/>
          <tpl fld="1" item="1"/>
        </tpls>
      </n>
      <n v="129066" in="0">
        <tpls c="4">
          <tpl fld="0" item="483"/>
          <tpl hier="3" item="0"/>
          <tpl fld="2" item="1"/>
          <tpl fld="1" item="0"/>
        </tpls>
      </n>
      <n v="6750" in="0">
        <tpls c="4">
          <tpl fld="0" item="483"/>
          <tpl hier="3" item="0"/>
          <tpl fld="2" item="1"/>
          <tpl fld="1" item="1"/>
        </tpls>
      </n>
      <n v="83204" in="0">
        <tpls c="4">
          <tpl fld="0" item="484"/>
          <tpl hier="3" item="0"/>
          <tpl fld="2" item="0"/>
          <tpl fld="1" item="0"/>
        </tpls>
      </n>
      <n v="2800" in="0">
        <tpls c="4">
          <tpl fld="0" item="484"/>
          <tpl hier="3" item="0"/>
          <tpl fld="2" item="0"/>
          <tpl fld="1" item="1"/>
        </tpls>
      </n>
      <n v="73155" in="0">
        <tpls c="4">
          <tpl fld="0" item="485"/>
          <tpl hier="3" item="0"/>
          <tpl fld="2" item="0"/>
          <tpl fld="1" item="0"/>
        </tpls>
      </n>
      <n v="4200" in="0">
        <tpls c="4">
          <tpl fld="0" item="485"/>
          <tpl hier="3" item="0"/>
          <tpl fld="2" item="0"/>
          <tpl fld="1" item="1"/>
        </tpls>
      </n>
      <n v="106307" in="0">
        <tpls c="4">
          <tpl fld="0" item="486"/>
          <tpl hier="3" item="0"/>
          <tpl fld="2" item="0"/>
          <tpl fld="1" item="0"/>
        </tpls>
      </n>
      <n v="2800" in="0">
        <tpls c="4">
          <tpl fld="0" item="486"/>
          <tpl hier="3" item="0"/>
          <tpl fld="2" item="0"/>
          <tpl fld="1" item="1"/>
        </tpls>
      </n>
      <n v="92215" in="0">
        <tpls c="4">
          <tpl fld="0" item="487"/>
          <tpl hier="3" item="0"/>
          <tpl fld="2" item="0"/>
          <tpl fld="1" item="0"/>
        </tpls>
      </n>
      <n v="2800" in="0">
        <tpls c="4">
          <tpl fld="0" item="487"/>
          <tpl hier="3" item="0"/>
          <tpl fld="2" item="0"/>
          <tpl fld="1" item="1"/>
        </tpls>
      </n>
      <n v="123393" in="0">
        <tpls c="4">
          <tpl fld="0" item="488"/>
          <tpl hier="3" item="0"/>
          <tpl fld="2" item="1"/>
          <tpl fld="1" item="0"/>
        </tpls>
      </n>
      <n v="6750" in="0">
        <tpls c="4">
          <tpl fld="0" item="488"/>
          <tpl hier="3" item="0"/>
          <tpl fld="2" item="1"/>
          <tpl fld="1" item="1"/>
        </tpls>
      </n>
      <n v="57741" in="0">
        <tpls c="4">
          <tpl fld="0" item="489"/>
          <tpl hier="3" item="0"/>
          <tpl fld="2" item="2"/>
          <tpl fld="1" item="0"/>
        </tpls>
      </n>
      <n v="1500" in="0">
        <tpls c="4">
          <tpl fld="0" item="489"/>
          <tpl hier="3" item="0"/>
          <tpl fld="2" item="2"/>
          <tpl fld="1" item="1"/>
        </tpls>
      </n>
      <n v="218602" in="0">
        <tpls c="4">
          <tpl fld="0" item="490"/>
          <tpl hier="3" item="0"/>
          <tpl fld="2" item="1"/>
          <tpl fld="1" item="0"/>
        </tpls>
      </n>
      <n v="9000" in="0">
        <tpls c="4">
          <tpl fld="0" item="490"/>
          <tpl hier="3" item="0"/>
          <tpl fld="2" item="1"/>
          <tpl fld="1" item="1"/>
        </tpls>
      </n>
      <n v="226959" in="0">
        <tpls c="4">
          <tpl fld="0" item="491"/>
          <tpl hier="3" item="0"/>
          <tpl fld="2" item="1"/>
          <tpl fld="1" item="0"/>
        </tpls>
      </n>
      <n v="6750" in="0">
        <tpls c="4">
          <tpl fld="0" item="491"/>
          <tpl hier="3" item="0"/>
          <tpl fld="2" item="1"/>
          <tpl fld="1" item="1"/>
        </tpls>
      </n>
      <m>
        <tpls c="4">
          <tpl fld="0" item="2"/>
          <tpl hier="3" item="1"/>
          <tpl fld="2" item="0"/>
          <tpl fld="1" item="0"/>
        </tpls>
      </m>
      <m>
        <tpls c="4">
          <tpl fld="0" item="2"/>
          <tpl hier="3" item="1"/>
          <tpl fld="2" item="0"/>
          <tpl fld="1" item="1"/>
        </tpls>
      </m>
      <m>
        <tpls c="4">
          <tpl fld="0" item="3"/>
          <tpl hier="3" item="1"/>
          <tpl fld="2" item="1"/>
          <tpl fld="1" item="0"/>
        </tpls>
      </m>
      <m>
        <tpls c="4">
          <tpl fld="0" item="3"/>
          <tpl hier="3" item="1"/>
          <tpl fld="2" item="1"/>
          <tpl fld="1" item="1"/>
        </tpls>
      </m>
      <m>
        <tpls c="4">
          <tpl fld="0" item="4"/>
          <tpl hier="3" item="1"/>
          <tpl fld="2" item="1"/>
          <tpl fld="1" item="0"/>
        </tpls>
      </m>
      <m>
        <tpls c="4">
          <tpl fld="0" item="4"/>
          <tpl hier="3" item="1"/>
          <tpl fld="2" item="1"/>
          <tpl fld="1" item="1"/>
        </tpls>
      </m>
      <m>
        <tpls c="4">
          <tpl fld="0" item="5"/>
          <tpl hier="3" item="1"/>
          <tpl fld="2" item="1"/>
          <tpl fld="1" item="0"/>
        </tpls>
      </m>
      <m>
        <tpls c="4">
          <tpl fld="0" item="5"/>
          <tpl hier="3" item="1"/>
          <tpl fld="2" item="1"/>
          <tpl fld="1" item="1"/>
        </tpls>
      </m>
      <m>
        <tpls c="4">
          <tpl fld="0" item="6"/>
          <tpl hier="3" item="1"/>
          <tpl fld="2" item="0"/>
          <tpl fld="1" item="0"/>
        </tpls>
      </m>
      <m>
        <tpls c="4">
          <tpl fld="0" item="6"/>
          <tpl hier="3" item="1"/>
          <tpl fld="2" item="0"/>
          <tpl fld="1" item="1"/>
        </tpls>
      </m>
      <n v="69298" in="0">
        <tpls c="4">
          <tpl fld="0" item="7"/>
          <tpl hier="3" item="1"/>
          <tpl fld="2" item="0"/>
          <tpl fld="1" item="0"/>
        </tpls>
      </n>
      <n v="4200" in="0">
        <tpls c="4">
          <tpl fld="0" item="7"/>
          <tpl hier="3" item="1"/>
          <tpl fld="2" item="0"/>
          <tpl fld="1" item="1"/>
        </tpls>
      </n>
      <m>
        <tpls c="4">
          <tpl fld="0" item="8"/>
          <tpl hier="3" item="1"/>
          <tpl fld="2" item="2"/>
          <tpl fld="1" item="0"/>
        </tpls>
      </m>
      <m>
        <tpls c="4">
          <tpl fld="0" item="8"/>
          <tpl hier="3" item="1"/>
          <tpl fld="2" item="2"/>
          <tpl fld="1" item="1"/>
        </tpls>
      </m>
      <m>
        <tpls c="4">
          <tpl fld="0" item="9"/>
          <tpl hier="3" item="1"/>
          <tpl fld="2" item="2"/>
          <tpl fld="1" item="0"/>
        </tpls>
      </m>
      <m>
        <tpls c="4">
          <tpl fld="0" item="9"/>
          <tpl hier="3" item="1"/>
          <tpl fld="2" item="2"/>
          <tpl fld="1" item="1"/>
        </tpls>
      </m>
      <n v="126076" in="0">
        <tpls c="4">
          <tpl fld="0" item="10"/>
          <tpl hier="3" item="1"/>
          <tpl fld="2" item="1"/>
          <tpl fld="1" item="0"/>
        </tpls>
      </n>
      <n v="9000" in="0">
        <tpls c="4">
          <tpl fld="0" item="10"/>
          <tpl hier="3" item="1"/>
          <tpl fld="2" item="1"/>
          <tpl fld="1" item="1"/>
        </tpls>
      </n>
      <m>
        <tpls c="4">
          <tpl fld="0" item="11"/>
          <tpl hier="3" item="1"/>
          <tpl fld="2" item="1"/>
          <tpl fld="1" item="0"/>
        </tpls>
      </m>
      <m>
        <tpls c="4">
          <tpl fld="0" item="11"/>
          <tpl hier="3" item="1"/>
          <tpl fld="2" item="1"/>
          <tpl fld="1" item="1"/>
        </tpls>
      </m>
      <m>
        <tpls c="4">
          <tpl fld="0" item="0"/>
          <tpl hier="3" item="1"/>
          <tpl fld="2" item="2"/>
          <tpl fld="1" item="0"/>
        </tpls>
      </m>
      <m>
        <tpls c="4">
          <tpl fld="0" item="0"/>
          <tpl hier="3" item="1"/>
          <tpl fld="2" item="2"/>
          <tpl fld="1" item="1"/>
        </tpls>
      </m>
      <m>
        <tpls c="4">
          <tpl fld="0" item="1"/>
          <tpl hier="3" item="1"/>
          <tpl fld="2" item="1"/>
          <tpl fld="1" item="0"/>
        </tpls>
      </m>
      <m>
        <tpls c="4">
          <tpl fld="0" item="1"/>
          <tpl hier="3" item="1"/>
          <tpl fld="2" item="1"/>
          <tpl fld="1" item="1"/>
        </tpls>
      </m>
      <m>
        <tpls c="4">
          <tpl fld="0" item="12"/>
          <tpl hier="3" item="1"/>
          <tpl fld="2" item="1"/>
          <tpl fld="1" item="0"/>
        </tpls>
      </m>
      <m>
        <tpls c="4">
          <tpl fld="0" item="12"/>
          <tpl hier="3" item="1"/>
          <tpl fld="2" item="1"/>
          <tpl fld="1" item="1"/>
        </tpls>
      </m>
      <m>
        <tpls c="4">
          <tpl fld="0" item="13"/>
          <tpl hier="3" item="1"/>
          <tpl fld="2" item="0"/>
          <tpl fld="1" item="0"/>
        </tpls>
      </m>
      <m>
        <tpls c="4">
          <tpl fld="0" item="13"/>
          <tpl hier="3" item="1"/>
          <tpl fld="2" item="0"/>
          <tpl fld="1" item="1"/>
        </tpls>
      </m>
      <m>
        <tpls c="4">
          <tpl fld="0" item="14"/>
          <tpl hier="3" item="1"/>
          <tpl fld="2" item="0"/>
          <tpl fld="1" item="0"/>
        </tpls>
      </m>
      <m>
        <tpls c="4">
          <tpl fld="0" item="14"/>
          <tpl hier="3" item="1"/>
          <tpl fld="2" item="0"/>
          <tpl fld="1" item="1"/>
        </tpls>
      </m>
      <m>
        <tpls c="4">
          <tpl fld="0" item="15"/>
          <tpl hier="3" item="1"/>
          <tpl fld="2" item="0"/>
          <tpl fld="1" item="0"/>
        </tpls>
      </m>
      <m>
        <tpls c="4">
          <tpl fld="0" item="15"/>
          <tpl hier="3" item="1"/>
          <tpl fld="2" item="0"/>
          <tpl fld="1" item="1"/>
        </tpls>
      </m>
      <n v="86333" in="0">
        <tpls c="4">
          <tpl fld="0" item="16"/>
          <tpl hier="3" item="1"/>
          <tpl fld="2" item="0"/>
          <tpl fld="1" item="0"/>
        </tpls>
      </n>
      <n v="2800" in="0">
        <tpls c="4">
          <tpl fld="0" item="16"/>
          <tpl hier="3" item="1"/>
          <tpl fld="2" item="0"/>
          <tpl fld="1" item="1"/>
        </tpls>
      </n>
      <m>
        <tpls c="4">
          <tpl fld="0" item="17"/>
          <tpl hier="3" item="1"/>
          <tpl fld="2" item="0"/>
          <tpl fld="1" item="0"/>
        </tpls>
      </m>
      <m>
        <tpls c="4">
          <tpl fld="0" item="17"/>
          <tpl hier="3" item="1"/>
          <tpl fld="2" item="0"/>
          <tpl fld="1" item="1"/>
        </tpls>
      </m>
      <m>
        <tpls c="4">
          <tpl fld="0" item="18"/>
          <tpl hier="3" item="1"/>
          <tpl fld="2" item="0"/>
          <tpl fld="1" item="0"/>
        </tpls>
      </m>
      <m>
        <tpls c="4">
          <tpl fld="0" item="18"/>
          <tpl hier="3" item="1"/>
          <tpl fld="2" item="0"/>
          <tpl fld="1" item="1"/>
        </tpls>
      </m>
      <m>
        <tpls c="4">
          <tpl fld="0" item="19"/>
          <tpl hier="3" item="1"/>
          <tpl fld="2" item="0"/>
          <tpl fld="1" item="0"/>
        </tpls>
      </m>
      <m>
        <tpls c="4">
          <tpl fld="0" item="19"/>
          <tpl hier="3" item="1"/>
          <tpl fld="2" item="0"/>
          <tpl fld="1" item="1"/>
        </tpls>
      </m>
      <m>
        <tpls c="4">
          <tpl fld="0" item="20"/>
          <tpl hier="3" item="1"/>
          <tpl fld="2" item="1"/>
          <tpl fld="1" item="0"/>
        </tpls>
      </m>
      <m>
        <tpls c="4">
          <tpl fld="0" item="20"/>
          <tpl hier="3" item="1"/>
          <tpl fld="2" item="1"/>
          <tpl fld="1" item="1"/>
        </tpls>
      </m>
      <m>
        <tpls c="4">
          <tpl fld="0" item="21"/>
          <tpl hier="3" item="1"/>
          <tpl fld="2" item="0"/>
          <tpl fld="1" item="0"/>
        </tpls>
      </m>
      <m>
        <tpls c="4">
          <tpl fld="0" item="21"/>
          <tpl hier="3" item="1"/>
          <tpl fld="2" item="0"/>
          <tpl fld="1" item="1"/>
        </tpls>
      </m>
      <m>
        <tpls c="4">
          <tpl fld="0" item="22"/>
          <tpl hier="3" item="1"/>
          <tpl fld="2" item="0"/>
          <tpl fld="1" item="0"/>
        </tpls>
      </m>
      <m>
        <tpls c="4">
          <tpl fld="0" item="22"/>
          <tpl hier="3" item="1"/>
          <tpl fld="2" item="0"/>
          <tpl fld="1" item="1"/>
        </tpls>
      </m>
      <m>
        <tpls c="4">
          <tpl fld="0" item="23"/>
          <tpl hier="3" item="1"/>
          <tpl fld="2" item="0"/>
          <tpl fld="1" item="0"/>
        </tpls>
      </m>
      <m>
        <tpls c="4">
          <tpl fld="0" item="23"/>
          <tpl hier="3" item="1"/>
          <tpl fld="2" item="0"/>
          <tpl fld="1" item="1"/>
        </tpls>
      </m>
      <m>
        <tpls c="4">
          <tpl fld="0" item="24"/>
          <tpl hier="3" item="1"/>
          <tpl fld="2" item="0"/>
          <tpl fld="1" item="0"/>
        </tpls>
      </m>
      <m>
        <tpls c="4">
          <tpl fld="0" item="24"/>
          <tpl hier="3" item="1"/>
          <tpl fld="2" item="0"/>
          <tpl fld="1" item="1"/>
        </tpls>
      </m>
      <m>
        <tpls c="4">
          <tpl fld="0" item="25"/>
          <tpl hier="3" item="1"/>
          <tpl fld="2" item="1"/>
          <tpl fld="1" item="0"/>
        </tpls>
      </m>
      <m>
        <tpls c="4">
          <tpl fld="0" item="25"/>
          <tpl hier="3" item="1"/>
          <tpl fld="2" item="1"/>
          <tpl fld="1" item="1"/>
        </tpls>
      </m>
      <m>
        <tpls c="4">
          <tpl fld="0" item="26"/>
          <tpl hier="3" item="1"/>
          <tpl fld="2" item="0"/>
          <tpl fld="1" item="0"/>
        </tpls>
      </m>
      <m>
        <tpls c="4">
          <tpl fld="0" item="26"/>
          <tpl hier="3" item="1"/>
          <tpl fld="2" item="0"/>
          <tpl fld="1" item="1"/>
        </tpls>
      </m>
      <m>
        <tpls c="4">
          <tpl fld="0" item="27"/>
          <tpl hier="3" item="1"/>
          <tpl fld="2" item="0"/>
          <tpl fld="1" item="0"/>
        </tpls>
      </m>
      <m>
        <tpls c="4">
          <tpl fld="0" item="27"/>
          <tpl hier="3" item="1"/>
          <tpl fld="2" item="0"/>
          <tpl fld="1" item="1"/>
        </tpls>
      </m>
      <m>
        <tpls c="4">
          <tpl fld="0" item="28"/>
          <tpl hier="3" item="1"/>
          <tpl fld="2" item="1"/>
          <tpl fld="1" item="0"/>
        </tpls>
      </m>
      <m>
        <tpls c="4">
          <tpl fld="0" item="28"/>
          <tpl hier="3" item="1"/>
          <tpl fld="2" item="1"/>
          <tpl fld="1" item="1"/>
        </tpls>
      </m>
      <n v="51444" in="0">
        <tpls c="4">
          <tpl fld="0" item="29"/>
          <tpl hier="3" item="1"/>
          <tpl fld="2" item="2"/>
          <tpl fld="1" item="0"/>
        </tpls>
      </n>
      <n v="1500" in="0">
        <tpls c="4">
          <tpl fld="0" item="29"/>
          <tpl hier="3" item="1"/>
          <tpl fld="2" item="2"/>
          <tpl fld="1" item="1"/>
        </tpls>
      </n>
      <m>
        <tpls c="4">
          <tpl fld="0" item="30"/>
          <tpl hier="3" item="1"/>
          <tpl fld="2" item="1"/>
          <tpl fld="1" item="0"/>
        </tpls>
      </m>
      <m>
        <tpls c="4">
          <tpl fld="0" item="30"/>
          <tpl hier="3" item="1"/>
          <tpl fld="2" item="1"/>
          <tpl fld="1" item="1"/>
        </tpls>
      </m>
      <m>
        <tpls c="4">
          <tpl fld="0" item="31"/>
          <tpl hier="3" item="1"/>
          <tpl fld="2" item="0"/>
          <tpl fld="1" item="0"/>
        </tpls>
      </m>
      <m>
        <tpls c="4">
          <tpl fld="0" item="31"/>
          <tpl hier="3" item="1"/>
          <tpl fld="2" item="0"/>
          <tpl fld="1" item="1"/>
        </tpls>
      </m>
      <n v="55377" in="0">
        <tpls c="4">
          <tpl fld="0" item="32"/>
          <tpl hier="3" item="1"/>
          <tpl fld="2" item="2"/>
          <tpl fld="1" item="0"/>
        </tpls>
      </n>
      <n v="1500" in="0">
        <tpls c="4">
          <tpl fld="0" item="32"/>
          <tpl hier="3" item="1"/>
          <tpl fld="2" item="2"/>
          <tpl fld="1" item="1"/>
        </tpls>
      </n>
      <n v="205638" in="0">
        <tpls c="4">
          <tpl fld="0" item="33"/>
          <tpl hier="3" item="1"/>
          <tpl fld="2" item="1"/>
          <tpl fld="1" item="0"/>
        </tpls>
      </n>
      <n v="6750" in="0">
        <tpls c="4">
          <tpl fld="0" item="33"/>
          <tpl hier="3" item="1"/>
          <tpl fld="2" item="1"/>
          <tpl fld="1" item="1"/>
        </tpls>
      </n>
      <m>
        <tpls c="4">
          <tpl fld="0" item="34"/>
          <tpl hier="3" item="1"/>
          <tpl fld="2" item="1"/>
          <tpl fld="1" item="0"/>
        </tpls>
      </m>
      <m>
        <tpls c="4">
          <tpl fld="0" item="34"/>
          <tpl hier="3" item="1"/>
          <tpl fld="2" item="1"/>
          <tpl fld="1" item="1"/>
        </tpls>
      </m>
      <m>
        <tpls c="4">
          <tpl fld="0" item="35"/>
          <tpl hier="3" item="1"/>
          <tpl fld="2" item="1"/>
          <tpl fld="1" item="0"/>
        </tpls>
      </m>
      <m>
        <tpls c="4">
          <tpl fld="0" item="35"/>
          <tpl hier="3" item="1"/>
          <tpl fld="2" item="1"/>
          <tpl fld="1" item="1"/>
        </tpls>
      </m>
      <m>
        <tpls c="4">
          <tpl fld="0" item="36"/>
          <tpl hier="3" item="1"/>
          <tpl fld="2" item="0"/>
          <tpl fld="1" item="0"/>
        </tpls>
      </m>
      <m>
        <tpls c="4">
          <tpl fld="0" item="36"/>
          <tpl hier="3" item="1"/>
          <tpl fld="2" item="0"/>
          <tpl fld="1" item="1"/>
        </tpls>
      </m>
      <n v="61095" in="0">
        <tpls c="4">
          <tpl fld="0" item="37"/>
          <tpl hier="3" item="1"/>
          <tpl fld="2" item="0"/>
          <tpl fld="1" item="0"/>
        </tpls>
      </n>
      <n v="2800" in="0">
        <tpls c="4">
          <tpl fld="0" item="37"/>
          <tpl hier="3" item="1"/>
          <tpl fld="2" item="0"/>
          <tpl fld="1" item="1"/>
        </tpls>
      </n>
      <m>
        <tpls c="4">
          <tpl fld="0" item="38"/>
          <tpl hier="3" item="1"/>
          <tpl fld="2" item="1"/>
          <tpl fld="1" item="0"/>
        </tpls>
      </m>
      <m>
        <tpls c="4">
          <tpl fld="0" item="38"/>
          <tpl hier="3" item="1"/>
          <tpl fld="2" item="1"/>
          <tpl fld="1" item="1"/>
        </tpls>
      </m>
      <m>
        <tpls c="4">
          <tpl fld="0" item="39"/>
          <tpl hier="3" item="1"/>
          <tpl fld="2" item="0"/>
          <tpl fld="1" item="0"/>
        </tpls>
      </m>
      <m>
        <tpls c="4">
          <tpl fld="0" item="39"/>
          <tpl hier="3" item="1"/>
          <tpl fld="2" item="0"/>
          <tpl fld="1" item="1"/>
        </tpls>
      </m>
      <m>
        <tpls c="4">
          <tpl fld="0" item="40"/>
          <tpl hier="3" item="1"/>
          <tpl fld="2" item="0"/>
          <tpl fld="1" item="0"/>
        </tpls>
      </m>
      <m>
        <tpls c="4">
          <tpl fld="0" item="40"/>
          <tpl hier="3" item="1"/>
          <tpl fld="2" item="0"/>
          <tpl fld="1" item="1"/>
        </tpls>
      </m>
      <m>
        <tpls c="4">
          <tpl fld="0" item="41"/>
          <tpl hier="3" item="1"/>
          <tpl fld="2" item="0"/>
          <tpl fld="1" item="0"/>
        </tpls>
      </m>
      <m>
        <tpls c="4">
          <tpl fld="0" item="41"/>
          <tpl hier="3" item="1"/>
          <tpl fld="2" item="0"/>
          <tpl fld="1" item="1"/>
        </tpls>
      </m>
      <m>
        <tpls c="4">
          <tpl fld="0" item="42"/>
          <tpl hier="3" item="1"/>
          <tpl fld="2" item="2"/>
          <tpl fld="1" item="0"/>
        </tpls>
      </m>
      <m>
        <tpls c="4">
          <tpl fld="0" item="42"/>
          <tpl hier="3" item="1"/>
          <tpl fld="2" item="2"/>
          <tpl fld="1" item="1"/>
        </tpls>
      </m>
      <m>
        <tpls c="4">
          <tpl fld="0" item="43"/>
          <tpl hier="3" item="1"/>
          <tpl fld="2" item="1"/>
          <tpl fld="1" item="0"/>
        </tpls>
      </m>
      <m>
        <tpls c="4">
          <tpl fld="0" item="43"/>
          <tpl hier="3" item="1"/>
          <tpl fld="2" item="1"/>
          <tpl fld="1" item="1"/>
        </tpls>
      </m>
      <m>
        <tpls c="4">
          <tpl fld="0" item="44"/>
          <tpl hier="3" item="1"/>
          <tpl fld="2" item="2"/>
          <tpl fld="1" item="0"/>
        </tpls>
      </m>
      <m>
        <tpls c="4">
          <tpl fld="0" item="44"/>
          <tpl hier="3" item="1"/>
          <tpl fld="2" item="2"/>
          <tpl fld="1" item="1"/>
        </tpls>
      </m>
      <n v="136013" in="0">
        <tpls c="4">
          <tpl fld="0" item="45"/>
          <tpl hier="3" item="1"/>
          <tpl fld="2" item="1"/>
          <tpl fld="1" item="0"/>
        </tpls>
      </n>
      <n v="9000" in="0">
        <tpls c="4">
          <tpl fld="0" item="45"/>
          <tpl hier="3" item="1"/>
          <tpl fld="2" item="1"/>
          <tpl fld="1" item="1"/>
        </tpls>
      </n>
      <m>
        <tpls c="4">
          <tpl fld="0" item="46"/>
          <tpl hier="3" item="1"/>
          <tpl fld="2" item="0"/>
          <tpl fld="1" item="0"/>
        </tpls>
      </m>
      <m>
        <tpls c="4">
          <tpl fld="0" item="46"/>
          <tpl hier="3" item="1"/>
          <tpl fld="2" item="0"/>
          <tpl fld="1" item="1"/>
        </tpls>
      </m>
      <m>
        <tpls c="4">
          <tpl fld="0" item="47"/>
          <tpl hier="3" item="1"/>
          <tpl fld="2" item="0"/>
          <tpl fld="1" item="0"/>
        </tpls>
      </m>
      <m>
        <tpls c="4">
          <tpl fld="0" item="47"/>
          <tpl hier="3" item="1"/>
          <tpl fld="2" item="0"/>
          <tpl fld="1" item="1"/>
        </tpls>
      </m>
      <m>
        <tpls c="4">
          <tpl fld="0" item="48"/>
          <tpl hier="3" item="1"/>
          <tpl fld="2" item="0"/>
          <tpl fld="1" item="0"/>
        </tpls>
      </m>
      <m>
        <tpls c="4">
          <tpl fld="0" item="48"/>
          <tpl hier="3" item="1"/>
          <tpl fld="2" item="0"/>
          <tpl fld="1" item="1"/>
        </tpls>
      </m>
      <n v="215780" in="0">
        <tpls c="4">
          <tpl fld="0" item="49"/>
          <tpl hier="3" item="1"/>
          <tpl fld="2" item="1"/>
          <tpl fld="1" item="0"/>
        </tpls>
      </n>
      <n v="6750" in="0">
        <tpls c="4">
          <tpl fld="0" item="49"/>
          <tpl hier="3" item="1"/>
          <tpl fld="2" item="1"/>
          <tpl fld="1" item="1"/>
        </tpls>
      </n>
      <m>
        <tpls c="4">
          <tpl fld="0" item="50"/>
          <tpl hier="3" item="1"/>
          <tpl fld="2" item="1"/>
          <tpl fld="1" item="0"/>
        </tpls>
      </m>
      <m>
        <tpls c="4">
          <tpl fld="0" item="50"/>
          <tpl hier="3" item="1"/>
          <tpl fld="2" item="1"/>
          <tpl fld="1" item="1"/>
        </tpls>
      </m>
      <m>
        <tpls c="4">
          <tpl fld="0" item="51"/>
          <tpl hier="3" item="1"/>
          <tpl fld="2" item="1"/>
          <tpl fld="1" item="0"/>
        </tpls>
      </m>
      <m>
        <tpls c="4">
          <tpl fld="0" item="51"/>
          <tpl hier="3" item="1"/>
          <tpl fld="2" item="1"/>
          <tpl fld="1" item="1"/>
        </tpls>
      </m>
      <n v="186367" in="0">
        <tpls c="4">
          <tpl fld="0" item="52"/>
          <tpl hier="3" item="1"/>
          <tpl fld="2" item="1"/>
          <tpl fld="1" item="0"/>
        </tpls>
      </n>
      <n v="9000" in="0">
        <tpls c="4">
          <tpl fld="0" item="52"/>
          <tpl hier="3" item="1"/>
          <tpl fld="2" item="1"/>
          <tpl fld="1" item="1"/>
        </tpls>
      </n>
      <m>
        <tpls c="4">
          <tpl fld="0" item="53"/>
          <tpl hier="3" item="1"/>
          <tpl fld="2" item="1"/>
          <tpl fld="1" item="0"/>
        </tpls>
      </m>
      <m>
        <tpls c="4">
          <tpl fld="0" item="53"/>
          <tpl hier="3" item="1"/>
          <tpl fld="2" item="1"/>
          <tpl fld="1" item="1"/>
        </tpls>
      </m>
      <m>
        <tpls c="4">
          <tpl fld="0" item="54"/>
          <tpl hier="3" item="1"/>
          <tpl fld="2" item="1"/>
          <tpl fld="1" item="0"/>
        </tpls>
      </m>
      <m>
        <tpls c="4">
          <tpl fld="0" item="54"/>
          <tpl hier="3" item="1"/>
          <tpl fld="2" item="1"/>
          <tpl fld="1" item="1"/>
        </tpls>
      </m>
      <m>
        <tpls c="4">
          <tpl fld="0" item="55"/>
          <tpl hier="3" item="1"/>
          <tpl fld="2" item="2"/>
          <tpl fld="1" item="0"/>
        </tpls>
      </m>
      <m>
        <tpls c="4">
          <tpl fld="0" item="55"/>
          <tpl hier="3" item="1"/>
          <tpl fld="2" item="2"/>
          <tpl fld="1" item="1"/>
        </tpls>
      </m>
      <n v="74048" in="0">
        <tpls c="4">
          <tpl fld="0" item="56"/>
          <tpl hier="3" item="1"/>
          <tpl fld="2" item="0"/>
          <tpl fld="1" item="0"/>
        </tpls>
      </n>
      <n v="2800" in="0">
        <tpls c="4">
          <tpl fld="0" item="56"/>
          <tpl hier="3" item="1"/>
          <tpl fld="2" item="0"/>
          <tpl fld="1" item="1"/>
        </tpls>
      </n>
      <m>
        <tpls c="4">
          <tpl fld="0" item="57"/>
          <tpl hier="3" item="1"/>
          <tpl fld="2" item="2"/>
          <tpl fld="1" item="0"/>
        </tpls>
      </m>
      <m>
        <tpls c="4">
          <tpl fld="0" item="57"/>
          <tpl hier="3" item="1"/>
          <tpl fld="2" item="2"/>
          <tpl fld="1" item="1"/>
        </tpls>
      </m>
      <n v="88833" in="0">
        <tpls c="4">
          <tpl fld="0" item="58"/>
          <tpl hier="3" item="1"/>
          <tpl fld="2" item="0"/>
          <tpl fld="1" item="0"/>
        </tpls>
      </n>
      <n v="4200" in="0">
        <tpls c="4">
          <tpl fld="0" item="58"/>
          <tpl hier="3" item="1"/>
          <tpl fld="2" item="0"/>
          <tpl fld="1" item="1"/>
        </tpls>
      </n>
      <m>
        <tpls c="4">
          <tpl fld="0" item="59"/>
          <tpl hier="3" item="1"/>
          <tpl fld="2" item="0"/>
          <tpl fld="1" item="0"/>
        </tpls>
      </m>
      <m>
        <tpls c="4">
          <tpl fld="0" item="59"/>
          <tpl hier="3" item="1"/>
          <tpl fld="2" item="0"/>
          <tpl fld="1" item="1"/>
        </tpls>
      </m>
      <m>
        <tpls c="4">
          <tpl fld="0" item="60"/>
          <tpl hier="3" item="1"/>
          <tpl fld="2" item="0"/>
          <tpl fld="1" item="0"/>
        </tpls>
      </m>
      <m>
        <tpls c="4">
          <tpl fld="0" item="60"/>
          <tpl hier="3" item="1"/>
          <tpl fld="2" item="0"/>
          <tpl fld="1" item="1"/>
        </tpls>
      </m>
      <m>
        <tpls c="4">
          <tpl fld="0" item="61"/>
          <tpl hier="3" item="1"/>
          <tpl fld="2" item="1"/>
          <tpl fld="1" item="0"/>
        </tpls>
      </m>
      <m>
        <tpls c="4">
          <tpl fld="0" item="61"/>
          <tpl hier="3" item="1"/>
          <tpl fld="2" item="1"/>
          <tpl fld="1" item="1"/>
        </tpls>
      </m>
      <m>
        <tpls c="4">
          <tpl fld="0" item="62"/>
          <tpl hier="3" item="1"/>
          <tpl fld="2" item="0"/>
          <tpl fld="1" item="0"/>
        </tpls>
      </m>
      <m>
        <tpls c="4">
          <tpl fld="0" item="62"/>
          <tpl hier="3" item="1"/>
          <tpl fld="2" item="0"/>
          <tpl fld="1" item="1"/>
        </tpls>
      </m>
      <m>
        <tpls c="4">
          <tpl fld="0" item="63"/>
          <tpl hier="3" item="1"/>
          <tpl fld="2" item="0"/>
          <tpl fld="1" item="0"/>
        </tpls>
      </m>
      <m>
        <tpls c="4">
          <tpl fld="0" item="63"/>
          <tpl hier="3" item="1"/>
          <tpl fld="2" item="0"/>
          <tpl fld="1" item="1"/>
        </tpls>
      </m>
      <m>
        <tpls c="4">
          <tpl fld="0" item="64"/>
          <tpl hier="3" item="1"/>
          <tpl fld="2" item="0"/>
          <tpl fld="1" item="0"/>
        </tpls>
      </m>
      <m>
        <tpls c="4">
          <tpl fld="0" item="64"/>
          <tpl hier="3" item="1"/>
          <tpl fld="2" item="0"/>
          <tpl fld="1" item="1"/>
        </tpls>
      </m>
      <m>
        <tpls c="4">
          <tpl fld="0" item="65"/>
          <tpl hier="3" item="1"/>
          <tpl fld="2" item="0"/>
          <tpl fld="1" item="0"/>
        </tpls>
      </m>
      <m>
        <tpls c="4">
          <tpl fld="0" item="65"/>
          <tpl hier="3" item="1"/>
          <tpl fld="2" item="0"/>
          <tpl fld="1" item="1"/>
        </tpls>
      </m>
      <m>
        <tpls c="4">
          <tpl fld="0" item="66"/>
          <tpl hier="3" item="1"/>
          <tpl fld="2" item="1"/>
          <tpl fld="1" item="0"/>
        </tpls>
      </m>
      <m>
        <tpls c="4">
          <tpl fld="0" item="66"/>
          <tpl hier="3" item="1"/>
          <tpl fld="2" item="1"/>
          <tpl fld="1" item="1"/>
        </tpls>
      </m>
      <n v="57167" in="0">
        <tpls c="4">
          <tpl fld="0" item="67"/>
          <tpl hier="3" item="1"/>
          <tpl fld="2" item="2"/>
          <tpl fld="1" item="0"/>
        </tpls>
      </n>
      <n v="1500" in="0">
        <tpls c="4">
          <tpl fld="0" item="67"/>
          <tpl hier="3" item="1"/>
          <tpl fld="2" item="2"/>
          <tpl fld="1" item="1"/>
        </tpls>
      </n>
      <m>
        <tpls c="4">
          <tpl fld="0" item="68"/>
          <tpl hier="3" item="1"/>
          <tpl fld="2" item="1"/>
          <tpl fld="1" item="0"/>
        </tpls>
      </m>
      <m>
        <tpls c="4">
          <tpl fld="0" item="68"/>
          <tpl hier="3" item="1"/>
          <tpl fld="2" item="1"/>
          <tpl fld="1" item="1"/>
        </tpls>
      </m>
      <n v="156359" in="0">
        <tpls c="4">
          <tpl fld="0" item="69"/>
          <tpl hier="3" item="1"/>
          <tpl fld="2" item="1"/>
          <tpl fld="1" item="0"/>
        </tpls>
      </n>
      <n v="9000" in="0">
        <tpls c="4">
          <tpl fld="0" item="69"/>
          <tpl hier="3" item="1"/>
          <tpl fld="2" item="1"/>
          <tpl fld="1" item="1"/>
        </tpls>
      </n>
      <m>
        <tpls c="4">
          <tpl fld="0" item="70"/>
          <tpl hier="3" item="1"/>
          <tpl fld="2" item="0"/>
          <tpl fld="1" item="0"/>
        </tpls>
      </m>
      <m>
        <tpls c="4">
          <tpl fld="0" item="70"/>
          <tpl hier="3" item="1"/>
          <tpl fld="2" item="0"/>
          <tpl fld="1" item="1"/>
        </tpls>
      </m>
      <m>
        <tpls c="4">
          <tpl fld="0" item="71"/>
          <tpl hier="3" item="1"/>
          <tpl fld="2" item="2"/>
          <tpl fld="1" item="0"/>
        </tpls>
      </m>
      <m>
        <tpls c="4">
          <tpl fld="0" item="71"/>
          <tpl hier="3" item="1"/>
          <tpl fld="2" item="2"/>
          <tpl fld="1" item="1"/>
        </tpls>
      </m>
      <m>
        <tpls c="4">
          <tpl fld="0" item="72"/>
          <tpl hier="3" item="1"/>
          <tpl fld="2" item="1"/>
          <tpl fld="1" item="0"/>
        </tpls>
      </m>
      <m>
        <tpls c="4">
          <tpl fld="0" item="72"/>
          <tpl hier="3" item="1"/>
          <tpl fld="2" item="1"/>
          <tpl fld="1" item="1"/>
        </tpls>
      </m>
      <m>
        <tpls c="4">
          <tpl fld="0" item="73"/>
          <tpl hier="3" item="1"/>
          <tpl fld="2" item="1"/>
          <tpl fld="1" item="0"/>
        </tpls>
      </m>
      <m>
        <tpls c="4">
          <tpl fld="0" item="73"/>
          <tpl hier="3" item="1"/>
          <tpl fld="2" item="1"/>
          <tpl fld="1" item="1"/>
        </tpls>
      </m>
      <m>
        <tpls c="4">
          <tpl fld="0" item="74"/>
          <tpl hier="3" item="1"/>
          <tpl fld="2" item="1"/>
          <tpl fld="1" item="0"/>
        </tpls>
      </m>
      <m>
        <tpls c="4">
          <tpl fld="0" item="74"/>
          <tpl hier="3" item="1"/>
          <tpl fld="2" item="1"/>
          <tpl fld="1" item="1"/>
        </tpls>
      </m>
      <m>
        <tpls c="4">
          <tpl fld="0" item="75"/>
          <tpl hier="3" item="1"/>
          <tpl fld="2" item="2"/>
          <tpl fld="1" item="0"/>
        </tpls>
      </m>
      <m>
        <tpls c="4">
          <tpl fld="0" item="75"/>
          <tpl hier="3" item="1"/>
          <tpl fld="2" item="2"/>
          <tpl fld="1" item="1"/>
        </tpls>
      </m>
      <m>
        <tpls c="4">
          <tpl fld="0" item="76"/>
          <tpl hier="3" item="1"/>
          <tpl fld="2" item="0"/>
          <tpl fld="1" item="0"/>
        </tpls>
      </m>
      <m>
        <tpls c="4">
          <tpl fld="0" item="76"/>
          <tpl hier="3" item="1"/>
          <tpl fld="2" item="0"/>
          <tpl fld="1" item="1"/>
        </tpls>
      </m>
      <m>
        <tpls c="4">
          <tpl fld="0" item="77"/>
          <tpl hier="3" item="1"/>
          <tpl fld="2" item="0"/>
          <tpl fld="1" item="0"/>
        </tpls>
      </m>
      <m>
        <tpls c="4">
          <tpl fld="0" item="77"/>
          <tpl hier="3" item="1"/>
          <tpl fld="2" item="0"/>
          <tpl fld="1" item="1"/>
        </tpls>
      </m>
      <n v="177401" in="0">
        <tpls c="4">
          <tpl fld="0" item="78"/>
          <tpl hier="3" item="1"/>
          <tpl fld="2" item="1"/>
          <tpl fld="1" item="0"/>
        </tpls>
      </n>
      <n v="6750" in="0">
        <tpls c="4">
          <tpl fld="0" item="78"/>
          <tpl hier="3" item="1"/>
          <tpl fld="2" item="1"/>
          <tpl fld="1" item="1"/>
        </tpls>
      </n>
      <m>
        <tpls c="4">
          <tpl fld="0" item="79"/>
          <tpl hier="3" item="1"/>
          <tpl fld="2" item="1"/>
          <tpl fld="1" item="0"/>
        </tpls>
      </m>
      <m>
        <tpls c="4">
          <tpl fld="0" item="79"/>
          <tpl hier="3" item="1"/>
          <tpl fld="2" item="1"/>
          <tpl fld="1" item="1"/>
        </tpls>
      </m>
      <m>
        <tpls c="4">
          <tpl fld="0" item="80"/>
          <tpl hier="3" item="1"/>
          <tpl fld="2" item="0"/>
          <tpl fld="1" item="0"/>
        </tpls>
      </m>
      <m>
        <tpls c="4">
          <tpl fld="0" item="80"/>
          <tpl hier="3" item="1"/>
          <tpl fld="2" item="0"/>
          <tpl fld="1" item="1"/>
        </tpls>
      </m>
      <m>
        <tpls c="4">
          <tpl fld="0" item="81"/>
          <tpl hier="3" item="1"/>
          <tpl fld="2" item="2"/>
          <tpl fld="1" item="0"/>
        </tpls>
      </m>
      <m>
        <tpls c="4">
          <tpl fld="0" item="81"/>
          <tpl hier="3" item="1"/>
          <tpl fld="2" item="2"/>
          <tpl fld="1" item="1"/>
        </tpls>
      </m>
      <n v="87128" in="0">
        <tpls c="4">
          <tpl fld="0" item="82"/>
          <tpl hier="3" item="1"/>
          <tpl fld="2" item="0"/>
          <tpl fld="1" item="0"/>
        </tpls>
      </n>
      <n v="2800" in="0">
        <tpls c="4">
          <tpl fld="0" item="82"/>
          <tpl hier="3" item="1"/>
          <tpl fld="2" item="0"/>
          <tpl fld="1" item="1"/>
        </tpls>
      </n>
      <m>
        <tpls c="4">
          <tpl fld="0" item="83"/>
          <tpl hier="3" item="1"/>
          <tpl fld="2" item="0"/>
          <tpl fld="1" item="0"/>
        </tpls>
      </m>
      <m>
        <tpls c="4">
          <tpl fld="0" item="83"/>
          <tpl hier="3" item="1"/>
          <tpl fld="2" item="0"/>
          <tpl fld="1" item="1"/>
        </tpls>
      </m>
      <m>
        <tpls c="4">
          <tpl fld="0" item="84"/>
          <tpl hier="3" item="1"/>
          <tpl fld="2" item="1"/>
          <tpl fld="1" item="0"/>
        </tpls>
      </m>
      <m>
        <tpls c="4">
          <tpl fld="0" item="84"/>
          <tpl hier="3" item="1"/>
          <tpl fld="2" item="1"/>
          <tpl fld="1" item="1"/>
        </tpls>
      </m>
      <m>
        <tpls c="4">
          <tpl fld="0" item="85"/>
          <tpl hier="3" item="1"/>
          <tpl fld="2" item="1"/>
          <tpl fld="1" item="0"/>
        </tpls>
      </m>
      <m>
        <tpls c="4">
          <tpl fld="0" item="85"/>
          <tpl hier="3" item="1"/>
          <tpl fld="2" item="1"/>
          <tpl fld="1" item="1"/>
        </tpls>
      </m>
      <m>
        <tpls c="4">
          <tpl fld="0" item="86"/>
          <tpl hier="3" item="1"/>
          <tpl fld="2" item="1"/>
          <tpl fld="1" item="0"/>
        </tpls>
      </m>
      <m>
        <tpls c="4">
          <tpl fld="0" item="86"/>
          <tpl hier="3" item="1"/>
          <tpl fld="2" item="1"/>
          <tpl fld="1" item="1"/>
        </tpls>
      </m>
      <m>
        <tpls c="4">
          <tpl fld="0" item="87"/>
          <tpl hier="3" item="1"/>
          <tpl fld="2" item="0"/>
          <tpl fld="1" item="0"/>
        </tpls>
      </m>
      <m>
        <tpls c="4">
          <tpl fld="0" item="87"/>
          <tpl hier="3" item="1"/>
          <tpl fld="2" item="0"/>
          <tpl fld="1" item="1"/>
        </tpls>
      </m>
      <n v="144928" in="0">
        <tpls c="4">
          <tpl fld="0" item="88"/>
          <tpl hier="3" item="1"/>
          <tpl fld="2" item="1"/>
          <tpl fld="1" item="0"/>
        </tpls>
      </n>
      <n v="6750" in="0">
        <tpls c="4">
          <tpl fld="0" item="88"/>
          <tpl hier="3" item="1"/>
          <tpl fld="2" item="1"/>
          <tpl fld="1" item="1"/>
        </tpls>
      </n>
      <n v="120035" in="0">
        <tpls c="4">
          <tpl fld="0" item="89"/>
          <tpl hier="3" item="1"/>
          <tpl fld="2" item="1"/>
          <tpl fld="1" item="0"/>
        </tpls>
      </n>
      <n v="9000" in="0">
        <tpls c="4">
          <tpl fld="0" item="89"/>
          <tpl hier="3" item="1"/>
          <tpl fld="2" item="1"/>
          <tpl fld="1" item="1"/>
        </tpls>
      </n>
      <n v="156097" in="0">
        <tpls c="4">
          <tpl fld="0" item="90"/>
          <tpl hier="3" item="1"/>
          <tpl fld="2" item="1"/>
          <tpl fld="1" item="0"/>
        </tpls>
      </n>
      <n v="9000" in="0">
        <tpls c="4">
          <tpl fld="0" item="90"/>
          <tpl hier="3" item="1"/>
          <tpl fld="2" item="1"/>
          <tpl fld="1" item="1"/>
        </tpls>
      </n>
      <m>
        <tpls c="4">
          <tpl fld="0" item="91"/>
          <tpl hier="3" item="1"/>
          <tpl fld="2" item="0"/>
          <tpl fld="1" item="0"/>
        </tpls>
      </m>
      <m>
        <tpls c="4">
          <tpl fld="0" item="91"/>
          <tpl hier="3" item="1"/>
          <tpl fld="2" item="0"/>
          <tpl fld="1" item="1"/>
        </tpls>
      </m>
      <m>
        <tpls c="4">
          <tpl fld="0" item="92"/>
          <tpl hier="3" item="1"/>
          <tpl fld="2" item="0"/>
          <tpl fld="1" item="0"/>
        </tpls>
      </m>
      <m>
        <tpls c="4">
          <tpl fld="0" item="92"/>
          <tpl hier="3" item="1"/>
          <tpl fld="2" item="0"/>
          <tpl fld="1" item="1"/>
        </tpls>
      </m>
      <n v="101542" in="0">
        <tpls c="4">
          <tpl fld="0" item="93"/>
          <tpl hier="3" item="1"/>
          <tpl fld="2" item="0"/>
          <tpl fld="1" item="0"/>
        </tpls>
      </n>
      <n v="4200" in="0">
        <tpls c="4">
          <tpl fld="0" item="93"/>
          <tpl hier="3" item="1"/>
          <tpl fld="2" item="0"/>
          <tpl fld="1" item="1"/>
        </tpls>
      </n>
      <m>
        <tpls c="4">
          <tpl fld="0" item="94"/>
          <tpl hier="3" item="1"/>
          <tpl fld="2" item="2"/>
          <tpl fld="1" item="0"/>
        </tpls>
      </m>
      <m>
        <tpls c="4">
          <tpl fld="0" item="94"/>
          <tpl hier="3" item="1"/>
          <tpl fld="2" item="2"/>
          <tpl fld="1" item="1"/>
        </tpls>
      </m>
      <m>
        <tpls c="4">
          <tpl fld="0" item="95"/>
          <tpl hier="3" item="1"/>
          <tpl fld="2" item="0"/>
          <tpl fld="1" item="0"/>
        </tpls>
      </m>
      <m>
        <tpls c="4">
          <tpl fld="0" item="95"/>
          <tpl hier="3" item="1"/>
          <tpl fld="2" item="0"/>
          <tpl fld="1" item="1"/>
        </tpls>
      </m>
      <n v="47639" in="0">
        <tpls c="4">
          <tpl fld="0" item="96"/>
          <tpl hier="3" item="1"/>
          <tpl fld="2" item="2"/>
          <tpl fld="1" item="0"/>
        </tpls>
      </n>
      <n v="1500" in="0">
        <tpls c="4">
          <tpl fld="0" item="96"/>
          <tpl hier="3" item="1"/>
          <tpl fld="2" item="2"/>
          <tpl fld="1" item="1"/>
        </tpls>
      </n>
      <m>
        <tpls c="4">
          <tpl fld="0" item="97"/>
          <tpl hier="3" item="1"/>
          <tpl fld="2" item="1"/>
          <tpl fld="1" item="0"/>
        </tpls>
      </m>
      <m>
        <tpls c="4">
          <tpl fld="0" item="97"/>
          <tpl hier="3" item="1"/>
          <tpl fld="2" item="1"/>
          <tpl fld="1" item="1"/>
        </tpls>
      </m>
      <m>
        <tpls c="4">
          <tpl fld="0" item="98"/>
          <tpl hier="3" item="1"/>
          <tpl fld="2" item="0"/>
          <tpl fld="1" item="0"/>
        </tpls>
      </m>
      <m>
        <tpls c="4">
          <tpl fld="0" item="98"/>
          <tpl hier="3" item="1"/>
          <tpl fld="2" item="0"/>
          <tpl fld="1" item="1"/>
        </tpls>
      </m>
      <m>
        <tpls c="4">
          <tpl fld="0" item="99"/>
          <tpl hier="3" item="1"/>
          <tpl fld="2" item="0"/>
          <tpl fld="1" item="0"/>
        </tpls>
      </m>
      <m>
        <tpls c="4">
          <tpl fld="0" item="99"/>
          <tpl hier="3" item="1"/>
          <tpl fld="2" item="0"/>
          <tpl fld="1" item="1"/>
        </tpls>
      </m>
      <m>
        <tpls c="4">
          <tpl fld="0" item="100"/>
          <tpl hier="3" item="1"/>
          <tpl fld="2" item="1"/>
          <tpl fld="1" item="0"/>
        </tpls>
      </m>
      <m>
        <tpls c="4">
          <tpl fld="0" item="100"/>
          <tpl hier="3" item="1"/>
          <tpl fld="2" item="1"/>
          <tpl fld="1" item="1"/>
        </tpls>
      </m>
      <m>
        <tpls c="4">
          <tpl fld="0" item="101"/>
          <tpl hier="3" item="1"/>
          <tpl fld="2" item="0"/>
          <tpl fld="1" item="0"/>
        </tpls>
      </m>
      <m>
        <tpls c="4">
          <tpl fld="0" item="101"/>
          <tpl hier="3" item="1"/>
          <tpl fld="2" item="0"/>
          <tpl fld="1" item="1"/>
        </tpls>
      </m>
      <n v="99333" in="0">
        <tpls c="4">
          <tpl fld="0" item="102"/>
          <tpl hier="3" item="1"/>
          <tpl fld="2" item="0"/>
          <tpl fld="1" item="0"/>
        </tpls>
      </n>
      <n v="4200" in="0">
        <tpls c="4">
          <tpl fld="0" item="102"/>
          <tpl hier="3" item="1"/>
          <tpl fld="2" item="0"/>
          <tpl fld="1" item="1"/>
        </tpls>
      </n>
      <n v="152988" in="0">
        <tpls c="4">
          <tpl fld="0" item="103"/>
          <tpl hier="3" item="1"/>
          <tpl fld="2" item="1"/>
          <tpl fld="1" item="0"/>
        </tpls>
      </n>
      <n v="6750" in="0">
        <tpls c="4">
          <tpl fld="0" item="103"/>
          <tpl hier="3" item="1"/>
          <tpl fld="2" item="1"/>
          <tpl fld="1" item="1"/>
        </tpls>
      </n>
      <n v="77688" in="0">
        <tpls c="4">
          <tpl fld="0" item="104"/>
          <tpl hier="3" item="1"/>
          <tpl fld="2" item="0"/>
          <tpl fld="1" item="0"/>
        </tpls>
      </n>
      <n v="2800" in="0">
        <tpls c="4">
          <tpl fld="0" item="104"/>
          <tpl hier="3" item="1"/>
          <tpl fld="2" item="0"/>
          <tpl fld="1" item="1"/>
        </tpls>
      </n>
      <m>
        <tpls c="4">
          <tpl fld="0" item="105"/>
          <tpl hier="3" item="1"/>
          <tpl fld="2" item="2"/>
          <tpl fld="1" item="0"/>
        </tpls>
      </m>
      <m>
        <tpls c="4">
          <tpl fld="0" item="105"/>
          <tpl hier="3" item="1"/>
          <tpl fld="2" item="2"/>
          <tpl fld="1" item="1"/>
        </tpls>
      </m>
      <m>
        <tpls c="4">
          <tpl fld="0" item="106"/>
          <tpl hier="3" item="1"/>
          <tpl fld="2" item="0"/>
          <tpl fld="1" item="0"/>
        </tpls>
      </m>
      <m>
        <tpls c="4">
          <tpl fld="0" item="106"/>
          <tpl hier="3" item="1"/>
          <tpl fld="2" item="0"/>
          <tpl fld="1" item="1"/>
        </tpls>
      </m>
      <m>
        <tpls c="4">
          <tpl fld="0" item="107"/>
          <tpl hier="3" item="1"/>
          <tpl fld="2" item="0"/>
          <tpl fld="1" item="0"/>
        </tpls>
      </m>
      <m>
        <tpls c="4">
          <tpl fld="0" item="107"/>
          <tpl hier="3" item="1"/>
          <tpl fld="2" item="0"/>
          <tpl fld="1" item="1"/>
        </tpls>
      </m>
      <m>
        <tpls c="4">
          <tpl fld="0" item="108"/>
          <tpl hier="3" item="1"/>
          <tpl fld="2" item="1"/>
          <tpl fld="1" item="0"/>
        </tpls>
      </m>
      <m>
        <tpls c="4">
          <tpl fld="0" item="108"/>
          <tpl hier="3" item="1"/>
          <tpl fld="2" item="1"/>
          <tpl fld="1" item="1"/>
        </tpls>
      </m>
      <m>
        <tpls c="4">
          <tpl fld="0" item="109"/>
          <tpl hier="3" item="1"/>
          <tpl fld="2" item="1"/>
          <tpl fld="1" item="0"/>
        </tpls>
      </m>
      <m>
        <tpls c="4">
          <tpl fld="0" item="109"/>
          <tpl hier="3" item="1"/>
          <tpl fld="2" item="1"/>
          <tpl fld="1" item="1"/>
        </tpls>
      </m>
      <m>
        <tpls c="4">
          <tpl fld="0" item="110"/>
          <tpl hier="3" item="1"/>
          <tpl fld="2" item="1"/>
          <tpl fld="1" item="0"/>
        </tpls>
      </m>
      <m>
        <tpls c="4">
          <tpl fld="0" item="110"/>
          <tpl hier="3" item="1"/>
          <tpl fld="2" item="1"/>
          <tpl fld="1" item="1"/>
        </tpls>
      </m>
      <m>
        <tpls c="4">
          <tpl fld="0" item="111"/>
          <tpl hier="3" item="1"/>
          <tpl fld="2" item="1"/>
          <tpl fld="1" item="0"/>
        </tpls>
      </m>
      <m>
        <tpls c="4">
          <tpl fld="0" item="111"/>
          <tpl hier="3" item="1"/>
          <tpl fld="2" item="1"/>
          <tpl fld="1" item="1"/>
        </tpls>
      </m>
      <m>
        <tpls c="4">
          <tpl fld="0" item="112"/>
          <tpl hier="3" item="1"/>
          <tpl fld="2" item="1"/>
          <tpl fld="1" item="0"/>
        </tpls>
      </m>
      <m>
        <tpls c="4">
          <tpl fld="0" item="112"/>
          <tpl hier="3" item="1"/>
          <tpl fld="2" item="1"/>
          <tpl fld="1" item="1"/>
        </tpls>
      </m>
      <m>
        <tpls c="4">
          <tpl fld="0" item="113"/>
          <tpl hier="3" item="1"/>
          <tpl fld="2" item="0"/>
          <tpl fld="1" item="0"/>
        </tpls>
      </m>
      <m>
        <tpls c="4">
          <tpl fld="0" item="113"/>
          <tpl hier="3" item="1"/>
          <tpl fld="2" item="0"/>
          <tpl fld="1" item="1"/>
        </tpls>
      </m>
      <m>
        <tpls c="4">
          <tpl fld="0" item="114"/>
          <tpl hier="3" item="1"/>
          <tpl fld="2" item="1"/>
          <tpl fld="1" item="0"/>
        </tpls>
      </m>
      <m>
        <tpls c="4">
          <tpl fld="0" item="114"/>
          <tpl hier="3" item="1"/>
          <tpl fld="2" item="1"/>
          <tpl fld="1" item="1"/>
        </tpls>
      </m>
      <n v="116825" in="0">
        <tpls c="4">
          <tpl fld="0" item="115"/>
          <tpl hier="3" item="1"/>
          <tpl fld="2" item="0"/>
          <tpl fld="1" item="0"/>
        </tpls>
      </n>
      <n v="2800" in="0">
        <tpls c="4">
          <tpl fld="0" item="115"/>
          <tpl hier="3" item="1"/>
          <tpl fld="2" item="0"/>
          <tpl fld="1" item="1"/>
        </tpls>
      </n>
      <m>
        <tpls c="4">
          <tpl fld="0" item="116"/>
          <tpl hier="3" item="1"/>
          <tpl fld="2" item="1"/>
          <tpl fld="1" item="0"/>
        </tpls>
      </m>
      <m>
        <tpls c="4">
          <tpl fld="0" item="116"/>
          <tpl hier="3" item="1"/>
          <tpl fld="2" item="1"/>
          <tpl fld="1" item="1"/>
        </tpls>
      </m>
      <m>
        <tpls c="4">
          <tpl fld="0" item="117"/>
          <tpl hier="3" item="1"/>
          <tpl fld="2" item="1"/>
          <tpl fld="1" item="0"/>
        </tpls>
      </m>
      <m>
        <tpls c="4">
          <tpl fld="0" item="117"/>
          <tpl hier="3" item="1"/>
          <tpl fld="2" item="1"/>
          <tpl fld="1" item="1"/>
        </tpls>
      </m>
      <m>
        <tpls c="4">
          <tpl fld="0" item="118"/>
          <tpl hier="3" item="1"/>
          <tpl fld="2" item="0"/>
          <tpl fld="1" item="0"/>
        </tpls>
      </m>
      <m>
        <tpls c="4">
          <tpl fld="0" item="118"/>
          <tpl hier="3" item="1"/>
          <tpl fld="2" item="0"/>
          <tpl fld="1" item="1"/>
        </tpls>
      </m>
      <m>
        <tpls c="4">
          <tpl fld="0" item="119"/>
          <tpl hier="3" item="1"/>
          <tpl fld="2" item="0"/>
          <tpl fld="1" item="0"/>
        </tpls>
      </m>
      <m>
        <tpls c="4">
          <tpl fld="0" item="119"/>
          <tpl hier="3" item="1"/>
          <tpl fld="2" item="0"/>
          <tpl fld="1" item="1"/>
        </tpls>
      </m>
      <m>
        <tpls c="4">
          <tpl fld="0" item="120"/>
          <tpl hier="3" item="1"/>
          <tpl fld="2" item="0"/>
          <tpl fld="1" item="0"/>
        </tpls>
      </m>
      <m>
        <tpls c="4">
          <tpl fld="0" item="120"/>
          <tpl hier="3" item="1"/>
          <tpl fld="2" item="0"/>
          <tpl fld="1" item="1"/>
        </tpls>
      </m>
      <n v="101486" in="0">
        <tpls c="4">
          <tpl fld="0" item="121"/>
          <tpl hier="3" item="1"/>
          <tpl fld="2" item="0"/>
          <tpl fld="1" item="0"/>
        </tpls>
      </n>
      <n v="2800" in="0">
        <tpls c="4">
          <tpl fld="0" item="121"/>
          <tpl hier="3" item="1"/>
          <tpl fld="2" item="0"/>
          <tpl fld="1" item="1"/>
        </tpls>
      </n>
      <m>
        <tpls c="4">
          <tpl fld="0" item="122"/>
          <tpl hier="3" item="1"/>
          <tpl fld="2" item="1"/>
          <tpl fld="1" item="0"/>
        </tpls>
      </m>
      <m>
        <tpls c="4">
          <tpl fld="0" item="122"/>
          <tpl hier="3" item="1"/>
          <tpl fld="2" item="1"/>
          <tpl fld="1" item="1"/>
        </tpls>
      </m>
      <m>
        <tpls c="4">
          <tpl fld="0" item="123"/>
          <tpl hier="3" item="1"/>
          <tpl fld="2" item="1"/>
          <tpl fld="1" item="0"/>
        </tpls>
      </m>
      <m>
        <tpls c="4">
          <tpl fld="0" item="123"/>
          <tpl hier="3" item="1"/>
          <tpl fld="2" item="1"/>
          <tpl fld="1" item="1"/>
        </tpls>
      </m>
      <n v="38296" in="0">
        <tpls c="4">
          <tpl fld="0" item="124"/>
          <tpl hier="3" item="1"/>
          <tpl fld="2" item="2"/>
          <tpl fld="1" item="0"/>
        </tpls>
      </n>
      <n v="1500" in="0">
        <tpls c="4">
          <tpl fld="0" item="124"/>
          <tpl hier="3" item="1"/>
          <tpl fld="2" item="2"/>
          <tpl fld="1" item="1"/>
        </tpls>
      </n>
      <m>
        <tpls c="4">
          <tpl fld="0" item="125"/>
          <tpl hier="3" item="1"/>
          <tpl fld="2" item="0"/>
          <tpl fld="1" item="0"/>
        </tpls>
      </m>
      <m>
        <tpls c="4">
          <tpl fld="0" item="125"/>
          <tpl hier="3" item="1"/>
          <tpl fld="2" item="0"/>
          <tpl fld="1" item="1"/>
        </tpls>
      </m>
      <m>
        <tpls c="4">
          <tpl fld="0" item="126"/>
          <tpl hier="3" item="1"/>
          <tpl fld="2" item="0"/>
          <tpl fld="1" item="0"/>
        </tpls>
      </m>
      <m>
        <tpls c="4">
          <tpl fld="0" item="126"/>
          <tpl hier="3" item="1"/>
          <tpl fld="2" item="0"/>
          <tpl fld="1" item="1"/>
        </tpls>
      </m>
      <m>
        <tpls c="4">
          <tpl fld="0" item="127"/>
          <tpl hier="3" item="1"/>
          <tpl fld="2" item="0"/>
          <tpl fld="1" item="0"/>
        </tpls>
      </m>
      <m>
        <tpls c="4">
          <tpl fld="0" item="127"/>
          <tpl hier="3" item="1"/>
          <tpl fld="2" item="0"/>
          <tpl fld="1" item="1"/>
        </tpls>
      </m>
      <m>
        <tpls c="4">
          <tpl fld="0" item="128"/>
          <tpl hier="3" item="1"/>
          <tpl fld="2" item="0"/>
          <tpl fld="1" item="0"/>
        </tpls>
      </m>
      <m>
        <tpls c="4">
          <tpl fld="0" item="128"/>
          <tpl hier="3" item="1"/>
          <tpl fld="2" item="0"/>
          <tpl fld="1" item="1"/>
        </tpls>
      </m>
      <m>
        <tpls c="4">
          <tpl fld="0" item="129"/>
          <tpl hier="3" item="1"/>
          <tpl fld="2" item="0"/>
          <tpl fld="1" item="0"/>
        </tpls>
      </m>
      <m>
        <tpls c="4">
          <tpl fld="0" item="129"/>
          <tpl hier="3" item="1"/>
          <tpl fld="2" item="0"/>
          <tpl fld="1" item="1"/>
        </tpls>
      </m>
      <m>
        <tpls c="4">
          <tpl fld="0" item="130"/>
          <tpl hier="3" item="1"/>
          <tpl fld="2" item="1"/>
          <tpl fld="1" item="0"/>
        </tpls>
      </m>
      <m>
        <tpls c="4">
          <tpl fld="0" item="130"/>
          <tpl hier="3" item="1"/>
          <tpl fld="2" item="1"/>
          <tpl fld="1" item="1"/>
        </tpls>
      </m>
      <m>
        <tpls c="4">
          <tpl fld="0" item="131"/>
          <tpl hier="3" item="1"/>
          <tpl fld="2" item="0"/>
          <tpl fld="1" item="0"/>
        </tpls>
      </m>
      <m>
        <tpls c="4">
          <tpl fld="0" item="131"/>
          <tpl hier="3" item="1"/>
          <tpl fld="2" item="0"/>
          <tpl fld="1" item="1"/>
        </tpls>
      </m>
      <n v="113887" in="0">
        <tpls c="4">
          <tpl fld="0" item="132"/>
          <tpl hier="3" item="1"/>
          <tpl fld="2" item="0"/>
          <tpl fld="1" item="0"/>
        </tpls>
      </n>
      <n v="2800" in="0">
        <tpls c="4">
          <tpl fld="0" item="132"/>
          <tpl hier="3" item="1"/>
          <tpl fld="2" item="0"/>
          <tpl fld="1" item="1"/>
        </tpls>
      </n>
      <m>
        <tpls c="4">
          <tpl fld="0" item="133"/>
          <tpl hier="3" item="1"/>
          <tpl fld="2" item="1"/>
          <tpl fld="1" item="0"/>
        </tpls>
      </m>
      <m>
        <tpls c="4">
          <tpl fld="0" item="133"/>
          <tpl hier="3" item="1"/>
          <tpl fld="2" item="1"/>
          <tpl fld="1" item="1"/>
        </tpls>
      </m>
      <m>
        <tpls c="4">
          <tpl fld="0" item="134"/>
          <tpl hier="3" item="1"/>
          <tpl fld="2" item="0"/>
          <tpl fld="1" item="0"/>
        </tpls>
      </m>
      <m>
        <tpls c="4">
          <tpl fld="0" item="134"/>
          <tpl hier="3" item="1"/>
          <tpl fld="2" item="0"/>
          <tpl fld="1" item="1"/>
        </tpls>
      </m>
      <m>
        <tpls c="4">
          <tpl fld="0" item="135"/>
          <tpl hier="3" item="1"/>
          <tpl fld="2" item="1"/>
          <tpl fld="1" item="0"/>
        </tpls>
      </m>
      <m>
        <tpls c="4">
          <tpl fld="0" item="135"/>
          <tpl hier="3" item="1"/>
          <tpl fld="2" item="1"/>
          <tpl fld="1" item="1"/>
        </tpls>
      </m>
      <m>
        <tpls c="4">
          <tpl fld="0" item="136"/>
          <tpl hier="3" item="1"/>
          <tpl fld="2" item="1"/>
          <tpl fld="1" item="0"/>
        </tpls>
      </m>
      <m>
        <tpls c="4">
          <tpl fld="0" item="136"/>
          <tpl hier="3" item="1"/>
          <tpl fld="2" item="1"/>
          <tpl fld="1" item="1"/>
        </tpls>
      </m>
      <m>
        <tpls c="4">
          <tpl fld="0" item="137"/>
          <tpl hier="3" item="1"/>
          <tpl fld="2" item="0"/>
          <tpl fld="1" item="0"/>
        </tpls>
      </m>
      <m>
        <tpls c="4">
          <tpl fld="0" item="137"/>
          <tpl hier="3" item="1"/>
          <tpl fld="2" item="0"/>
          <tpl fld="1" item="1"/>
        </tpls>
      </m>
      <m>
        <tpls c="4">
          <tpl fld="0" item="138"/>
          <tpl hier="3" item="1"/>
          <tpl fld="2" item="0"/>
          <tpl fld="1" item="0"/>
        </tpls>
      </m>
      <m>
        <tpls c="4">
          <tpl fld="0" item="138"/>
          <tpl hier="3" item="1"/>
          <tpl fld="2" item="0"/>
          <tpl fld="1" item="1"/>
        </tpls>
      </m>
      <m>
        <tpls c="4">
          <tpl fld="0" item="139"/>
          <tpl hier="3" item="1"/>
          <tpl fld="2" item="0"/>
          <tpl fld="1" item="0"/>
        </tpls>
      </m>
      <m>
        <tpls c="4">
          <tpl fld="0" item="139"/>
          <tpl hier="3" item="1"/>
          <tpl fld="2" item="0"/>
          <tpl fld="1" item="1"/>
        </tpls>
      </m>
      <m>
        <tpls c="4">
          <tpl fld="0" item="140"/>
          <tpl hier="3" item="1"/>
          <tpl fld="2" item="2"/>
          <tpl fld="1" item="0"/>
        </tpls>
      </m>
      <m>
        <tpls c="4">
          <tpl fld="0" item="140"/>
          <tpl hier="3" item="1"/>
          <tpl fld="2" item="2"/>
          <tpl fld="1" item="1"/>
        </tpls>
      </m>
      <m>
        <tpls c="4">
          <tpl fld="0" item="141"/>
          <tpl hier="3" item="1"/>
          <tpl fld="2" item="1"/>
          <tpl fld="1" item="0"/>
        </tpls>
      </m>
      <m>
        <tpls c="4">
          <tpl fld="0" item="141"/>
          <tpl hier="3" item="1"/>
          <tpl fld="2" item="1"/>
          <tpl fld="1" item="1"/>
        </tpls>
      </m>
      <m>
        <tpls c="4">
          <tpl fld="0" item="142"/>
          <tpl hier="3" item="1"/>
          <tpl fld="2" item="0"/>
          <tpl fld="1" item="0"/>
        </tpls>
      </m>
      <m>
        <tpls c="4">
          <tpl fld="0" item="142"/>
          <tpl hier="3" item="1"/>
          <tpl fld="2" item="0"/>
          <tpl fld="1" item="1"/>
        </tpls>
      </m>
      <n v="52575" in="0">
        <tpls c="4">
          <tpl fld="0" item="143"/>
          <tpl hier="3" item="1"/>
          <tpl fld="2" item="2"/>
          <tpl fld="1" item="0"/>
        </tpls>
      </n>
      <n v="1500" in="0">
        <tpls c="4">
          <tpl fld="0" item="143"/>
          <tpl hier="3" item="1"/>
          <tpl fld="2" item="2"/>
          <tpl fld="1" item="1"/>
        </tpls>
      </n>
      <m>
        <tpls c="4">
          <tpl fld="0" item="144"/>
          <tpl hier="3" item="1"/>
          <tpl fld="2" item="0"/>
          <tpl fld="1" item="0"/>
        </tpls>
      </m>
      <m>
        <tpls c="4">
          <tpl fld="0" item="144"/>
          <tpl hier="3" item="1"/>
          <tpl fld="2" item="0"/>
          <tpl fld="1" item="1"/>
        </tpls>
      </m>
      <n v="190571" in="0">
        <tpls c="4">
          <tpl fld="0" item="145"/>
          <tpl hier="3" item="1"/>
          <tpl fld="2" item="1"/>
          <tpl fld="1" item="0"/>
        </tpls>
      </n>
      <n v="9000" in="0">
        <tpls c="4">
          <tpl fld="0" item="145"/>
          <tpl hier="3" item="1"/>
          <tpl fld="2" item="1"/>
          <tpl fld="1" item="1"/>
        </tpls>
      </n>
      <m>
        <tpls c="4">
          <tpl fld="0" item="146"/>
          <tpl hier="3" item="1"/>
          <tpl fld="2" item="0"/>
          <tpl fld="1" item="0"/>
        </tpls>
      </m>
      <m>
        <tpls c="4">
          <tpl fld="0" item="146"/>
          <tpl hier="3" item="1"/>
          <tpl fld="2" item="0"/>
          <tpl fld="1" item="1"/>
        </tpls>
      </m>
      <m>
        <tpls c="4">
          <tpl fld="0" item="147"/>
          <tpl hier="3" item="1"/>
          <tpl fld="2" item="0"/>
          <tpl fld="1" item="0"/>
        </tpls>
      </m>
      <m>
        <tpls c="4">
          <tpl fld="0" item="147"/>
          <tpl hier="3" item="1"/>
          <tpl fld="2" item="0"/>
          <tpl fld="1" item="1"/>
        </tpls>
      </m>
      <m>
        <tpls c="4">
          <tpl fld="0" item="148"/>
          <tpl hier="3" item="1"/>
          <tpl fld="2" item="0"/>
          <tpl fld="1" item="0"/>
        </tpls>
      </m>
      <m>
        <tpls c="4">
          <tpl fld="0" item="148"/>
          <tpl hier="3" item="1"/>
          <tpl fld="2" item="0"/>
          <tpl fld="1" item="1"/>
        </tpls>
      </m>
      <m>
        <tpls c="4">
          <tpl fld="0" item="149"/>
          <tpl hier="3" item="1"/>
          <tpl fld="2" item="1"/>
          <tpl fld="1" item="0"/>
        </tpls>
      </m>
      <m>
        <tpls c="4">
          <tpl fld="0" item="149"/>
          <tpl hier="3" item="1"/>
          <tpl fld="2" item="1"/>
          <tpl fld="1" item="1"/>
        </tpls>
      </m>
      <m>
        <tpls c="4">
          <tpl fld="0" item="150"/>
          <tpl hier="3" item="1"/>
          <tpl fld="2" item="0"/>
          <tpl fld="1" item="0"/>
        </tpls>
      </m>
      <m>
        <tpls c="4">
          <tpl fld="0" item="150"/>
          <tpl hier="3" item="1"/>
          <tpl fld="2" item="0"/>
          <tpl fld="1" item="1"/>
        </tpls>
      </m>
      <m>
        <tpls c="4">
          <tpl fld="0" item="151"/>
          <tpl hier="3" item="1"/>
          <tpl fld="2" item="1"/>
          <tpl fld="1" item="0"/>
        </tpls>
      </m>
      <m>
        <tpls c="4">
          <tpl fld="0" item="151"/>
          <tpl hier="3" item="1"/>
          <tpl fld="2" item="1"/>
          <tpl fld="1" item="1"/>
        </tpls>
      </m>
      <m>
        <tpls c="4">
          <tpl fld="0" item="152"/>
          <tpl hier="3" item="1"/>
          <tpl fld="2" item="1"/>
          <tpl fld="1" item="0"/>
        </tpls>
      </m>
      <m>
        <tpls c="4">
          <tpl fld="0" item="152"/>
          <tpl hier="3" item="1"/>
          <tpl fld="2" item="1"/>
          <tpl fld="1" item="1"/>
        </tpls>
      </m>
      <m>
        <tpls c="4">
          <tpl fld="0" item="153"/>
          <tpl hier="3" item="1"/>
          <tpl fld="2" item="0"/>
          <tpl fld="1" item="0"/>
        </tpls>
      </m>
      <m>
        <tpls c="4">
          <tpl fld="0" item="153"/>
          <tpl hier="3" item="1"/>
          <tpl fld="2" item="0"/>
          <tpl fld="1" item="1"/>
        </tpls>
      </m>
      <m>
        <tpls c="4">
          <tpl fld="0" item="154"/>
          <tpl hier="3" item="1"/>
          <tpl fld="2" item="1"/>
          <tpl fld="1" item="0"/>
        </tpls>
      </m>
      <m>
        <tpls c="4">
          <tpl fld="0" item="154"/>
          <tpl hier="3" item="1"/>
          <tpl fld="2" item="1"/>
          <tpl fld="1" item="1"/>
        </tpls>
      </m>
      <m>
        <tpls c="4">
          <tpl fld="0" item="155"/>
          <tpl hier="3" item="1"/>
          <tpl fld="2" item="0"/>
          <tpl fld="1" item="0"/>
        </tpls>
      </m>
      <m>
        <tpls c="4">
          <tpl fld="0" item="155"/>
          <tpl hier="3" item="1"/>
          <tpl fld="2" item="0"/>
          <tpl fld="1" item="1"/>
        </tpls>
      </m>
      <m>
        <tpls c="4">
          <tpl fld="0" item="156"/>
          <tpl hier="3" item="1"/>
          <tpl fld="2" item="1"/>
          <tpl fld="1" item="0"/>
        </tpls>
      </m>
      <m>
        <tpls c="4">
          <tpl fld="0" item="156"/>
          <tpl hier="3" item="1"/>
          <tpl fld="2" item="1"/>
          <tpl fld="1" item="1"/>
        </tpls>
      </m>
      <m>
        <tpls c="4">
          <tpl fld="0" item="157"/>
          <tpl hier="3" item="1"/>
          <tpl fld="2" item="1"/>
          <tpl fld="1" item="0"/>
        </tpls>
      </m>
      <m>
        <tpls c="4">
          <tpl fld="0" item="157"/>
          <tpl hier="3" item="1"/>
          <tpl fld="2" item="1"/>
          <tpl fld="1" item="1"/>
        </tpls>
      </m>
      <m>
        <tpls c="4">
          <tpl fld="0" item="158"/>
          <tpl hier="3" item="1"/>
          <tpl fld="2" item="0"/>
          <tpl fld="1" item="0"/>
        </tpls>
      </m>
      <m>
        <tpls c="4">
          <tpl fld="0" item="158"/>
          <tpl hier="3" item="1"/>
          <tpl fld="2" item="0"/>
          <tpl fld="1" item="1"/>
        </tpls>
      </m>
      <n v="59897" in="0">
        <tpls c="4">
          <tpl fld="0" item="159"/>
          <tpl hier="3" item="1"/>
          <tpl fld="2" item="2"/>
          <tpl fld="1" item="0"/>
        </tpls>
      </n>
      <n v="1500" in="0">
        <tpls c="4">
          <tpl fld="0" item="159"/>
          <tpl hier="3" item="1"/>
          <tpl fld="2" item="2"/>
          <tpl fld="1" item="1"/>
        </tpls>
      </n>
      <m>
        <tpls c="4">
          <tpl fld="0" item="160"/>
          <tpl hier="3" item="1"/>
          <tpl fld="2" item="1"/>
          <tpl fld="1" item="0"/>
        </tpls>
      </m>
      <m>
        <tpls c="4">
          <tpl fld="0" item="160"/>
          <tpl hier="3" item="1"/>
          <tpl fld="2" item="1"/>
          <tpl fld="1" item="1"/>
        </tpls>
      </m>
      <n v="88290" in="0">
        <tpls c="4">
          <tpl fld="0" item="161"/>
          <tpl hier="3" item="1"/>
          <tpl fld="2" item="0"/>
          <tpl fld="1" item="0"/>
        </tpls>
      </n>
      <n v="4200" in="0">
        <tpls c="4">
          <tpl fld="0" item="161"/>
          <tpl hier="3" item="1"/>
          <tpl fld="2" item="0"/>
          <tpl fld="1" item="1"/>
        </tpls>
      </n>
      <m>
        <tpls c="4">
          <tpl fld="0" item="162"/>
          <tpl hier="3" item="1"/>
          <tpl fld="2" item="0"/>
          <tpl fld="1" item="0"/>
        </tpls>
      </m>
      <m>
        <tpls c="4">
          <tpl fld="0" item="162"/>
          <tpl hier="3" item="1"/>
          <tpl fld="2" item="0"/>
          <tpl fld="1" item="1"/>
        </tpls>
      </m>
      <n v="50091" in="0">
        <tpls c="4">
          <tpl fld="0" item="163"/>
          <tpl hier="3" item="1"/>
          <tpl fld="2" item="2"/>
          <tpl fld="1" item="0"/>
        </tpls>
      </n>
      <n v="1500" in="0">
        <tpls c="4">
          <tpl fld="0" item="163"/>
          <tpl hier="3" item="1"/>
          <tpl fld="2" item="2"/>
          <tpl fld="1" item="1"/>
        </tpls>
      </n>
      <m>
        <tpls c="4">
          <tpl fld="0" item="164"/>
          <tpl hier="3" item="1"/>
          <tpl fld="2" item="1"/>
          <tpl fld="1" item="0"/>
        </tpls>
      </m>
      <m>
        <tpls c="4">
          <tpl fld="0" item="164"/>
          <tpl hier="3" item="1"/>
          <tpl fld="2" item="1"/>
          <tpl fld="1" item="1"/>
        </tpls>
      </m>
      <n v="138582" in="0">
        <tpls c="4">
          <tpl fld="0" item="165"/>
          <tpl hier="3" item="1"/>
          <tpl fld="2" item="1"/>
          <tpl fld="1" item="0"/>
        </tpls>
      </n>
      <n v="6750" in="0">
        <tpls c="4">
          <tpl fld="0" item="165"/>
          <tpl hier="3" item="1"/>
          <tpl fld="2" item="1"/>
          <tpl fld="1" item="1"/>
        </tpls>
      </n>
      <n v="42814" in="0">
        <tpls c="4">
          <tpl fld="0" item="166"/>
          <tpl hier="3" item="1"/>
          <tpl fld="2" item="2"/>
          <tpl fld="1" item="0"/>
        </tpls>
      </n>
      <n v="1500" in="0">
        <tpls c="4">
          <tpl fld="0" item="166"/>
          <tpl hier="3" item="1"/>
          <tpl fld="2" item="2"/>
          <tpl fld="1" item="1"/>
        </tpls>
      </n>
      <m>
        <tpls c="4">
          <tpl fld="0" item="167"/>
          <tpl hier="3" item="1"/>
          <tpl fld="2" item="0"/>
          <tpl fld="1" item="0"/>
        </tpls>
      </m>
      <m>
        <tpls c="4">
          <tpl fld="0" item="167"/>
          <tpl hier="3" item="1"/>
          <tpl fld="2" item="0"/>
          <tpl fld="1" item="1"/>
        </tpls>
      </m>
      <m>
        <tpls c="4">
          <tpl fld="0" item="168"/>
          <tpl hier="3" item="1"/>
          <tpl fld="2" item="0"/>
          <tpl fld="1" item="0"/>
        </tpls>
      </m>
      <m>
        <tpls c="4">
          <tpl fld="0" item="168"/>
          <tpl hier="3" item="1"/>
          <tpl fld="2" item="0"/>
          <tpl fld="1" item="1"/>
        </tpls>
      </m>
      <m>
        <tpls c="4">
          <tpl fld="0" item="169"/>
          <tpl hier="3" item="1"/>
          <tpl fld="2" item="1"/>
          <tpl fld="1" item="0"/>
        </tpls>
      </m>
      <m>
        <tpls c="4">
          <tpl fld="0" item="169"/>
          <tpl hier="3" item="1"/>
          <tpl fld="2" item="1"/>
          <tpl fld="1" item="1"/>
        </tpls>
      </m>
      <m>
        <tpls c="4">
          <tpl fld="0" item="170"/>
          <tpl hier="3" item="1"/>
          <tpl fld="2" item="0"/>
          <tpl fld="1" item="0"/>
        </tpls>
      </m>
      <m>
        <tpls c="4">
          <tpl fld="0" item="170"/>
          <tpl hier="3" item="1"/>
          <tpl fld="2" item="0"/>
          <tpl fld="1" item="1"/>
        </tpls>
      </m>
      <m>
        <tpls c="4">
          <tpl fld="0" item="171"/>
          <tpl hier="3" item="1"/>
          <tpl fld="2" item="1"/>
          <tpl fld="1" item="0"/>
        </tpls>
      </m>
      <m>
        <tpls c="4">
          <tpl fld="0" item="171"/>
          <tpl hier="3" item="1"/>
          <tpl fld="2" item="1"/>
          <tpl fld="1" item="1"/>
        </tpls>
      </m>
      <m>
        <tpls c="4">
          <tpl fld="0" item="172"/>
          <tpl hier="3" item="1"/>
          <tpl fld="2" item="0"/>
          <tpl fld="1" item="0"/>
        </tpls>
      </m>
      <m>
        <tpls c="4">
          <tpl fld="0" item="172"/>
          <tpl hier="3" item="1"/>
          <tpl fld="2" item="0"/>
          <tpl fld="1" item="1"/>
        </tpls>
      </m>
      <m>
        <tpls c="4">
          <tpl fld="0" item="173"/>
          <tpl hier="3" item="1"/>
          <tpl fld="2" item="1"/>
          <tpl fld="1" item="0"/>
        </tpls>
      </m>
      <m>
        <tpls c="4">
          <tpl fld="0" item="173"/>
          <tpl hier="3" item="1"/>
          <tpl fld="2" item="1"/>
          <tpl fld="1" item="1"/>
        </tpls>
      </m>
      <n v="66897" in="0">
        <tpls c="4">
          <tpl fld="0" item="174"/>
          <tpl hier="3" item="1"/>
          <tpl fld="2" item="0"/>
          <tpl fld="1" item="0"/>
        </tpls>
      </n>
      <n v="4200" in="0">
        <tpls c="4">
          <tpl fld="0" item="174"/>
          <tpl hier="3" item="1"/>
          <tpl fld="2" item="0"/>
          <tpl fld="1" item="1"/>
        </tpls>
      </n>
      <n v="90723" in="0">
        <tpls c="4">
          <tpl fld="0" item="175"/>
          <tpl hier="3" item="1"/>
          <tpl fld="2" item="0"/>
          <tpl fld="1" item="0"/>
        </tpls>
      </n>
      <n v="4200" in="0">
        <tpls c="4">
          <tpl fld="0" item="175"/>
          <tpl hier="3" item="1"/>
          <tpl fld="2" item="0"/>
          <tpl fld="1" item="1"/>
        </tpls>
      </n>
      <m>
        <tpls c="4">
          <tpl fld="0" item="176"/>
          <tpl hier="3" item="1"/>
          <tpl fld="2" item="0"/>
          <tpl fld="1" item="0"/>
        </tpls>
      </m>
      <m>
        <tpls c="4">
          <tpl fld="0" item="176"/>
          <tpl hier="3" item="1"/>
          <tpl fld="2" item="0"/>
          <tpl fld="1" item="1"/>
        </tpls>
      </m>
      <m>
        <tpls c="4">
          <tpl fld="0" item="177"/>
          <tpl hier="3" item="1"/>
          <tpl fld="2" item="1"/>
          <tpl fld="1" item="0"/>
        </tpls>
      </m>
      <m>
        <tpls c="4">
          <tpl fld="0" item="177"/>
          <tpl hier="3" item="1"/>
          <tpl fld="2" item="1"/>
          <tpl fld="1" item="1"/>
        </tpls>
      </m>
      <m>
        <tpls c="4">
          <tpl fld="0" item="178"/>
          <tpl hier="3" item="1"/>
          <tpl fld="2" item="1"/>
          <tpl fld="1" item="0"/>
        </tpls>
      </m>
      <m>
        <tpls c="4">
          <tpl fld="0" item="178"/>
          <tpl hier="3" item="1"/>
          <tpl fld="2" item="1"/>
          <tpl fld="1" item="1"/>
        </tpls>
      </m>
      <m>
        <tpls c="4">
          <tpl fld="0" item="179"/>
          <tpl hier="3" item="1"/>
          <tpl fld="2" item="0"/>
          <tpl fld="1" item="0"/>
        </tpls>
      </m>
      <m>
        <tpls c="4">
          <tpl fld="0" item="179"/>
          <tpl hier="3" item="1"/>
          <tpl fld="2" item="0"/>
          <tpl fld="1" item="1"/>
        </tpls>
      </m>
      <n v="135585" in="0">
        <tpls c="4">
          <tpl fld="0" item="180"/>
          <tpl hier="3" item="1"/>
          <tpl fld="2" item="1"/>
          <tpl fld="1" item="0"/>
        </tpls>
      </n>
      <n v="9000" in="0">
        <tpls c="4">
          <tpl fld="0" item="180"/>
          <tpl hier="3" item="1"/>
          <tpl fld="2" item="1"/>
          <tpl fld="1" item="1"/>
        </tpls>
      </n>
      <m>
        <tpls c="4">
          <tpl fld="0" item="181"/>
          <tpl hier="3" item="1"/>
          <tpl fld="2" item="1"/>
          <tpl fld="1" item="0"/>
        </tpls>
      </m>
      <m>
        <tpls c="4">
          <tpl fld="0" item="181"/>
          <tpl hier="3" item="1"/>
          <tpl fld="2" item="1"/>
          <tpl fld="1" item="1"/>
        </tpls>
      </m>
      <m>
        <tpls c="4">
          <tpl fld="0" item="182"/>
          <tpl hier="3" item="1"/>
          <tpl fld="2" item="0"/>
          <tpl fld="1" item="0"/>
        </tpls>
      </m>
      <m>
        <tpls c="4">
          <tpl fld="0" item="182"/>
          <tpl hier="3" item="1"/>
          <tpl fld="2" item="0"/>
          <tpl fld="1" item="1"/>
        </tpls>
      </m>
      <m>
        <tpls c="4">
          <tpl fld="0" item="183"/>
          <tpl hier="3" item="1"/>
          <tpl fld="2" item="0"/>
          <tpl fld="1" item="0"/>
        </tpls>
      </m>
      <m>
        <tpls c="4">
          <tpl fld="0" item="183"/>
          <tpl hier="3" item="1"/>
          <tpl fld="2" item="0"/>
          <tpl fld="1" item="1"/>
        </tpls>
      </m>
      <m>
        <tpls c="4">
          <tpl fld="0" item="184"/>
          <tpl hier="3" item="1"/>
          <tpl fld="2" item="0"/>
          <tpl fld="1" item="0"/>
        </tpls>
      </m>
      <m>
        <tpls c="4">
          <tpl fld="0" item="184"/>
          <tpl hier="3" item="1"/>
          <tpl fld="2" item="0"/>
          <tpl fld="1" item="1"/>
        </tpls>
      </m>
      <m>
        <tpls c="4">
          <tpl fld="0" item="185"/>
          <tpl hier="3" item="1"/>
          <tpl fld="2" item="0"/>
          <tpl fld="1" item="0"/>
        </tpls>
      </m>
      <m>
        <tpls c="4">
          <tpl fld="0" item="185"/>
          <tpl hier="3" item="1"/>
          <tpl fld="2" item="0"/>
          <tpl fld="1" item="1"/>
        </tpls>
      </m>
      <m>
        <tpls c="4">
          <tpl fld="0" item="186"/>
          <tpl hier="3" item="1"/>
          <tpl fld="2" item="1"/>
          <tpl fld="1" item="0"/>
        </tpls>
      </m>
      <m>
        <tpls c="4">
          <tpl fld="0" item="186"/>
          <tpl hier="3" item="1"/>
          <tpl fld="2" item="1"/>
          <tpl fld="1" item="1"/>
        </tpls>
      </m>
      <m>
        <tpls c="4">
          <tpl fld="0" item="187"/>
          <tpl hier="3" item="1"/>
          <tpl fld="2" item="1"/>
          <tpl fld="1" item="0"/>
        </tpls>
      </m>
      <m>
        <tpls c="4">
          <tpl fld="0" item="187"/>
          <tpl hier="3" item="1"/>
          <tpl fld="2" item="1"/>
          <tpl fld="1" item="1"/>
        </tpls>
      </m>
      <n v="131148" in="0">
        <tpls c="4">
          <tpl fld="0" item="188"/>
          <tpl hier="3" item="1"/>
          <tpl fld="2" item="1"/>
          <tpl fld="1" item="0"/>
        </tpls>
      </n>
      <n v="6750" in="0">
        <tpls c="4">
          <tpl fld="0" item="188"/>
          <tpl hier="3" item="1"/>
          <tpl fld="2" item="1"/>
          <tpl fld="1" item="1"/>
        </tpls>
      </n>
      <m>
        <tpls c="4">
          <tpl fld="0" item="189"/>
          <tpl hier="3" item="1"/>
          <tpl fld="2" item="0"/>
          <tpl fld="1" item="0"/>
        </tpls>
      </m>
      <m>
        <tpls c="4">
          <tpl fld="0" item="189"/>
          <tpl hier="3" item="1"/>
          <tpl fld="2" item="0"/>
          <tpl fld="1" item="1"/>
        </tpls>
      </m>
      <m>
        <tpls c="4">
          <tpl fld="0" item="190"/>
          <tpl hier="3" item="1"/>
          <tpl fld="2" item="0"/>
          <tpl fld="1" item="0"/>
        </tpls>
      </m>
      <m>
        <tpls c="4">
          <tpl fld="0" item="190"/>
          <tpl hier="3" item="1"/>
          <tpl fld="2" item="0"/>
          <tpl fld="1" item="1"/>
        </tpls>
      </m>
      <m>
        <tpls c="4">
          <tpl fld="0" item="191"/>
          <tpl hier="3" item="1"/>
          <tpl fld="2" item="1"/>
          <tpl fld="1" item="0"/>
        </tpls>
      </m>
      <m>
        <tpls c="4">
          <tpl fld="0" item="191"/>
          <tpl hier="3" item="1"/>
          <tpl fld="2" item="1"/>
          <tpl fld="1" item="1"/>
        </tpls>
      </m>
      <m>
        <tpls c="4">
          <tpl fld="0" item="192"/>
          <tpl hier="3" item="1"/>
          <tpl fld="2" item="1"/>
          <tpl fld="1" item="0"/>
        </tpls>
      </m>
      <m>
        <tpls c="4">
          <tpl fld="0" item="192"/>
          <tpl hier="3" item="1"/>
          <tpl fld="2" item="1"/>
          <tpl fld="1" item="1"/>
        </tpls>
      </m>
      <m>
        <tpls c="4">
          <tpl fld="0" item="193"/>
          <tpl hier="3" item="1"/>
          <tpl fld="2" item="1"/>
          <tpl fld="1" item="0"/>
        </tpls>
      </m>
      <m>
        <tpls c="4">
          <tpl fld="0" item="193"/>
          <tpl hier="3" item="1"/>
          <tpl fld="2" item="1"/>
          <tpl fld="1" item="1"/>
        </tpls>
      </m>
      <m>
        <tpls c="4">
          <tpl fld="0" item="194"/>
          <tpl hier="3" item="1"/>
          <tpl fld="2" item="1"/>
          <tpl fld="1" item="0"/>
        </tpls>
      </m>
      <m>
        <tpls c="4">
          <tpl fld="0" item="194"/>
          <tpl hier="3" item="1"/>
          <tpl fld="2" item="1"/>
          <tpl fld="1" item="1"/>
        </tpls>
      </m>
      <m>
        <tpls c="4">
          <tpl fld="0" item="195"/>
          <tpl hier="3" item="1"/>
          <tpl fld="2" item="1"/>
          <tpl fld="1" item="0"/>
        </tpls>
      </m>
      <m>
        <tpls c="4">
          <tpl fld="0" item="195"/>
          <tpl hier="3" item="1"/>
          <tpl fld="2" item="1"/>
          <tpl fld="1" item="1"/>
        </tpls>
      </m>
      <m>
        <tpls c="4">
          <tpl fld="0" item="196"/>
          <tpl hier="3" item="1"/>
          <tpl fld="2" item="2"/>
          <tpl fld="1" item="0"/>
        </tpls>
      </m>
      <m>
        <tpls c="4">
          <tpl fld="0" item="196"/>
          <tpl hier="3" item="1"/>
          <tpl fld="2" item="2"/>
          <tpl fld="1" item="1"/>
        </tpls>
      </m>
      <m>
        <tpls c="4">
          <tpl fld="0" item="197"/>
          <tpl hier="3" item="1"/>
          <tpl fld="2" item="0"/>
          <tpl fld="1" item="0"/>
        </tpls>
      </m>
      <m>
        <tpls c="4">
          <tpl fld="0" item="197"/>
          <tpl hier="3" item="1"/>
          <tpl fld="2" item="0"/>
          <tpl fld="1" item="1"/>
        </tpls>
      </m>
      <n v="187504" in="0">
        <tpls c="4">
          <tpl fld="0" item="198"/>
          <tpl hier="3" item="1"/>
          <tpl fld="2" item="1"/>
          <tpl fld="1" item="0"/>
        </tpls>
      </n>
      <n v="9000" in="0">
        <tpls c="4">
          <tpl fld="0" item="198"/>
          <tpl hier="3" item="1"/>
          <tpl fld="2" item="1"/>
          <tpl fld="1" item="1"/>
        </tpls>
      </n>
      <m>
        <tpls c="4">
          <tpl fld="0" item="199"/>
          <tpl hier="3" item="1"/>
          <tpl fld="2" item="1"/>
          <tpl fld="1" item="0"/>
        </tpls>
      </m>
      <m>
        <tpls c="4">
          <tpl fld="0" item="199"/>
          <tpl hier="3" item="1"/>
          <tpl fld="2" item="1"/>
          <tpl fld="1" item="1"/>
        </tpls>
      </m>
      <m>
        <tpls c="4">
          <tpl fld="0" item="200"/>
          <tpl hier="3" item="1"/>
          <tpl fld="2" item="0"/>
          <tpl fld="1" item="0"/>
        </tpls>
      </m>
      <m>
        <tpls c="4">
          <tpl fld="0" item="200"/>
          <tpl hier="3" item="1"/>
          <tpl fld="2" item="0"/>
          <tpl fld="1" item="1"/>
        </tpls>
      </m>
      <m>
        <tpls c="4">
          <tpl fld="0" item="201"/>
          <tpl hier="3" item="1"/>
          <tpl fld="2" item="1"/>
          <tpl fld="1" item="0"/>
        </tpls>
      </m>
      <m>
        <tpls c="4">
          <tpl fld="0" item="201"/>
          <tpl hier="3" item="1"/>
          <tpl fld="2" item="1"/>
          <tpl fld="1" item="1"/>
        </tpls>
      </m>
      <m>
        <tpls c="4">
          <tpl fld="0" item="202"/>
          <tpl hier="3" item="1"/>
          <tpl fld="2" item="2"/>
          <tpl fld="1" item="0"/>
        </tpls>
      </m>
      <m>
        <tpls c="4">
          <tpl fld="0" item="202"/>
          <tpl hier="3" item="1"/>
          <tpl fld="2" item="2"/>
          <tpl fld="1" item="1"/>
        </tpls>
      </m>
      <m>
        <tpls c="4">
          <tpl fld="0" item="203"/>
          <tpl hier="3" item="1"/>
          <tpl fld="2" item="0"/>
          <tpl fld="1" item="0"/>
        </tpls>
      </m>
      <m>
        <tpls c="4">
          <tpl fld="0" item="203"/>
          <tpl hier="3" item="1"/>
          <tpl fld="2" item="0"/>
          <tpl fld="1" item="1"/>
        </tpls>
      </m>
      <m>
        <tpls c="4">
          <tpl fld="0" item="204"/>
          <tpl hier="3" item="1"/>
          <tpl fld="2" item="0"/>
          <tpl fld="1" item="0"/>
        </tpls>
      </m>
      <m>
        <tpls c="4">
          <tpl fld="0" item="204"/>
          <tpl hier="3" item="1"/>
          <tpl fld="2" item="0"/>
          <tpl fld="1" item="1"/>
        </tpls>
      </m>
      <m>
        <tpls c="4">
          <tpl fld="0" item="205"/>
          <tpl hier="3" item="1"/>
          <tpl fld="2" item="1"/>
          <tpl fld="1" item="0"/>
        </tpls>
      </m>
      <m>
        <tpls c="4">
          <tpl fld="0" item="205"/>
          <tpl hier="3" item="1"/>
          <tpl fld="2" item="1"/>
          <tpl fld="1" item="1"/>
        </tpls>
      </m>
      <m>
        <tpls c="4">
          <tpl fld="0" item="206"/>
          <tpl hier="3" item="1"/>
          <tpl fld="2" item="1"/>
          <tpl fld="1" item="0"/>
        </tpls>
      </m>
      <m>
        <tpls c="4">
          <tpl fld="0" item="206"/>
          <tpl hier="3" item="1"/>
          <tpl fld="2" item="1"/>
          <tpl fld="1" item="1"/>
        </tpls>
      </m>
      <m>
        <tpls c="4">
          <tpl fld="0" item="207"/>
          <tpl hier="3" item="1"/>
          <tpl fld="2" item="0"/>
          <tpl fld="1" item="0"/>
        </tpls>
      </m>
      <m>
        <tpls c="4">
          <tpl fld="0" item="207"/>
          <tpl hier="3" item="1"/>
          <tpl fld="2" item="0"/>
          <tpl fld="1" item="1"/>
        </tpls>
      </m>
      <m>
        <tpls c="4">
          <tpl fld="0" item="208"/>
          <tpl hier="3" item="1"/>
          <tpl fld="2" item="1"/>
          <tpl fld="1" item="0"/>
        </tpls>
      </m>
      <m>
        <tpls c="4">
          <tpl fld="0" item="208"/>
          <tpl hier="3" item="1"/>
          <tpl fld="2" item="1"/>
          <tpl fld="1" item="1"/>
        </tpls>
      </m>
      <n v="78635" in="0">
        <tpls c="4">
          <tpl fld="0" item="209"/>
          <tpl hier="3" item="1"/>
          <tpl fld="2" item="0"/>
          <tpl fld="1" item="0"/>
        </tpls>
      </n>
      <n v="2800" in="0">
        <tpls c="4">
          <tpl fld="0" item="209"/>
          <tpl hier="3" item="1"/>
          <tpl fld="2" item="0"/>
          <tpl fld="1" item="1"/>
        </tpls>
      </n>
      <n v="88841" in="0">
        <tpls c="4">
          <tpl fld="0" item="210"/>
          <tpl hier="3" item="1"/>
          <tpl fld="2" item="0"/>
          <tpl fld="1" item="0"/>
        </tpls>
      </n>
      <n v="4200" in="0">
        <tpls c="4">
          <tpl fld="0" item="210"/>
          <tpl hier="3" item="1"/>
          <tpl fld="2" item="0"/>
          <tpl fld="1" item="1"/>
        </tpls>
      </n>
      <m>
        <tpls c="4">
          <tpl fld="0" item="211"/>
          <tpl hier="3" item="1"/>
          <tpl fld="2" item="1"/>
          <tpl fld="1" item="0"/>
        </tpls>
      </m>
      <m>
        <tpls c="4">
          <tpl fld="0" item="211"/>
          <tpl hier="3" item="1"/>
          <tpl fld="2" item="1"/>
          <tpl fld="1" item="1"/>
        </tpls>
      </m>
      <m>
        <tpls c="4">
          <tpl fld="0" item="212"/>
          <tpl hier="3" item="1"/>
          <tpl fld="2" item="1"/>
          <tpl fld="1" item="0"/>
        </tpls>
      </m>
      <m>
        <tpls c="4">
          <tpl fld="0" item="212"/>
          <tpl hier="3" item="1"/>
          <tpl fld="2" item="1"/>
          <tpl fld="1" item="1"/>
        </tpls>
      </m>
      <m>
        <tpls c="4">
          <tpl fld="0" item="213"/>
          <tpl hier="3" item="1"/>
          <tpl fld="2" item="1"/>
          <tpl fld="1" item="0"/>
        </tpls>
      </m>
      <m>
        <tpls c="4">
          <tpl fld="0" item="213"/>
          <tpl hier="3" item="1"/>
          <tpl fld="2" item="1"/>
          <tpl fld="1" item="1"/>
        </tpls>
      </m>
      <n v="135187" in="0">
        <tpls c="4">
          <tpl fld="0" item="214"/>
          <tpl hier="3" item="1"/>
          <tpl fld="2" item="1"/>
          <tpl fld="1" item="0"/>
        </tpls>
      </n>
      <n v="9000" in="0">
        <tpls c="4">
          <tpl fld="0" item="214"/>
          <tpl hier="3" item="1"/>
          <tpl fld="2" item="1"/>
          <tpl fld="1" item="1"/>
        </tpls>
      </n>
      <m>
        <tpls c="4">
          <tpl fld="0" item="215"/>
          <tpl hier="3" item="1"/>
          <tpl fld="2" item="1"/>
          <tpl fld="1" item="0"/>
        </tpls>
      </m>
      <m>
        <tpls c="4">
          <tpl fld="0" item="215"/>
          <tpl hier="3" item="1"/>
          <tpl fld="2" item="1"/>
          <tpl fld="1" item="1"/>
        </tpls>
      </m>
      <m>
        <tpls c="4">
          <tpl fld="0" item="216"/>
          <tpl hier="3" item="1"/>
          <tpl fld="2" item="0"/>
          <tpl fld="1" item="0"/>
        </tpls>
      </m>
      <m>
        <tpls c="4">
          <tpl fld="0" item="216"/>
          <tpl hier="3" item="1"/>
          <tpl fld="2" item="0"/>
          <tpl fld="1" item="1"/>
        </tpls>
      </m>
      <n v="93977" in="0">
        <tpls c="4">
          <tpl fld="0" item="217"/>
          <tpl hier="3" item="1"/>
          <tpl fld="2" item="0"/>
          <tpl fld="1" item="0"/>
        </tpls>
      </n>
      <n v="4200" in="0">
        <tpls c="4">
          <tpl fld="0" item="217"/>
          <tpl hier="3" item="1"/>
          <tpl fld="2" item="0"/>
          <tpl fld="1" item="1"/>
        </tpls>
      </n>
      <m>
        <tpls c="4">
          <tpl fld="0" item="218"/>
          <tpl hier="3" item="1"/>
          <tpl fld="2" item="0"/>
          <tpl fld="1" item="0"/>
        </tpls>
      </m>
      <m>
        <tpls c="4">
          <tpl fld="0" item="218"/>
          <tpl hier="3" item="1"/>
          <tpl fld="2" item="0"/>
          <tpl fld="1" item="1"/>
        </tpls>
      </m>
      <m>
        <tpls c="4">
          <tpl fld="0" item="219"/>
          <tpl hier="3" item="1"/>
          <tpl fld="2" item="0"/>
          <tpl fld="1" item="0"/>
        </tpls>
      </m>
      <m>
        <tpls c="4">
          <tpl fld="0" item="219"/>
          <tpl hier="3" item="1"/>
          <tpl fld="2" item="0"/>
          <tpl fld="1" item="1"/>
        </tpls>
      </m>
      <m>
        <tpls c="4">
          <tpl fld="0" item="220"/>
          <tpl hier="3" item="1"/>
          <tpl fld="2" item="1"/>
          <tpl fld="1" item="0"/>
        </tpls>
      </m>
      <m>
        <tpls c="4">
          <tpl fld="0" item="220"/>
          <tpl hier="3" item="1"/>
          <tpl fld="2" item="1"/>
          <tpl fld="1" item="1"/>
        </tpls>
      </m>
      <m>
        <tpls c="4">
          <tpl fld="0" item="221"/>
          <tpl hier="3" item="1"/>
          <tpl fld="2" item="0"/>
          <tpl fld="1" item="0"/>
        </tpls>
      </m>
      <m>
        <tpls c="4">
          <tpl fld="0" item="221"/>
          <tpl hier="3" item="1"/>
          <tpl fld="2" item="0"/>
          <tpl fld="1" item="1"/>
        </tpls>
      </m>
      <m>
        <tpls c="4">
          <tpl fld="0" item="222"/>
          <tpl hier="3" item="1"/>
          <tpl fld="2" item="1"/>
          <tpl fld="1" item="0"/>
        </tpls>
      </m>
      <m>
        <tpls c="4">
          <tpl fld="0" item="222"/>
          <tpl hier="3" item="1"/>
          <tpl fld="2" item="1"/>
          <tpl fld="1" item="1"/>
        </tpls>
      </m>
      <n v="161119" in="0">
        <tpls c="4">
          <tpl fld="0" item="223"/>
          <tpl hier="3" item="1"/>
          <tpl fld="2" item="1"/>
          <tpl fld="1" item="0"/>
        </tpls>
      </n>
      <n v="9000" in="0">
        <tpls c="4">
          <tpl fld="0" item="223"/>
          <tpl hier="3" item="1"/>
          <tpl fld="2" item="1"/>
          <tpl fld="1" item="1"/>
        </tpls>
      </n>
      <m>
        <tpls c="4">
          <tpl fld="0" item="224"/>
          <tpl hier="3" item="1"/>
          <tpl fld="2" item="0"/>
          <tpl fld="1" item="0"/>
        </tpls>
      </m>
      <m>
        <tpls c="4">
          <tpl fld="0" item="224"/>
          <tpl hier="3" item="1"/>
          <tpl fld="2" item="0"/>
          <tpl fld="1" item="1"/>
        </tpls>
      </m>
      <m>
        <tpls c="4">
          <tpl fld="0" item="225"/>
          <tpl hier="3" item="1"/>
          <tpl fld="2" item="1"/>
          <tpl fld="1" item="0"/>
        </tpls>
      </m>
      <m>
        <tpls c="4">
          <tpl fld="0" item="225"/>
          <tpl hier="3" item="1"/>
          <tpl fld="2" item="1"/>
          <tpl fld="1" item="1"/>
        </tpls>
      </m>
      <m>
        <tpls c="4">
          <tpl fld="0" item="226"/>
          <tpl hier="3" item="1"/>
          <tpl fld="2" item="0"/>
          <tpl fld="1" item="0"/>
        </tpls>
      </m>
      <m>
        <tpls c="4">
          <tpl fld="0" item="226"/>
          <tpl hier="3" item="1"/>
          <tpl fld="2" item="0"/>
          <tpl fld="1" item="1"/>
        </tpls>
      </m>
      <m>
        <tpls c="4">
          <tpl fld="0" item="227"/>
          <tpl hier="3" item="1"/>
          <tpl fld="2" item="0"/>
          <tpl fld="1" item="0"/>
        </tpls>
      </m>
      <m>
        <tpls c="4">
          <tpl fld="0" item="227"/>
          <tpl hier="3" item="1"/>
          <tpl fld="2" item="0"/>
          <tpl fld="1" item="1"/>
        </tpls>
      </m>
      <m>
        <tpls c="4">
          <tpl fld="0" item="228"/>
          <tpl hier="3" item="1"/>
          <tpl fld="2" item="1"/>
          <tpl fld="1" item="0"/>
        </tpls>
      </m>
      <m>
        <tpls c="4">
          <tpl fld="0" item="228"/>
          <tpl hier="3" item="1"/>
          <tpl fld="2" item="1"/>
          <tpl fld="1" item="1"/>
        </tpls>
      </m>
      <m>
        <tpls c="4">
          <tpl fld="0" item="229"/>
          <tpl hier="3" item="1"/>
          <tpl fld="2" item="0"/>
          <tpl fld="1" item="0"/>
        </tpls>
      </m>
      <m>
        <tpls c="4">
          <tpl fld="0" item="229"/>
          <tpl hier="3" item="1"/>
          <tpl fld="2" item="0"/>
          <tpl fld="1" item="1"/>
        </tpls>
      </m>
      <m>
        <tpls c="4">
          <tpl fld="0" item="230"/>
          <tpl hier="3" item="1"/>
          <tpl fld="2" item="2"/>
          <tpl fld="1" item="0"/>
        </tpls>
      </m>
      <m>
        <tpls c="4">
          <tpl fld="0" item="230"/>
          <tpl hier="3" item="1"/>
          <tpl fld="2" item="2"/>
          <tpl fld="1" item="1"/>
        </tpls>
      </m>
      <n v="133169" in="0">
        <tpls c="4">
          <tpl fld="0" item="231"/>
          <tpl hier="3" item="1"/>
          <tpl fld="2" item="1"/>
          <tpl fld="1" item="0"/>
        </tpls>
      </n>
      <n v="6750" in="0">
        <tpls c="4">
          <tpl fld="0" item="231"/>
          <tpl hier="3" item="1"/>
          <tpl fld="2" item="1"/>
          <tpl fld="1" item="1"/>
        </tpls>
      </n>
      <m>
        <tpls c="4">
          <tpl fld="0" item="232"/>
          <tpl hier="3" item="1"/>
          <tpl fld="2" item="0"/>
          <tpl fld="1" item="0"/>
        </tpls>
      </m>
      <m>
        <tpls c="4">
          <tpl fld="0" item="232"/>
          <tpl hier="3" item="1"/>
          <tpl fld="2" item="0"/>
          <tpl fld="1" item="1"/>
        </tpls>
      </m>
      <m>
        <tpls c="4">
          <tpl fld="0" item="233"/>
          <tpl hier="3" item="1"/>
          <tpl fld="2" item="1"/>
          <tpl fld="1" item="0"/>
        </tpls>
      </m>
      <m>
        <tpls c="4">
          <tpl fld="0" item="233"/>
          <tpl hier="3" item="1"/>
          <tpl fld="2" item="1"/>
          <tpl fld="1" item="1"/>
        </tpls>
      </m>
      <n v="207884" in="0">
        <tpls c="4">
          <tpl fld="0" item="234"/>
          <tpl hier="3" item="1"/>
          <tpl fld="2" item="1"/>
          <tpl fld="1" item="0"/>
        </tpls>
      </n>
      <n v="6750" in="0">
        <tpls c="4">
          <tpl fld="0" item="234"/>
          <tpl hier="3" item="1"/>
          <tpl fld="2" item="1"/>
          <tpl fld="1" item="1"/>
        </tpls>
      </n>
      <m>
        <tpls c="4">
          <tpl fld="0" item="235"/>
          <tpl hier="3" item="1"/>
          <tpl fld="2" item="1"/>
          <tpl fld="1" item="0"/>
        </tpls>
      </m>
      <m>
        <tpls c="4">
          <tpl fld="0" item="235"/>
          <tpl hier="3" item="1"/>
          <tpl fld="2" item="1"/>
          <tpl fld="1" item="1"/>
        </tpls>
      </m>
      <n v="94279" in="0">
        <tpls c="4">
          <tpl fld="0" item="236"/>
          <tpl hier="3" item="1"/>
          <tpl fld="2" item="0"/>
          <tpl fld="1" item="0"/>
        </tpls>
      </n>
      <n v="4200" in="0">
        <tpls c="4">
          <tpl fld="0" item="236"/>
          <tpl hier="3" item="1"/>
          <tpl fld="2" item="0"/>
          <tpl fld="1" item="1"/>
        </tpls>
      </n>
      <n v="42370" in="0">
        <tpls c="4">
          <tpl fld="0" item="237"/>
          <tpl hier="3" item="1"/>
          <tpl fld="2" item="2"/>
          <tpl fld="1" item="0"/>
        </tpls>
      </n>
      <n v="1500" in="0">
        <tpls c="4">
          <tpl fld="0" item="237"/>
          <tpl hier="3" item="1"/>
          <tpl fld="2" item="2"/>
          <tpl fld="1" item="1"/>
        </tpls>
      </n>
      <n v="197466" in="0">
        <tpls c="4">
          <tpl fld="0" item="238"/>
          <tpl hier="3" item="1"/>
          <tpl fld="2" item="1"/>
          <tpl fld="1" item="0"/>
        </tpls>
      </n>
      <n v="6750" in="0">
        <tpls c="4">
          <tpl fld="0" item="238"/>
          <tpl hier="3" item="1"/>
          <tpl fld="2" item="1"/>
          <tpl fld="1" item="1"/>
        </tpls>
      </n>
      <m>
        <tpls c="4">
          <tpl fld="0" item="239"/>
          <tpl hier="3" item="1"/>
          <tpl fld="2" item="0"/>
          <tpl fld="1" item="0"/>
        </tpls>
      </m>
      <m>
        <tpls c="4">
          <tpl fld="0" item="239"/>
          <tpl hier="3" item="1"/>
          <tpl fld="2" item="0"/>
          <tpl fld="1" item="1"/>
        </tpls>
      </m>
      <m>
        <tpls c="4">
          <tpl fld="0" item="240"/>
          <tpl hier="3" item="1"/>
          <tpl fld="2" item="1"/>
          <tpl fld="1" item="0"/>
        </tpls>
      </m>
      <m>
        <tpls c="4">
          <tpl fld="0" item="240"/>
          <tpl hier="3" item="1"/>
          <tpl fld="2" item="1"/>
          <tpl fld="1" item="1"/>
        </tpls>
      </m>
      <m>
        <tpls c="4">
          <tpl fld="0" item="241"/>
          <tpl hier="3" item="1"/>
          <tpl fld="2" item="1"/>
          <tpl fld="1" item="0"/>
        </tpls>
      </m>
      <m>
        <tpls c="4">
          <tpl fld="0" item="241"/>
          <tpl hier="3" item="1"/>
          <tpl fld="2" item="1"/>
          <tpl fld="1" item="1"/>
        </tpls>
      </m>
      <m>
        <tpls c="4">
          <tpl fld="0" item="242"/>
          <tpl hier="3" item="1"/>
          <tpl fld="2" item="1"/>
          <tpl fld="1" item="0"/>
        </tpls>
      </m>
      <m>
        <tpls c="4">
          <tpl fld="0" item="242"/>
          <tpl hier="3" item="1"/>
          <tpl fld="2" item="1"/>
          <tpl fld="1" item="1"/>
        </tpls>
      </m>
      <m>
        <tpls c="4">
          <tpl fld="0" item="243"/>
          <tpl hier="3" item="1"/>
          <tpl fld="2" item="0"/>
          <tpl fld="1" item="0"/>
        </tpls>
      </m>
      <m>
        <tpls c="4">
          <tpl fld="0" item="243"/>
          <tpl hier="3" item="1"/>
          <tpl fld="2" item="0"/>
          <tpl fld="1" item="1"/>
        </tpls>
      </m>
      <m>
        <tpls c="4">
          <tpl fld="0" item="244"/>
          <tpl hier="3" item="1"/>
          <tpl fld="2" item="0"/>
          <tpl fld="1" item="0"/>
        </tpls>
      </m>
      <m>
        <tpls c="4">
          <tpl fld="0" item="244"/>
          <tpl hier="3" item="1"/>
          <tpl fld="2" item="0"/>
          <tpl fld="1" item="1"/>
        </tpls>
      </m>
      <m>
        <tpls c="4">
          <tpl fld="0" item="245"/>
          <tpl hier="3" item="1"/>
          <tpl fld="2" item="1"/>
          <tpl fld="1" item="0"/>
        </tpls>
      </m>
      <m>
        <tpls c="4">
          <tpl fld="0" item="245"/>
          <tpl hier="3" item="1"/>
          <tpl fld="2" item="1"/>
          <tpl fld="1" item="1"/>
        </tpls>
      </m>
      <m>
        <tpls c="4">
          <tpl fld="0" item="246"/>
          <tpl hier="3" item="1"/>
          <tpl fld="2" item="0"/>
          <tpl fld="1" item="0"/>
        </tpls>
      </m>
      <m>
        <tpls c="4">
          <tpl fld="0" item="246"/>
          <tpl hier="3" item="1"/>
          <tpl fld="2" item="0"/>
          <tpl fld="1" item="1"/>
        </tpls>
      </m>
      <m>
        <tpls c="4">
          <tpl fld="0" item="247"/>
          <tpl hier="3" item="1"/>
          <tpl fld="2" item="0"/>
          <tpl fld="1" item="0"/>
        </tpls>
      </m>
      <m>
        <tpls c="4">
          <tpl fld="0" item="247"/>
          <tpl hier="3" item="1"/>
          <tpl fld="2" item="0"/>
          <tpl fld="1" item="1"/>
        </tpls>
      </m>
      <m>
        <tpls c="4">
          <tpl fld="0" item="248"/>
          <tpl hier="3" item="1"/>
          <tpl fld="2" item="0"/>
          <tpl fld="1" item="0"/>
        </tpls>
      </m>
      <m>
        <tpls c="4">
          <tpl fld="0" item="248"/>
          <tpl hier="3" item="1"/>
          <tpl fld="2" item="0"/>
          <tpl fld="1" item="1"/>
        </tpls>
      </m>
      <m>
        <tpls c="4">
          <tpl fld="0" item="249"/>
          <tpl hier="3" item="1"/>
          <tpl fld="2" item="1"/>
          <tpl fld="1" item="0"/>
        </tpls>
      </m>
      <m>
        <tpls c="4">
          <tpl fld="0" item="249"/>
          <tpl hier="3" item="1"/>
          <tpl fld="2" item="1"/>
          <tpl fld="1" item="1"/>
        </tpls>
      </m>
      <m>
        <tpls c="4">
          <tpl fld="0" item="250"/>
          <tpl hier="3" item="1"/>
          <tpl fld="2" item="1"/>
          <tpl fld="1" item="0"/>
        </tpls>
      </m>
      <m>
        <tpls c="4">
          <tpl fld="0" item="250"/>
          <tpl hier="3" item="1"/>
          <tpl fld="2" item="1"/>
          <tpl fld="1" item="1"/>
        </tpls>
      </m>
      <m>
        <tpls c="4">
          <tpl fld="0" item="251"/>
          <tpl hier="3" item="1"/>
          <tpl fld="2" item="1"/>
          <tpl fld="1" item="0"/>
        </tpls>
      </m>
      <m>
        <tpls c="4">
          <tpl fld="0" item="251"/>
          <tpl hier="3" item="1"/>
          <tpl fld="2" item="1"/>
          <tpl fld="1" item="1"/>
        </tpls>
      </m>
      <m>
        <tpls c="4">
          <tpl fld="0" item="252"/>
          <tpl hier="3" item="1"/>
          <tpl fld="2" item="0"/>
          <tpl fld="1" item="0"/>
        </tpls>
      </m>
      <m>
        <tpls c="4">
          <tpl fld="0" item="252"/>
          <tpl hier="3" item="1"/>
          <tpl fld="2" item="0"/>
          <tpl fld="1" item="1"/>
        </tpls>
      </m>
      <m>
        <tpls c="4">
          <tpl fld="0" item="253"/>
          <tpl hier="3" item="1"/>
          <tpl fld="2" item="1"/>
          <tpl fld="1" item="0"/>
        </tpls>
      </m>
      <m>
        <tpls c="4">
          <tpl fld="0" item="253"/>
          <tpl hier="3" item="1"/>
          <tpl fld="2" item="1"/>
          <tpl fld="1" item="1"/>
        </tpls>
      </m>
      <m>
        <tpls c="4">
          <tpl fld="0" item="254"/>
          <tpl hier="3" item="1"/>
          <tpl fld="2" item="1"/>
          <tpl fld="1" item="0"/>
        </tpls>
      </m>
      <m>
        <tpls c="4">
          <tpl fld="0" item="254"/>
          <tpl hier="3" item="1"/>
          <tpl fld="2" item="1"/>
          <tpl fld="1" item="1"/>
        </tpls>
      </m>
      <m>
        <tpls c="4">
          <tpl fld="0" item="255"/>
          <tpl hier="3" item="1"/>
          <tpl fld="2" item="0"/>
          <tpl fld="1" item="0"/>
        </tpls>
      </m>
      <m>
        <tpls c="4">
          <tpl fld="0" item="255"/>
          <tpl hier="3" item="1"/>
          <tpl fld="2" item="0"/>
          <tpl fld="1" item="1"/>
        </tpls>
      </m>
      <m>
        <tpls c="4">
          <tpl fld="0" item="256"/>
          <tpl hier="3" item="1"/>
          <tpl fld="2" item="0"/>
          <tpl fld="1" item="0"/>
        </tpls>
      </m>
      <m>
        <tpls c="4">
          <tpl fld="0" item="256"/>
          <tpl hier="3" item="1"/>
          <tpl fld="2" item="0"/>
          <tpl fld="1" item="1"/>
        </tpls>
      </m>
      <m>
        <tpls c="4">
          <tpl fld="0" item="257"/>
          <tpl hier="3" item="1"/>
          <tpl fld="2" item="1"/>
          <tpl fld="1" item="0"/>
        </tpls>
      </m>
      <m>
        <tpls c="4">
          <tpl fld="0" item="257"/>
          <tpl hier="3" item="1"/>
          <tpl fld="2" item="1"/>
          <tpl fld="1" item="1"/>
        </tpls>
      </m>
      <n v="150098" in="0">
        <tpls c="4">
          <tpl fld="0" item="258"/>
          <tpl hier="3" item="1"/>
          <tpl fld="2" item="1"/>
          <tpl fld="1" item="0"/>
        </tpls>
      </n>
      <n v="6750" in="0">
        <tpls c="4">
          <tpl fld="0" item="258"/>
          <tpl hier="3" item="1"/>
          <tpl fld="2" item="1"/>
          <tpl fld="1" item="1"/>
        </tpls>
      </n>
      <m>
        <tpls c="4">
          <tpl fld="0" item="259"/>
          <tpl hier="3" item="1"/>
          <tpl fld="2" item="1"/>
          <tpl fld="1" item="0"/>
        </tpls>
      </m>
      <m>
        <tpls c="4">
          <tpl fld="0" item="259"/>
          <tpl hier="3" item="1"/>
          <tpl fld="2" item="1"/>
          <tpl fld="1" item="1"/>
        </tpls>
      </m>
      <n v="142974" in="0">
        <tpls c="4">
          <tpl fld="0" item="260"/>
          <tpl hier="3" item="1"/>
          <tpl fld="2" item="1"/>
          <tpl fld="1" item="0"/>
        </tpls>
      </n>
      <n v="6750" in="0">
        <tpls c="4">
          <tpl fld="0" item="260"/>
          <tpl hier="3" item="1"/>
          <tpl fld="2" item="1"/>
          <tpl fld="1" item="1"/>
        </tpls>
      </n>
      <m>
        <tpls c="4">
          <tpl fld="0" item="261"/>
          <tpl hier="3" item="1"/>
          <tpl fld="2" item="0"/>
          <tpl fld="1" item="0"/>
        </tpls>
      </m>
      <m>
        <tpls c="4">
          <tpl fld="0" item="261"/>
          <tpl hier="3" item="1"/>
          <tpl fld="2" item="0"/>
          <tpl fld="1" item="1"/>
        </tpls>
      </m>
      <m>
        <tpls c="4">
          <tpl fld="0" item="262"/>
          <tpl hier="3" item="1"/>
          <tpl fld="2" item="0"/>
          <tpl fld="1" item="0"/>
        </tpls>
      </m>
      <m>
        <tpls c="4">
          <tpl fld="0" item="262"/>
          <tpl hier="3" item="1"/>
          <tpl fld="2" item="0"/>
          <tpl fld="1" item="1"/>
        </tpls>
      </m>
      <n v="164328" in="0">
        <tpls c="4">
          <tpl fld="0" item="263"/>
          <tpl hier="3" item="1"/>
          <tpl fld="2" item="1"/>
          <tpl fld="1" item="0"/>
        </tpls>
      </n>
      <n v="9000" in="0">
        <tpls c="4">
          <tpl fld="0" item="263"/>
          <tpl hier="3" item="1"/>
          <tpl fld="2" item="1"/>
          <tpl fld="1" item="1"/>
        </tpls>
      </n>
      <m>
        <tpls c="4">
          <tpl fld="0" item="264"/>
          <tpl hier="3" item="1"/>
          <tpl fld="2" item="1"/>
          <tpl fld="1" item="0"/>
        </tpls>
      </m>
      <m>
        <tpls c="4">
          <tpl fld="0" item="264"/>
          <tpl hier="3" item="1"/>
          <tpl fld="2" item="1"/>
          <tpl fld="1" item="1"/>
        </tpls>
      </m>
      <m>
        <tpls c="4">
          <tpl fld="0" item="265"/>
          <tpl hier="3" item="1"/>
          <tpl fld="2" item="1"/>
          <tpl fld="1" item="0"/>
        </tpls>
      </m>
      <m>
        <tpls c="4">
          <tpl fld="0" item="265"/>
          <tpl hier="3" item="1"/>
          <tpl fld="2" item="1"/>
          <tpl fld="1" item="1"/>
        </tpls>
      </m>
      <m>
        <tpls c="4">
          <tpl fld="0" item="266"/>
          <tpl hier="3" item="1"/>
          <tpl fld="2" item="1"/>
          <tpl fld="1" item="0"/>
        </tpls>
      </m>
      <m>
        <tpls c="4">
          <tpl fld="0" item="266"/>
          <tpl hier="3" item="1"/>
          <tpl fld="2" item="1"/>
          <tpl fld="1" item="1"/>
        </tpls>
      </m>
      <m>
        <tpls c="4">
          <tpl fld="0" item="267"/>
          <tpl hier="3" item="1"/>
          <tpl fld="2" item="0"/>
          <tpl fld="1" item="0"/>
        </tpls>
      </m>
      <m>
        <tpls c="4">
          <tpl fld="0" item="267"/>
          <tpl hier="3" item="1"/>
          <tpl fld="2" item="0"/>
          <tpl fld="1" item="1"/>
        </tpls>
      </m>
      <n v="111466" in="0">
        <tpls c="4">
          <tpl fld="0" item="268"/>
          <tpl hier="3" item="1"/>
          <tpl fld="2" item="0"/>
          <tpl fld="1" item="0"/>
        </tpls>
      </n>
      <n v="4200" in="0">
        <tpls c="4">
          <tpl fld="0" item="268"/>
          <tpl hier="3" item="1"/>
          <tpl fld="2" item="0"/>
          <tpl fld="1" item="1"/>
        </tpls>
      </n>
      <m>
        <tpls c="4">
          <tpl fld="0" item="269"/>
          <tpl hier="3" item="1"/>
          <tpl fld="2" item="1"/>
          <tpl fld="1" item="0"/>
        </tpls>
      </m>
      <m>
        <tpls c="4">
          <tpl fld="0" item="269"/>
          <tpl hier="3" item="1"/>
          <tpl fld="2" item="1"/>
          <tpl fld="1" item="1"/>
        </tpls>
      </m>
      <n v="133912" in="0">
        <tpls c="4">
          <tpl fld="0" item="270"/>
          <tpl hier="3" item="1"/>
          <tpl fld="2" item="1"/>
          <tpl fld="1" item="0"/>
        </tpls>
      </n>
      <n v="6750" in="0">
        <tpls c="4">
          <tpl fld="0" item="270"/>
          <tpl hier="3" item="1"/>
          <tpl fld="2" item="1"/>
          <tpl fld="1" item="1"/>
        </tpls>
      </n>
      <m>
        <tpls c="4">
          <tpl fld="0" item="271"/>
          <tpl hier="3" item="1"/>
          <tpl fld="2" item="1"/>
          <tpl fld="1" item="0"/>
        </tpls>
      </m>
      <m>
        <tpls c="4">
          <tpl fld="0" item="271"/>
          <tpl hier="3" item="1"/>
          <tpl fld="2" item="1"/>
          <tpl fld="1" item="1"/>
        </tpls>
      </m>
      <n v="161332" in="0">
        <tpls c="4">
          <tpl fld="0" item="272"/>
          <tpl hier="3" item="1"/>
          <tpl fld="2" item="1"/>
          <tpl fld="1" item="0"/>
        </tpls>
      </n>
      <n v="9000" in="0">
        <tpls c="4">
          <tpl fld="0" item="272"/>
          <tpl hier="3" item="1"/>
          <tpl fld="2" item="1"/>
          <tpl fld="1" item="1"/>
        </tpls>
      </n>
      <m>
        <tpls c="4">
          <tpl fld="0" item="273"/>
          <tpl hier="3" item="1"/>
          <tpl fld="2" item="1"/>
          <tpl fld="1" item="0"/>
        </tpls>
      </m>
      <m>
        <tpls c="4">
          <tpl fld="0" item="273"/>
          <tpl hier="3" item="1"/>
          <tpl fld="2" item="1"/>
          <tpl fld="1" item="1"/>
        </tpls>
      </m>
      <n v="90352" in="0">
        <tpls c="4">
          <tpl fld="0" item="274"/>
          <tpl hier="3" item="1"/>
          <tpl fld="2" item="0"/>
          <tpl fld="1" item="0"/>
        </tpls>
      </n>
      <n v="2800" in="0">
        <tpls c="4">
          <tpl fld="0" item="274"/>
          <tpl hier="3" item="1"/>
          <tpl fld="2" item="0"/>
          <tpl fld="1" item="1"/>
        </tpls>
      </n>
      <m>
        <tpls c="4">
          <tpl fld="0" item="275"/>
          <tpl hier="3" item="1"/>
          <tpl fld="2" item="0"/>
          <tpl fld="1" item="0"/>
        </tpls>
      </m>
      <m>
        <tpls c="4">
          <tpl fld="0" item="275"/>
          <tpl hier="3" item="1"/>
          <tpl fld="2" item="0"/>
          <tpl fld="1" item="1"/>
        </tpls>
      </m>
      <m>
        <tpls c="4">
          <tpl fld="0" item="276"/>
          <tpl hier="3" item="1"/>
          <tpl fld="2" item="0"/>
          <tpl fld="1" item="0"/>
        </tpls>
      </m>
      <m>
        <tpls c="4">
          <tpl fld="0" item="276"/>
          <tpl hier="3" item="1"/>
          <tpl fld="2" item="0"/>
          <tpl fld="1" item="1"/>
        </tpls>
      </m>
      <m>
        <tpls c="4">
          <tpl fld="0" item="277"/>
          <tpl hier="3" item="1"/>
          <tpl fld="2" item="1"/>
          <tpl fld="1" item="0"/>
        </tpls>
      </m>
      <m>
        <tpls c="4">
          <tpl fld="0" item="277"/>
          <tpl hier="3" item="1"/>
          <tpl fld="2" item="1"/>
          <tpl fld="1" item="1"/>
        </tpls>
      </m>
      <m>
        <tpls c="4">
          <tpl fld="0" item="278"/>
          <tpl hier="3" item="1"/>
          <tpl fld="2" item="2"/>
          <tpl fld="1" item="0"/>
        </tpls>
      </m>
      <m>
        <tpls c="4">
          <tpl fld="0" item="278"/>
          <tpl hier="3" item="1"/>
          <tpl fld="2" item="2"/>
          <tpl fld="1" item="1"/>
        </tpls>
      </m>
      <m>
        <tpls c="4">
          <tpl fld="0" item="279"/>
          <tpl hier="3" item="1"/>
          <tpl fld="2" item="0"/>
          <tpl fld="1" item="0"/>
        </tpls>
      </m>
      <m>
        <tpls c="4">
          <tpl fld="0" item="279"/>
          <tpl hier="3" item="1"/>
          <tpl fld="2" item="0"/>
          <tpl fld="1" item="1"/>
        </tpls>
      </m>
      <m>
        <tpls c="4">
          <tpl fld="0" item="280"/>
          <tpl hier="3" item="1"/>
          <tpl fld="2" item="0"/>
          <tpl fld="1" item="0"/>
        </tpls>
      </m>
      <m>
        <tpls c="4">
          <tpl fld="0" item="280"/>
          <tpl hier="3" item="1"/>
          <tpl fld="2" item="0"/>
          <tpl fld="1" item="1"/>
        </tpls>
      </m>
      <m>
        <tpls c="4">
          <tpl fld="0" item="281"/>
          <tpl hier="3" item="1"/>
          <tpl fld="2" item="0"/>
          <tpl fld="1" item="0"/>
        </tpls>
      </m>
      <m>
        <tpls c="4">
          <tpl fld="0" item="281"/>
          <tpl hier="3" item="1"/>
          <tpl fld="2" item="0"/>
          <tpl fld="1" item="1"/>
        </tpls>
      </m>
      <n v="124489" in="0">
        <tpls c="4">
          <tpl fld="0" item="282"/>
          <tpl hier="3" item="1"/>
          <tpl fld="2" item="1"/>
          <tpl fld="1" item="0"/>
        </tpls>
      </n>
      <n v="6750" in="0">
        <tpls c="4">
          <tpl fld="0" item="282"/>
          <tpl hier="3" item="1"/>
          <tpl fld="2" item="1"/>
          <tpl fld="1" item="1"/>
        </tpls>
      </n>
      <m>
        <tpls c="4">
          <tpl fld="0" item="283"/>
          <tpl hier="3" item="1"/>
          <tpl fld="2" item="2"/>
          <tpl fld="1" item="0"/>
        </tpls>
      </m>
      <m>
        <tpls c="4">
          <tpl fld="0" item="283"/>
          <tpl hier="3" item="1"/>
          <tpl fld="2" item="2"/>
          <tpl fld="1" item="1"/>
        </tpls>
      </m>
      <n v="49228" in="0">
        <tpls c="4">
          <tpl fld="0" item="284"/>
          <tpl hier="3" item="1"/>
          <tpl fld="2" item="2"/>
          <tpl fld="1" item="0"/>
        </tpls>
      </n>
      <n v="1500" in="0">
        <tpls c="4">
          <tpl fld="0" item="284"/>
          <tpl hier="3" item="1"/>
          <tpl fld="2" item="2"/>
          <tpl fld="1" item="1"/>
        </tpls>
      </n>
      <n v="167356" in="0">
        <tpls c="4">
          <tpl fld="0" item="285"/>
          <tpl hier="3" item="1"/>
          <tpl fld="2" item="1"/>
          <tpl fld="1" item="0"/>
        </tpls>
      </n>
      <n v="6750" in="0">
        <tpls c="4">
          <tpl fld="0" item="285"/>
          <tpl hier="3" item="1"/>
          <tpl fld="2" item="1"/>
          <tpl fld="1" item="1"/>
        </tpls>
      </n>
      <m>
        <tpls c="4">
          <tpl fld="0" item="286"/>
          <tpl hier="3" item="1"/>
          <tpl fld="2" item="0"/>
          <tpl fld="1" item="0"/>
        </tpls>
      </m>
      <m>
        <tpls c="4">
          <tpl fld="0" item="286"/>
          <tpl hier="3" item="1"/>
          <tpl fld="2" item="0"/>
          <tpl fld="1" item="1"/>
        </tpls>
      </m>
      <m>
        <tpls c="4">
          <tpl fld="0" item="287"/>
          <tpl hier="3" item="1"/>
          <tpl fld="2" item="0"/>
          <tpl fld="1" item="0"/>
        </tpls>
      </m>
      <m>
        <tpls c="4">
          <tpl fld="0" item="287"/>
          <tpl hier="3" item="1"/>
          <tpl fld="2" item="0"/>
          <tpl fld="1" item="1"/>
        </tpls>
      </m>
      <n v="114376" in="0">
        <tpls c="4">
          <tpl fld="0" item="288"/>
          <tpl hier="3" item="1"/>
          <tpl fld="2" item="0"/>
          <tpl fld="1" item="0"/>
        </tpls>
      </n>
      <n v="2800" in="0">
        <tpls c="4">
          <tpl fld="0" item="288"/>
          <tpl hier="3" item="1"/>
          <tpl fld="2" item="0"/>
          <tpl fld="1" item="1"/>
        </tpls>
      </n>
      <m>
        <tpls c="4">
          <tpl fld="0" item="289"/>
          <tpl hier="3" item="1"/>
          <tpl fld="2" item="1"/>
          <tpl fld="1" item="0"/>
        </tpls>
      </m>
      <m>
        <tpls c="4">
          <tpl fld="0" item="289"/>
          <tpl hier="3" item="1"/>
          <tpl fld="2" item="1"/>
          <tpl fld="1" item="1"/>
        </tpls>
      </m>
      <m>
        <tpls c="4">
          <tpl fld="0" item="290"/>
          <tpl hier="3" item="1"/>
          <tpl fld="2" item="0"/>
          <tpl fld="1" item="0"/>
        </tpls>
      </m>
      <m>
        <tpls c="4">
          <tpl fld="0" item="290"/>
          <tpl hier="3" item="1"/>
          <tpl fld="2" item="0"/>
          <tpl fld="1" item="1"/>
        </tpls>
      </m>
      <m>
        <tpls c="4">
          <tpl fld="0" item="291"/>
          <tpl hier="3" item="1"/>
          <tpl fld="2" item="1"/>
          <tpl fld="1" item="0"/>
        </tpls>
      </m>
      <m>
        <tpls c="4">
          <tpl fld="0" item="291"/>
          <tpl hier="3" item="1"/>
          <tpl fld="2" item="1"/>
          <tpl fld="1" item="1"/>
        </tpls>
      </m>
      <m>
        <tpls c="4">
          <tpl fld="0" item="292"/>
          <tpl hier="3" item="1"/>
          <tpl fld="2" item="2"/>
          <tpl fld="1" item="0"/>
        </tpls>
      </m>
      <m>
        <tpls c="4">
          <tpl fld="0" item="292"/>
          <tpl hier="3" item="1"/>
          <tpl fld="2" item="2"/>
          <tpl fld="1" item="1"/>
        </tpls>
      </m>
      <m>
        <tpls c="4">
          <tpl fld="0" item="293"/>
          <tpl hier="3" item="1"/>
          <tpl fld="2" item="2"/>
          <tpl fld="1" item="0"/>
        </tpls>
      </m>
      <m>
        <tpls c="4">
          <tpl fld="0" item="293"/>
          <tpl hier="3" item="1"/>
          <tpl fld="2" item="2"/>
          <tpl fld="1" item="1"/>
        </tpls>
      </m>
      <n v="115676" in="0">
        <tpls c="4">
          <tpl fld="0" item="294"/>
          <tpl hier="3" item="1"/>
          <tpl fld="2" item="0"/>
          <tpl fld="1" item="0"/>
        </tpls>
      </n>
      <n v="2800" in="0">
        <tpls c="4">
          <tpl fld="0" item="294"/>
          <tpl hier="3" item="1"/>
          <tpl fld="2" item="0"/>
          <tpl fld="1" item="1"/>
        </tpls>
      </n>
      <m>
        <tpls c="4">
          <tpl fld="0" item="295"/>
          <tpl hier="3" item="1"/>
          <tpl fld="2" item="0"/>
          <tpl fld="1" item="0"/>
        </tpls>
      </m>
      <m>
        <tpls c="4">
          <tpl fld="0" item="295"/>
          <tpl hier="3" item="1"/>
          <tpl fld="2" item="0"/>
          <tpl fld="1" item="1"/>
        </tpls>
      </m>
      <m>
        <tpls c="4">
          <tpl fld="0" item="296"/>
          <tpl hier="3" item="1"/>
          <tpl fld="2" item="1"/>
          <tpl fld="1" item="0"/>
        </tpls>
      </m>
      <m>
        <tpls c="4">
          <tpl fld="0" item="296"/>
          <tpl hier="3" item="1"/>
          <tpl fld="2" item="1"/>
          <tpl fld="1" item="1"/>
        </tpls>
      </m>
      <n v="147308" in="0">
        <tpls c="4">
          <tpl fld="0" item="297"/>
          <tpl hier="3" item="1"/>
          <tpl fld="2" item="1"/>
          <tpl fld="1" item="0"/>
        </tpls>
      </n>
      <n v="6750" in="0">
        <tpls c="4">
          <tpl fld="0" item="297"/>
          <tpl hier="3" item="1"/>
          <tpl fld="2" item="1"/>
          <tpl fld="1" item="1"/>
        </tpls>
      </n>
      <m>
        <tpls c="4">
          <tpl fld="0" item="298"/>
          <tpl hier="3" item="1"/>
          <tpl fld="2" item="1"/>
          <tpl fld="1" item="0"/>
        </tpls>
      </m>
      <m>
        <tpls c="4">
          <tpl fld="0" item="298"/>
          <tpl hier="3" item="1"/>
          <tpl fld="2" item="1"/>
          <tpl fld="1" item="1"/>
        </tpls>
      </m>
      <m>
        <tpls c="4">
          <tpl fld="0" item="299"/>
          <tpl hier="3" item="1"/>
          <tpl fld="2" item="0"/>
          <tpl fld="1" item="0"/>
        </tpls>
      </m>
      <m>
        <tpls c="4">
          <tpl fld="0" item="299"/>
          <tpl hier="3" item="1"/>
          <tpl fld="2" item="0"/>
          <tpl fld="1" item="1"/>
        </tpls>
      </m>
      <m>
        <tpls c="4">
          <tpl fld="0" item="300"/>
          <tpl hier="3" item="1"/>
          <tpl fld="2" item="0"/>
          <tpl fld="1" item="0"/>
        </tpls>
      </m>
      <m>
        <tpls c="4">
          <tpl fld="0" item="300"/>
          <tpl hier="3" item="1"/>
          <tpl fld="2" item="0"/>
          <tpl fld="1" item="1"/>
        </tpls>
      </m>
      <n v="161200" in="0">
        <tpls c="4">
          <tpl fld="0" item="301"/>
          <tpl hier="3" item="1"/>
          <tpl fld="2" item="1"/>
          <tpl fld="1" item="0"/>
        </tpls>
      </n>
      <n v="6750" in="0">
        <tpls c="4">
          <tpl fld="0" item="301"/>
          <tpl hier="3" item="1"/>
          <tpl fld="2" item="1"/>
          <tpl fld="1" item="1"/>
        </tpls>
      </n>
      <m>
        <tpls c="4">
          <tpl fld="0" item="302"/>
          <tpl hier="3" item="1"/>
          <tpl fld="2" item="0"/>
          <tpl fld="1" item="0"/>
        </tpls>
      </m>
      <m>
        <tpls c="4">
          <tpl fld="0" item="302"/>
          <tpl hier="3" item="1"/>
          <tpl fld="2" item="0"/>
          <tpl fld="1" item="1"/>
        </tpls>
      </m>
      <m>
        <tpls c="4">
          <tpl fld="0" item="303"/>
          <tpl hier="3" item="1"/>
          <tpl fld="2" item="0"/>
          <tpl fld="1" item="0"/>
        </tpls>
      </m>
      <m>
        <tpls c="4">
          <tpl fld="0" item="303"/>
          <tpl hier="3" item="1"/>
          <tpl fld="2" item="0"/>
          <tpl fld="1" item="1"/>
        </tpls>
      </m>
      <m>
        <tpls c="4">
          <tpl fld="0" item="304"/>
          <tpl hier="3" item="1"/>
          <tpl fld="2" item="2"/>
          <tpl fld="1" item="0"/>
        </tpls>
      </m>
      <m>
        <tpls c="4">
          <tpl fld="0" item="304"/>
          <tpl hier="3" item="1"/>
          <tpl fld="2" item="2"/>
          <tpl fld="1" item="1"/>
        </tpls>
      </m>
      <n v="45842" in="0">
        <tpls c="4">
          <tpl fld="0" item="305"/>
          <tpl hier="3" item="1"/>
          <tpl fld="2" item="2"/>
          <tpl fld="1" item="0"/>
        </tpls>
      </n>
      <n v="1500" in="0">
        <tpls c="4">
          <tpl fld="0" item="305"/>
          <tpl hier="3" item="1"/>
          <tpl fld="2" item="2"/>
          <tpl fld="1" item="1"/>
        </tpls>
      </n>
      <m>
        <tpls c="4">
          <tpl fld="0" item="306"/>
          <tpl hier="3" item="1"/>
          <tpl fld="2" item="1"/>
          <tpl fld="1" item="0"/>
        </tpls>
      </m>
      <m>
        <tpls c="4">
          <tpl fld="0" item="306"/>
          <tpl hier="3" item="1"/>
          <tpl fld="2" item="1"/>
          <tpl fld="1" item="1"/>
        </tpls>
      </m>
      <m>
        <tpls c="4">
          <tpl fld="0" item="307"/>
          <tpl hier="3" item="1"/>
          <tpl fld="2" item="1"/>
          <tpl fld="1" item="0"/>
        </tpls>
      </m>
      <m>
        <tpls c="4">
          <tpl fld="0" item="307"/>
          <tpl hier="3" item="1"/>
          <tpl fld="2" item="1"/>
          <tpl fld="1" item="1"/>
        </tpls>
      </m>
      <m>
        <tpls c="4">
          <tpl fld="0" item="308"/>
          <tpl hier="3" item="1"/>
          <tpl fld="2" item="1"/>
          <tpl fld="1" item="0"/>
        </tpls>
      </m>
      <m>
        <tpls c="4">
          <tpl fld="0" item="308"/>
          <tpl hier="3" item="1"/>
          <tpl fld="2" item="1"/>
          <tpl fld="1" item="1"/>
        </tpls>
      </m>
      <n v="99151" in="0">
        <tpls c="4">
          <tpl fld="0" item="309"/>
          <tpl hier="3" item="1"/>
          <tpl fld="2" item="0"/>
          <tpl fld="1" item="0"/>
        </tpls>
      </n>
      <n v="2800" in="0">
        <tpls c="4">
          <tpl fld="0" item="309"/>
          <tpl hier="3" item="1"/>
          <tpl fld="2" item="0"/>
          <tpl fld="1" item="1"/>
        </tpls>
      </n>
      <m>
        <tpls c="4">
          <tpl fld="0" item="310"/>
          <tpl hier="3" item="1"/>
          <tpl fld="2" item="0"/>
          <tpl fld="1" item="0"/>
        </tpls>
      </m>
      <m>
        <tpls c="4">
          <tpl fld="0" item="310"/>
          <tpl hier="3" item="1"/>
          <tpl fld="2" item="0"/>
          <tpl fld="1" item="1"/>
        </tpls>
      </m>
      <m>
        <tpls c="4">
          <tpl fld="0" item="311"/>
          <tpl hier="3" item="1"/>
          <tpl fld="2" item="0"/>
          <tpl fld="1" item="0"/>
        </tpls>
      </m>
      <m>
        <tpls c="4">
          <tpl fld="0" item="311"/>
          <tpl hier="3" item="1"/>
          <tpl fld="2" item="0"/>
          <tpl fld="1" item="1"/>
        </tpls>
      </m>
      <n v="80101" in="0">
        <tpls c="4">
          <tpl fld="0" item="312"/>
          <tpl hier="3" item="1"/>
          <tpl fld="2" item="0"/>
          <tpl fld="1" item="0"/>
        </tpls>
      </n>
      <n v="2800" in="0">
        <tpls c="4">
          <tpl fld="0" item="312"/>
          <tpl hier="3" item="1"/>
          <tpl fld="2" item="0"/>
          <tpl fld="1" item="1"/>
        </tpls>
      </n>
      <n v="118262" in="0">
        <tpls c="4">
          <tpl fld="0" item="313"/>
          <tpl hier="3" item="1"/>
          <tpl fld="2" item="0"/>
          <tpl fld="1" item="0"/>
        </tpls>
      </n>
      <n v="2800" in="0">
        <tpls c="4">
          <tpl fld="0" item="313"/>
          <tpl hier="3" item="1"/>
          <tpl fld="2" item="0"/>
          <tpl fld="1" item="1"/>
        </tpls>
      </n>
      <m>
        <tpls c="4">
          <tpl fld="0" item="314"/>
          <tpl hier="3" item="1"/>
          <tpl fld="2" item="1"/>
          <tpl fld="1" item="0"/>
        </tpls>
      </m>
      <m>
        <tpls c="4">
          <tpl fld="0" item="314"/>
          <tpl hier="3" item="1"/>
          <tpl fld="2" item="1"/>
          <tpl fld="1" item="1"/>
        </tpls>
      </m>
      <m>
        <tpls c="4">
          <tpl fld="0" item="315"/>
          <tpl hier="3" item="1"/>
          <tpl fld="2" item="1"/>
          <tpl fld="1" item="0"/>
        </tpls>
      </m>
      <m>
        <tpls c="4">
          <tpl fld="0" item="315"/>
          <tpl hier="3" item="1"/>
          <tpl fld="2" item="1"/>
          <tpl fld="1" item="1"/>
        </tpls>
      </m>
      <m>
        <tpls c="4">
          <tpl fld="0" item="316"/>
          <tpl hier="3" item="1"/>
          <tpl fld="2" item="0"/>
          <tpl fld="1" item="0"/>
        </tpls>
      </m>
      <m>
        <tpls c="4">
          <tpl fld="0" item="316"/>
          <tpl hier="3" item="1"/>
          <tpl fld="2" item="0"/>
          <tpl fld="1" item="1"/>
        </tpls>
      </m>
      <m>
        <tpls c="4">
          <tpl fld="0" item="317"/>
          <tpl hier="3" item="1"/>
          <tpl fld="2" item="1"/>
          <tpl fld="1" item="0"/>
        </tpls>
      </m>
      <m>
        <tpls c="4">
          <tpl fld="0" item="317"/>
          <tpl hier="3" item="1"/>
          <tpl fld="2" item="1"/>
          <tpl fld="1" item="1"/>
        </tpls>
      </m>
      <m>
        <tpls c="4">
          <tpl fld="0" item="318"/>
          <tpl hier="3" item="1"/>
          <tpl fld="2" item="1"/>
          <tpl fld="1" item="0"/>
        </tpls>
      </m>
      <m>
        <tpls c="4">
          <tpl fld="0" item="318"/>
          <tpl hier="3" item="1"/>
          <tpl fld="2" item="1"/>
          <tpl fld="1" item="1"/>
        </tpls>
      </m>
      <n v="119013" in="0">
        <tpls c="4">
          <tpl fld="0" item="319"/>
          <tpl hier="3" item="1"/>
          <tpl fld="2" item="0"/>
          <tpl fld="1" item="0"/>
        </tpls>
      </n>
      <n v="4200" in="0">
        <tpls c="4">
          <tpl fld="0" item="319"/>
          <tpl hier="3" item="1"/>
          <tpl fld="2" item="0"/>
          <tpl fld="1" item="1"/>
        </tpls>
      </n>
      <m>
        <tpls c="4">
          <tpl fld="0" item="320"/>
          <tpl hier="3" item="1"/>
          <tpl fld="2" item="2"/>
          <tpl fld="1" item="0"/>
        </tpls>
      </m>
      <m>
        <tpls c="4">
          <tpl fld="0" item="320"/>
          <tpl hier="3" item="1"/>
          <tpl fld="2" item="2"/>
          <tpl fld="1" item="1"/>
        </tpls>
      </m>
      <m>
        <tpls c="4">
          <tpl fld="0" item="321"/>
          <tpl hier="3" item="1"/>
          <tpl fld="2" item="0"/>
          <tpl fld="1" item="0"/>
        </tpls>
      </m>
      <m>
        <tpls c="4">
          <tpl fld="0" item="321"/>
          <tpl hier="3" item="1"/>
          <tpl fld="2" item="0"/>
          <tpl fld="1" item="1"/>
        </tpls>
      </m>
      <n v="79816" in="0">
        <tpls c="4">
          <tpl fld="0" item="322"/>
          <tpl hier="3" item="1"/>
          <tpl fld="2" item="0"/>
          <tpl fld="1" item="0"/>
        </tpls>
      </n>
      <n v="4200" in="0">
        <tpls c="4">
          <tpl fld="0" item="322"/>
          <tpl hier="3" item="1"/>
          <tpl fld="2" item="0"/>
          <tpl fld="1" item="1"/>
        </tpls>
      </n>
      <m>
        <tpls c="4">
          <tpl fld="0" item="323"/>
          <tpl hier="3" item="1"/>
          <tpl fld="2" item="0"/>
          <tpl fld="1" item="0"/>
        </tpls>
      </m>
      <m>
        <tpls c="4">
          <tpl fld="0" item="323"/>
          <tpl hier="3" item="1"/>
          <tpl fld="2" item="0"/>
          <tpl fld="1" item="1"/>
        </tpls>
      </m>
      <n v="153444" in="0">
        <tpls c="4">
          <tpl fld="0" item="324"/>
          <tpl hier="3" item="1"/>
          <tpl fld="2" item="1"/>
          <tpl fld="1" item="0"/>
        </tpls>
      </n>
      <n v="6750" in="0">
        <tpls c="4">
          <tpl fld="0" item="324"/>
          <tpl hier="3" item="1"/>
          <tpl fld="2" item="1"/>
          <tpl fld="1" item="1"/>
        </tpls>
      </n>
      <m>
        <tpls c="4">
          <tpl fld="0" item="325"/>
          <tpl hier="3" item="1"/>
          <tpl fld="2" item="2"/>
          <tpl fld="1" item="0"/>
        </tpls>
      </m>
      <m>
        <tpls c="4">
          <tpl fld="0" item="325"/>
          <tpl hier="3" item="1"/>
          <tpl fld="2" item="2"/>
          <tpl fld="1" item="1"/>
        </tpls>
      </m>
      <n v="63898" in="0">
        <tpls c="4">
          <tpl fld="0" item="326"/>
          <tpl hier="3" item="1"/>
          <tpl fld="2" item="0"/>
          <tpl fld="1" item="0"/>
        </tpls>
      </n>
      <n v="2800" in="0">
        <tpls c="4">
          <tpl fld="0" item="326"/>
          <tpl hier="3" item="1"/>
          <tpl fld="2" item="0"/>
          <tpl fld="1" item="1"/>
        </tpls>
      </n>
      <n v="51340" in="0">
        <tpls c="4">
          <tpl fld="0" item="327"/>
          <tpl hier="3" item="1"/>
          <tpl fld="2" item="2"/>
          <tpl fld="1" item="0"/>
        </tpls>
      </n>
      <n v="1500" in="0">
        <tpls c="4">
          <tpl fld="0" item="327"/>
          <tpl hier="3" item="1"/>
          <tpl fld="2" item="2"/>
          <tpl fld="1" item="1"/>
        </tpls>
      </n>
      <m>
        <tpls c="4">
          <tpl fld="0" item="328"/>
          <tpl hier="3" item="1"/>
          <tpl fld="2" item="2"/>
          <tpl fld="1" item="0"/>
        </tpls>
      </m>
      <m>
        <tpls c="4">
          <tpl fld="0" item="328"/>
          <tpl hier="3" item="1"/>
          <tpl fld="2" item="2"/>
          <tpl fld="1" item="1"/>
        </tpls>
      </m>
      <m>
        <tpls c="4">
          <tpl fld="0" item="329"/>
          <tpl hier="3" item="1"/>
          <tpl fld="2" item="1"/>
          <tpl fld="1" item="0"/>
        </tpls>
      </m>
      <m>
        <tpls c="4">
          <tpl fld="0" item="329"/>
          <tpl hier="3" item="1"/>
          <tpl fld="2" item="1"/>
          <tpl fld="1" item="1"/>
        </tpls>
      </m>
      <m>
        <tpls c="4">
          <tpl fld="0" item="330"/>
          <tpl hier="3" item="1"/>
          <tpl fld="2" item="1"/>
          <tpl fld="1" item="0"/>
        </tpls>
      </m>
      <m>
        <tpls c="4">
          <tpl fld="0" item="330"/>
          <tpl hier="3" item="1"/>
          <tpl fld="2" item="1"/>
          <tpl fld="1" item="1"/>
        </tpls>
      </m>
      <m>
        <tpls c="4">
          <tpl fld="0" item="331"/>
          <tpl hier="3" item="1"/>
          <tpl fld="2" item="0"/>
          <tpl fld="1" item="0"/>
        </tpls>
      </m>
      <m>
        <tpls c="4">
          <tpl fld="0" item="331"/>
          <tpl hier="3" item="1"/>
          <tpl fld="2" item="0"/>
          <tpl fld="1" item="1"/>
        </tpls>
      </m>
      <m>
        <tpls c="4">
          <tpl fld="0" item="332"/>
          <tpl hier="3" item="1"/>
          <tpl fld="2" item="0"/>
          <tpl fld="1" item="0"/>
        </tpls>
      </m>
      <m>
        <tpls c="4">
          <tpl fld="0" item="332"/>
          <tpl hier="3" item="1"/>
          <tpl fld="2" item="0"/>
          <tpl fld="1" item="1"/>
        </tpls>
      </m>
      <m>
        <tpls c="4">
          <tpl fld="0" item="333"/>
          <tpl hier="3" item="1"/>
          <tpl fld="2" item="0"/>
          <tpl fld="1" item="0"/>
        </tpls>
      </m>
      <m>
        <tpls c="4">
          <tpl fld="0" item="333"/>
          <tpl hier="3" item="1"/>
          <tpl fld="2" item="0"/>
          <tpl fld="1" item="1"/>
        </tpls>
      </m>
      <m>
        <tpls c="4">
          <tpl fld="0" item="334"/>
          <tpl hier="3" item="1"/>
          <tpl fld="2" item="0"/>
          <tpl fld="1" item="0"/>
        </tpls>
      </m>
      <m>
        <tpls c="4">
          <tpl fld="0" item="334"/>
          <tpl hier="3" item="1"/>
          <tpl fld="2" item="0"/>
          <tpl fld="1" item="1"/>
        </tpls>
      </m>
      <n v="71408" in="0">
        <tpls c="4">
          <tpl fld="0" item="335"/>
          <tpl hier="3" item="1"/>
          <tpl fld="2" item="0"/>
          <tpl fld="1" item="0"/>
        </tpls>
      </n>
      <n v="2800" in="0">
        <tpls c="4">
          <tpl fld="0" item="335"/>
          <tpl hier="3" item="1"/>
          <tpl fld="2" item="0"/>
          <tpl fld="1" item="1"/>
        </tpls>
      </n>
      <m>
        <tpls c="4">
          <tpl fld="0" item="336"/>
          <tpl hier="3" item="1"/>
          <tpl fld="2" item="0"/>
          <tpl fld="1" item="0"/>
        </tpls>
      </m>
      <m>
        <tpls c="4">
          <tpl fld="0" item="336"/>
          <tpl hier="3" item="1"/>
          <tpl fld="2" item="0"/>
          <tpl fld="1" item="1"/>
        </tpls>
      </m>
      <m>
        <tpls c="4">
          <tpl fld="0" item="337"/>
          <tpl hier="3" item="1"/>
          <tpl fld="2" item="0"/>
          <tpl fld="1" item="0"/>
        </tpls>
      </m>
      <m>
        <tpls c="4">
          <tpl fld="0" item="337"/>
          <tpl hier="3" item="1"/>
          <tpl fld="2" item="0"/>
          <tpl fld="1" item="1"/>
        </tpls>
      </m>
      <m>
        <tpls c="4">
          <tpl fld="0" item="338"/>
          <tpl hier="3" item="1"/>
          <tpl fld="2" item="1"/>
          <tpl fld="1" item="0"/>
        </tpls>
      </m>
      <m>
        <tpls c="4">
          <tpl fld="0" item="338"/>
          <tpl hier="3" item="1"/>
          <tpl fld="2" item="1"/>
          <tpl fld="1" item="1"/>
        </tpls>
      </m>
      <n v="131471" in="0">
        <tpls c="4">
          <tpl fld="0" item="339"/>
          <tpl hier="3" item="1"/>
          <tpl fld="2" item="1"/>
          <tpl fld="1" item="0"/>
        </tpls>
      </n>
      <n v="9000" in="0">
        <tpls c="4">
          <tpl fld="0" item="339"/>
          <tpl hier="3" item="1"/>
          <tpl fld="2" item="1"/>
          <tpl fld="1" item="1"/>
        </tpls>
      </n>
      <m>
        <tpls c="4">
          <tpl fld="0" item="340"/>
          <tpl hier="3" item="1"/>
          <tpl fld="2" item="2"/>
          <tpl fld="1" item="0"/>
        </tpls>
      </m>
      <m>
        <tpls c="4">
          <tpl fld="0" item="340"/>
          <tpl hier="3" item="1"/>
          <tpl fld="2" item="2"/>
          <tpl fld="1" item="1"/>
        </tpls>
      </m>
      <m>
        <tpls c="4">
          <tpl fld="0" item="341"/>
          <tpl hier="3" item="1"/>
          <tpl fld="2" item="0"/>
          <tpl fld="1" item="0"/>
        </tpls>
      </m>
      <m>
        <tpls c="4">
          <tpl fld="0" item="341"/>
          <tpl hier="3" item="1"/>
          <tpl fld="2" item="0"/>
          <tpl fld="1" item="1"/>
        </tpls>
      </m>
      <n v="111691" in="0">
        <tpls c="4">
          <tpl fld="0" item="342"/>
          <tpl hier="3" item="1"/>
          <tpl fld="2" item="0"/>
          <tpl fld="1" item="0"/>
        </tpls>
      </n>
      <n v="2800" in="0">
        <tpls c="4">
          <tpl fld="0" item="342"/>
          <tpl hier="3" item="1"/>
          <tpl fld="2" item="0"/>
          <tpl fld="1" item="1"/>
        </tpls>
      </n>
      <n v="175668" in="0">
        <tpls c="4">
          <tpl fld="0" item="343"/>
          <tpl hier="3" item="1"/>
          <tpl fld="2" item="1"/>
          <tpl fld="1" item="0"/>
        </tpls>
      </n>
      <n v="9000" in="0">
        <tpls c="4">
          <tpl fld="0" item="343"/>
          <tpl hier="3" item="1"/>
          <tpl fld="2" item="1"/>
          <tpl fld="1" item="1"/>
        </tpls>
      </n>
      <m>
        <tpls c="4">
          <tpl fld="0" item="344"/>
          <tpl hier="3" item="1"/>
          <tpl fld="2" item="1"/>
          <tpl fld="1" item="0"/>
        </tpls>
      </m>
      <m>
        <tpls c="4">
          <tpl fld="0" item="344"/>
          <tpl hier="3" item="1"/>
          <tpl fld="2" item="1"/>
          <tpl fld="1" item="1"/>
        </tpls>
      </m>
      <m>
        <tpls c="4">
          <tpl fld="0" item="345"/>
          <tpl hier="3" item="1"/>
          <tpl fld="2" item="0"/>
          <tpl fld="1" item="0"/>
        </tpls>
      </m>
      <m>
        <tpls c="4">
          <tpl fld="0" item="345"/>
          <tpl hier="3" item="1"/>
          <tpl fld="2" item="0"/>
          <tpl fld="1" item="1"/>
        </tpls>
      </m>
      <n v="56431" in="0">
        <tpls c="4">
          <tpl fld="0" item="346"/>
          <tpl hier="3" item="1"/>
          <tpl fld="2" item="2"/>
          <tpl fld="1" item="0"/>
        </tpls>
      </n>
      <n v="1500" in="0">
        <tpls c="4">
          <tpl fld="0" item="346"/>
          <tpl hier="3" item="1"/>
          <tpl fld="2" item="2"/>
          <tpl fld="1" item="1"/>
        </tpls>
      </n>
      <m>
        <tpls c="4">
          <tpl fld="0" item="347"/>
          <tpl hier="3" item="1"/>
          <tpl fld="2" item="1"/>
          <tpl fld="1" item="0"/>
        </tpls>
      </m>
      <m>
        <tpls c="4">
          <tpl fld="0" item="347"/>
          <tpl hier="3" item="1"/>
          <tpl fld="2" item="1"/>
          <tpl fld="1" item="1"/>
        </tpls>
      </m>
      <m>
        <tpls c="4">
          <tpl fld="0" item="348"/>
          <tpl hier="3" item="1"/>
          <tpl fld="2" item="2"/>
          <tpl fld="1" item="0"/>
        </tpls>
      </m>
      <m>
        <tpls c="4">
          <tpl fld="0" item="348"/>
          <tpl hier="3" item="1"/>
          <tpl fld="2" item="2"/>
          <tpl fld="1" item="1"/>
        </tpls>
      </m>
      <m>
        <tpls c="4">
          <tpl fld="0" item="349"/>
          <tpl hier="3" item="1"/>
          <tpl fld="2" item="1"/>
          <tpl fld="1" item="0"/>
        </tpls>
      </m>
      <m>
        <tpls c="4">
          <tpl fld="0" item="349"/>
          <tpl hier="3" item="1"/>
          <tpl fld="2" item="1"/>
          <tpl fld="1" item="1"/>
        </tpls>
      </m>
      <m>
        <tpls c="4">
          <tpl fld="0" item="350"/>
          <tpl hier="3" item="1"/>
          <tpl fld="2" item="1"/>
          <tpl fld="1" item="0"/>
        </tpls>
      </m>
      <m>
        <tpls c="4">
          <tpl fld="0" item="350"/>
          <tpl hier="3" item="1"/>
          <tpl fld="2" item="1"/>
          <tpl fld="1" item="1"/>
        </tpls>
      </m>
      <m>
        <tpls c="4">
          <tpl fld="0" item="351"/>
          <tpl hier="3" item="1"/>
          <tpl fld="2" item="1"/>
          <tpl fld="1" item="0"/>
        </tpls>
      </m>
      <m>
        <tpls c="4">
          <tpl fld="0" item="351"/>
          <tpl hier="3" item="1"/>
          <tpl fld="2" item="1"/>
          <tpl fld="1" item="1"/>
        </tpls>
      </m>
      <m>
        <tpls c="4">
          <tpl fld="0" item="352"/>
          <tpl hier="3" item="1"/>
          <tpl fld="2" item="0"/>
          <tpl fld="1" item="0"/>
        </tpls>
      </m>
      <m>
        <tpls c="4">
          <tpl fld="0" item="352"/>
          <tpl hier="3" item="1"/>
          <tpl fld="2" item="0"/>
          <tpl fld="1" item="1"/>
        </tpls>
      </m>
      <n v="132810" in="0">
        <tpls c="4">
          <tpl fld="0" item="353"/>
          <tpl hier="3" item="1"/>
          <tpl fld="2" item="1"/>
          <tpl fld="1" item="0"/>
        </tpls>
      </n>
      <n v="6750" in="0">
        <tpls c="4">
          <tpl fld="0" item="353"/>
          <tpl hier="3" item="1"/>
          <tpl fld="2" item="1"/>
          <tpl fld="1" item="1"/>
        </tpls>
      </n>
      <m>
        <tpls c="4">
          <tpl fld="0" item="354"/>
          <tpl hier="3" item="1"/>
          <tpl fld="2" item="0"/>
          <tpl fld="1" item="0"/>
        </tpls>
      </m>
      <m>
        <tpls c="4">
          <tpl fld="0" item="354"/>
          <tpl hier="3" item="1"/>
          <tpl fld="2" item="0"/>
          <tpl fld="1" item="1"/>
        </tpls>
      </m>
      <m>
        <tpls c="4">
          <tpl fld="0" item="355"/>
          <tpl hier="3" item="1"/>
          <tpl fld="2" item="0"/>
          <tpl fld="1" item="0"/>
        </tpls>
      </m>
      <m>
        <tpls c="4">
          <tpl fld="0" item="355"/>
          <tpl hier="3" item="1"/>
          <tpl fld="2" item="0"/>
          <tpl fld="1" item="1"/>
        </tpls>
      </m>
      <m>
        <tpls c="4">
          <tpl fld="0" item="356"/>
          <tpl hier="3" item="1"/>
          <tpl fld="2" item="1"/>
          <tpl fld="1" item="0"/>
        </tpls>
      </m>
      <m>
        <tpls c="4">
          <tpl fld="0" item="356"/>
          <tpl hier="3" item="1"/>
          <tpl fld="2" item="1"/>
          <tpl fld="1" item="1"/>
        </tpls>
      </m>
      <m>
        <tpls c="4">
          <tpl fld="0" item="357"/>
          <tpl hier="3" item="1"/>
          <tpl fld="2" item="0"/>
          <tpl fld="1" item="0"/>
        </tpls>
      </m>
      <m>
        <tpls c="4">
          <tpl fld="0" item="357"/>
          <tpl hier="3" item="1"/>
          <tpl fld="2" item="0"/>
          <tpl fld="1" item="1"/>
        </tpls>
      </m>
      <n v="211345" in="0">
        <tpls c="4">
          <tpl fld="0" item="358"/>
          <tpl hier="3" item="1"/>
          <tpl fld="2" item="1"/>
          <tpl fld="1" item="0"/>
        </tpls>
      </n>
      <n v="9000" in="0">
        <tpls c="4">
          <tpl fld="0" item="358"/>
          <tpl hier="3" item="1"/>
          <tpl fld="2" item="1"/>
          <tpl fld="1" item="1"/>
        </tpls>
      </n>
      <m>
        <tpls c="4">
          <tpl fld="0" item="359"/>
          <tpl hier="3" item="1"/>
          <tpl fld="2" item="1"/>
          <tpl fld="1" item="0"/>
        </tpls>
      </m>
      <m>
        <tpls c="4">
          <tpl fld="0" item="359"/>
          <tpl hier="3" item="1"/>
          <tpl fld="2" item="1"/>
          <tpl fld="1" item="1"/>
        </tpls>
      </m>
      <m>
        <tpls c="4">
          <tpl fld="0" item="360"/>
          <tpl hier="3" item="1"/>
          <tpl fld="2" item="0"/>
          <tpl fld="1" item="0"/>
        </tpls>
      </m>
      <m>
        <tpls c="4">
          <tpl fld="0" item="360"/>
          <tpl hier="3" item="1"/>
          <tpl fld="2" item="0"/>
          <tpl fld="1" item="1"/>
        </tpls>
      </m>
      <m>
        <tpls c="4">
          <tpl fld="0" item="361"/>
          <tpl hier="3" item="1"/>
          <tpl fld="2" item="2"/>
          <tpl fld="1" item="0"/>
        </tpls>
      </m>
      <m>
        <tpls c="4">
          <tpl fld="0" item="361"/>
          <tpl hier="3" item="1"/>
          <tpl fld="2" item="2"/>
          <tpl fld="1" item="1"/>
        </tpls>
      </m>
      <m>
        <tpls c="4">
          <tpl fld="0" item="362"/>
          <tpl hier="3" item="1"/>
          <tpl fld="2" item="0"/>
          <tpl fld="1" item="0"/>
        </tpls>
      </m>
      <m>
        <tpls c="4">
          <tpl fld="0" item="362"/>
          <tpl hier="3" item="1"/>
          <tpl fld="2" item="0"/>
          <tpl fld="1" item="1"/>
        </tpls>
      </m>
      <m>
        <tpls c="4">
          <tpl fld="0" item="363"/>
          <tpl hier="3" item="1"/>
          <tpl fld="2" item="2"/>
          <tpl fld="1" item="0"/>
        </tpls>
      </m>
      <m>
        <tpls c="4">
          <tpl fld="0" item="363"/>
          <tpl hier="3" item="1"/>
          <tpl fld="2" item="2"/>
          <tpl fld="1" item="1"/>
        </tpls>
      </m>
      <n v="60577" in="0">
        <tpls c="4">
          <tpl fld="0" item="364"/>
          <tpl hier="3" item="1"/>
          <tpl fld="2" item="0"/>
          <tpl fld="1" item="0"/>
        </tpls>
      </n>
      <n v="2800" in="0">
        <tpls c="4">
          <tpl fld="0" item="364"/>
          <tpl hier="3" item="1"/>
          <tpl fld="2" item="0"/>
          <tpl fld="1" item="1"/>
        </tpls>
      </n>
      <m>
        <tpls c="4">
          <tpl fld="0" item="365"/>
          <tpl hier="3" item="1"/>
          <tpl fld="2" item="1"/>
          <tpl fld="1" item="0"/>
        </tpls>
      </m>
      <m>
        <tpls c="4">
          <tpl fld="0" item="365"/>
          <tpl hier="3" item="1"/>
          <tpl fld="2" item="1"/>
          <tpl fld="1" item="1"/>
        </tpls>
      </m>
      <m>
        <tpls c="4">
          <tpl fld="0" item="366"/>
          <tpl hier="3" item="1"/>
          <tpl fld="2" item="2"/>
          <tpl fld="1" item="0"/>
        </tpls>
      </m>
      <m>
        <tpls c="4">
          <tpl fld="0" item="366"/>
          <tpl hier="3" item="1"/>
          <tpl fld="2" item="2"/>
          <tpl fld="1" item="1"/>
        </tpls>
      </m>
      <m>
        <tpls c="4">
          <tpl fld="0" item="367"/>
          <tpl hier="3" item="1"/>
          <tpl fld="2" item="0"/>
          <tpl fld="1" item="0"/>
        </tpls>
      </m>
      <m>
        <tpls c="4">
          <tpl fld="0" item="367"/>
          <tpl hier="3" item="1"/>
          <tpl fld="2" item="0"/>
          <tpl fld="1" item="1"/>
        </tpls>
      </m>
      <m>
        <tpls c="4">
          <tpl fld="0" item="368"/>
          <tpl hier="3" item="1"/>
          <tpl fld="2" item="1"/>
          <tpl fld="1" item="0"/>
        </tpls>
      </m>
      <m>
        <tpls c="4">
          <tpl fld="0" item="368"/>
          <tpl hier="3" item="1"/>
          <tpl fld="2" item="1"/>
          <tpl fld="1" item="1"/>
        </tpls>
      </m>
      <m>
        <tpls c="4">
          <tpl fld="0" item="369"/>
          <tpl hier="3" item="1"/>
          <tpl fld="2" item="2"/>
          <tpl fld="1" item="0"/>
        </tpls>
      </m>
      <m>
        <tpls c="4">
          <tpl fld="0" item="369"/>
          <tpl hier="3" item="1"/>
          <tpl fld="2" item="2"/>
          <tpl fld="1" item="1"/>
        </tpls>
      </m>
      <m>
        <tpls c="4">
          <tpl fld="0" item="370"/>
          <tpl hier="3" item="1"/>
          <tpl fld="2" item="1"/>
          <tpl fld="1" item="0"/>
        </tpls>
      </m>
      <m>
        <tpls c="4">
          <tpl fld="0" item="370"/>
          <tpl hier="3" item="1"/>
          <tpl fld="2" item="1"/>
          <tpl fld="1" item="1"/>
        </tpls>
      </m>
      <m>
        <tpls c="4">
          <tpl fld="0" item="371"/>
          <tpl hier="3" item="1"/>
          <tpl fld="2" item="0"/>
          <tpl fld="1" item="0"/>
        </tpls>
      </m>
      <m>
        <tpls c="4">
          <tpl fld="0" item="371"/>
          <tpl hier="3" item="1"/>
          <tpl fld="2" item="0"/>
          <tpl fld="1" item="1"/>
        </tpls>
      </m>
      <m>
        <tpls c="4">
          <tpl fld="0" item="372"/>
          <tpl hier="3" item="1"/>
          <tpl fld="2" item="0"/>
          <tpl fld="1" item="0"/>
        </tpls>
      </m>
      <m>
        <tpls c="4">
          <tpl fld="0" item="372"/>
          <tpl hier="3" item="1"/>
          <tpl fld="2" item="0"/>
          <tpl fld="1" item="1"/>
        </tpls>
      </m>
      <n v="141946" in="0">
        <tpls c="4">
          <tpl fld="0" item="373"/>
          <tpl hier="3" item="1"/>
          <tpl fld="2" item="1"/>
          <tpl fld="1" item="0"/>
        </tpls>
      </n>
      <n v="9000" in="0">
        <tpls c="4">
          <tpl fld="0" item="373"/>
          <tpl hier="3" item="1"/>
          <tpl fld="2" item="1"/>
          <tpl fld="1" item="1"/>
        </tpls>
      </n>
      <m>
        <tpls c="4">
          <tpl fld="0" item="374"/>
          <tpl hier="3" item="1"/>
          <tpl fld="2" item="1"/>
          <tpl fld="1" item="0"/>
        </tpls>
      </m>
      <m>
        <tpls c="4">
          <tpl fld="0" item="374"/>
          <tpl hier="3" item="1"/>
          <tpl fld="2" item="1"/>
          <tpl fld="1" item="1"/>
        </tpls>
      </m>
      <m>
        <tpls c="4">
          <tpl fld="0" item="375"/>
          <tpl hier="3" item="1"/>
          <tpl fld="2" item="1"/>
          <tpl fld="1" item="0"/>
        </tpls>
      </m>
      <m>
        <tpls c="4">
          <tpl fld="0" item="375"/>
          <tpl hier="3" item="1"/>
          <tpl fld="2" item="1"/>
          <tpl fld="1" item="1"/>
        </tpls>
      </m>
      <m>
        <tpls c="4">
          <tpl fld="0" item="376"/>
          <tpl hier="3" item="1"/>
          <tpl fld="2" item="1"/>
          <tpl fld="1" item="0"/>
        </tpls>
      </m>
      <m>
        <tpls c="4">
          <tpl fld="0" item="376"/>
          <tpl hier="3" item="1"/>
          <tpl fld="2" item="1"/>
          <tpl fld="1" item="1"/>
        </tpls>
      </m>
      <m>
        <tpls c="4">
          <tpl fld="0" item="377"/>
          <tpl hier="3" item="1"/>
          <tpl fld="2" item="1"/>
          <tpl fld="1" item="0"/>
        </tpls>
      </m>
      <m>
        <tpls c="4">
          <tpl fld="0" item="377"/>
          <tpl hier="3" item="1"/>
          <tpl fld="2" item="1"/>
          <tpl fld="1" item="1"/>
        </tpls>
      </m>
      <m>
        <tpls c="4">
          <tpl fld="0" item="378"/>
          <tpl hier="3" item="1"/>
          <tpl fld="2" item="0"/>
          <tpl fld="1" item="0"/>
        </tpls>
      </m>
      <m>
        <tpls c="4">
          <tpl fld="0" item="378"/>
          <tpl hier="3" item="1"/>
          <tpl fld="2" item="0"/>
          <tpl fld="1" item="1"/>
        </tpls>
      </m>
      <m>
        <tpls c="4">
          <tpl fld="0" item="379"/>
          <tpl hier="3" item="1"/>
          <tpl fld="2" item="0"/>
          <tpl fld="1" item="0"/>
        </tpls>
      </m>
      <m>
        <tpls c="4">
          <tpl fld="0" item="379"/>
          <tpl hier="3" item="1"/>
          <tpl fld="2" item="0"/>
          <tpl fld="1" item="1"/>
        </tpls>
      </m>
      <m>
        <tpls c="4">
          <tpl fld="0" item="380"/>
          <tpl hier="3" item="1"/>
          <tpl fld="2" item="1"/>
          <tpl fld="1" item="0"/>
        </tpls>
      </m>
      <m>
        <tpls c="4">
          <tpl fld="0" item="380"/>
          <tpl hier="3" item="1"/>
          <tpl fld="2" item="1"/>
          <tpl fld="1" item="1"/>
        </tpls>
      </m>
      <m>
        <tpls c="4">
          <tpl fld="0" item="381"/>
          <tpl hier="3" item="1"/>
          <tpl fld="2" item="1"/>
          <tpl fld="1" item="0"/>
        </tpls>
      </m>
      <m>
        <tpls c="4">
          <tpl fld="0" item="381"/>
          <tpl hier="3" item="1"/>
          <tpl fld="2" item="1"/>
          <tpl fld="1" item="1"/>
        </tpls>
      </m>
      <m>
        <tpls c="4">
          <tpl fld="0" item="382"/>
          <tpl hier="3" item="1"/>
          <tpl fld="2" item="1"/>
          <tpl fld="1" item="0"/>
        </tpls>
      </m>
      <m>
        <tpls c="4">
          <tpl fld="0" item="382"/>
          <tpl hier="3" item="1"/>
          <tpl fld="2" item="1"/>
          <tpl fld="1" item="1"/>
        </tpls>
      </m>
      <n v="99619" in="0">
        <tpls c="4">
          <tpl fld="0" item="383"/>
          <tpl hier="3" item="1"/>
          <tpl fld="2" item="0"/>
          <tpl fld="1" item="0"/>
        </tpls>
      </n>
      <n v="4200" in="0">
        <tpls c="4">
          <tpl fld="0" item="383"/>
          <tpl hier="3" item="1"/>
          <tpl fld="2" item="0"/>
          <tpl fld="1" item="1"/>
        </tpls>
      </n>
      <m>
        <tpls c="4">
          <tpl fld="0" item="384"/>
          <tpl hier="3" item="1"/>
          <tpl fld="2" item="0"/>
          <tpl fld="1" item="0"/>
        </tpls>
      </m>
      <m>
        <tpls c="4">
          <tpl fld="0" item="384"/>
          <tpl hier="3" item="1"/>
          <tpl fld="2" item="0"/>
          <tpl fld="1" item="1"/>
        </tpls>
      </m>
      <n v="157220" in="0">
        <tpls c="4">
          <tpl fld="0" item="385"/>
          <tpl hier="3" item="1"/>
          <tpl fld="2" item="1"/>
          <tpl fld="1" item="0"/>
        </tpls>
      </n>
      <n v="9000" in="0">
        <tpls c="4">
          <tpl fld="0" item="385"/>
          <tpl hier="3" item="1"/>
          <tpl fld="2" item="1"/>
          <tpl fld="1" item="1"/>
        </tpls>
      </n>
      <m>
        <tpls c="4">
          <tpl fld="0" item="386"/>
          <tpl hier="3" item="1"/>
          <tpl fld="2" item="0"/>
          <tpl fld="1" item="0"/>
        </tpls>
      </m>
      <m>
        <tpls c="4">
          <tpl fld="0" item="386"/>
          <tpl hier="3" item="1"/>
          <tpl fld="2" item="0"/>
          <tpl fld="1" item="1"/>
        </tpls>
      </m>
      <m>
        <tpls c="4">
          <tpl fld="0" item="387"/>
          <tpl hier="3" item="1"/>
          <tpl fld="2" item="1"/>
          <tpl fld="1" item="0"/>
        </tpls>
      </m>
      <m>
        <tpls c="4">
          <tpl fld="0" item="387"/>
          <tpl hier="3" item="1"/>
          <tpl fld="2" item="1"/>
          <tpl fld="1" item="1"/>
        </tpls>
      </m>
      <m>
        <tpls c="4">
          <tpl fld="0" item="388"/>
          <tpl hier="3" item="1"/>
          <tpl fld="2" item="1"/>
          <tpl fld="1" item="0"/>
        </tpls>
      </m>
      <m>
        <tpls c="4">
          <tpl fld="0" item="388"/>
          <tpl hier="3" item="1"/>
          <tpl fld="2" item="1"/>
          <tpl fld="1" item="1"/>
        </tpls>
      </m>
      <m>
        <tpls c="4">
          <tpl fld="0" item="389"/>
          <tpl hier="3" item="1"/>
          <tpl fld="2" item="0"/>
          <tpl fld="1" item="0"/>
        </tpls>
      </m>
      <m>
        <tpls c="4">
          <tpl fld="0" item="389"/>
          <tpl hier="3" item="1"/>
          <tpl fld="2" item="0"/>
          <tpl fld="1" item="1"/>
        </tpls>
      </m>
      <n v="152063" in="0">
        <tpls c="4">
          <tpl fld="0" item="390"/>
          <tpl hier="3" item="1"/>
          <tpl fld="2" item="1"/>
          <tpl fld="1" item="0"/>
        </tpls>
      </n>
      <n v="6750" in="0">
        <tpls c="4">
          <tpl fld="0" item="390"/>
          <tpl hier="3" item="1"/>
          <tpl fld="2" item="1"/>
          <tpl fld="1" item="1"/>
        </tpls>
      </n>
      <m>
        <tpls c="4">
          <tpl fld="0" item="391"/>
          <tpl hier="3" item="1"/>
          <tpl fld="2" item="1"/>
          <tpl fld="1" item="0"/>
        </tpls>
      </m>
      <m>
        <tpls c="4">
          <tpl fld="0" item="391"/>
          <tpl hier="3" item="1"/>
          <tpl fld="2" item="1"/>
          <tpl fld="1" item="1"/>
        </tpls>
      </m>
      <n v="61951" in="0">
        <tpls c="4">
          <tpl fld="0" item="392"/>
          <tpl hier="3" item="1"/>
          <tpl fld="2" item="0"/>
          <tpl fld="1" item="0"/>
        </tpls>
      </n>
      <n v="2800" in="0">
        <tpls c="4">
          <tpl fld="0" item="392"/>
          <tpl hier="3" item="1"/>
          <tpl fld="2" item="0"/>
          <tpl fld="1" item="1"/>
        </tpls>
      </n>
      <m>
        <tpls c="4">
          <tpl fld="0" item="393"/>
          <tpl hier="3" item="1"/>
          <tpl fld="2" item="1"/>
          <tpl fld="1" item="0"/>
        </tpls>
      </m>
      <m>
        <tpls c="4">
          <tpl fld="0" item="393"/>
          <tpl hier="3" item="1"/>
          <tpl fld="2" item="1"/>
          <tpl fld="1" item="1"/>
        </tpls>
      </m>
      <n v="111986" in="0">
        <tpls c="4">
          <tpl fld="0" item="394"/>
          <tpl hier="3" item="1"/>
          <tpl fld="2" item="0"/>
          <tpl fld="1" item="0"/>
        </tpls>
      </n>
      <n v="4200" in="0">
        <tpls c="4">
          <tpl fld="0" item="394"/>
          <tpl hier="3" item="1"/>
          <tpl fld="2" item="0"/>
          <tpl fld="1" item="1"/>
        </tpls>
      </n>
      <m>
        <tpls c="4">
          <tpl fld="0" item="395"/>
          <tpl hier="3" item="1"/>
          <tpl fld="2" item="1"/>
          <tpl fld="1" item="0"/>
        </tpls>
      </m>
      <m>
        <tpls c="4">
          <tpl fld="0" item="395"/>
          <tpl hier="3" item="1"/>
          <tpl fld="2" item="1"/>
          <tpl fld="1" item="1"/>
        </tpls>
      </m>
      <m>
        <tpls c="4">
          <tpl fld="0" item="396"/>
          <tpl hier="3" item="1"/>
          <tpl fld="2" item="0"/>
          <tpl fld="1" item="0"/>
        </tpls>
      </m>
      <m>
        <tpls c="4">
          <tpl fld="0" item="396"/>
          <tpl hier="3" item="1"/>
          <tpl fld="2" item="0"/>
          <tpl fld="1" item="1"/>
        </tpls>
      </m>
      <n v="186577" in="0">
        <tpls c="4">
          <tpl fld="0" item="397"/>
          <tpl hier="3" item="1"/>
          <tpl fld="2" item="1"/>
          <tpl fld="1" item="0"/>
        </tpls>
      </n>
      <n v="9000" in="0">
        <tpls c="4">
          <tpl fld="0" item="397"/>
          <tpl hier="3" item="1"/>
          <tpl fld="2" item="1"/>
          <tpl fld="1" item="1"/>
        </tpls>
      </n>
      <m>
        <tpls c="4">
          <tpl fld="0" item="398"/>
          <tpl hier="3" item="1"/>
          <tpl fld="2" item="0"/>
          <tpl fld="1" item="0"/>
        </tpls>
      </m>
      <m>
        <tpls c="4">
          <tpl fld="0" item="398"/>
          <tpl hier="3" item="1"/>
          <tpl fld="2" item="0"/>
          <tpl fld="1" item="1"/>
        </tpls>
      </m>
      <m>
        <tpls c="4">
          <tpl fld="0" item="399"/>
          <tpl hier="3" item="1"/>
          <tpl fld="2" item="2"/>
          <tpl fld="1" item="0"/>
        </tpls>
      </m>
      <m>
        <tpls c="4">
          <tpl fld="0" item="399"/>
          <tpl hier="3" item="1"/>
          <tpl fld="2" item="2"/>
          <tpl fld="1" item="1"/>
        </tpls>
      </m>
      <m>
        <tpls c="4">
          <tpl fld="0" item="400"/>
          <tpl hier="3" item="1"/>
          <tpl fld="2" item="1"/>
          <tpl fld="1" item="0"/>
        </tpls>
      </m>
      <m>
        <tpls c="4">
          <tpl fld="0" item="400"/>
          <tpl hier="3" item="1"/>
          <tpl fld="2" item="1"/>
          <tpl fld="1" item="1"/>
        </tpls>
      </m>
      <m>
        <tpls c="4">
          <tpl fld="0" item="401"/>
          <tpl hier="3" item="1"/>
          <tpl fld="2" item="0"/>
          <tpl fld="1" item="0"/>
        </tpls>
      </m>
      <m>
        <tpls c="4">
          <tpl fld="0" item="401"/>
          <tpl hier="3" item="1"/>
          <tpl fld="2" item="0"/>
          <tpl fld="1" item="1"/>
        </tpls>
      </m>
      <m>
        <tpls c="4">
          <tpl fld="0" item="402"/>
          <tpl hier="3" item="1"/>
          <tpl fld="2" item="0"/>
          <tpl fld="1" item="0"/>
        </tpls>
      </m>
      <m>
        <tpls c="4">
          <tpl fld="0" item="402"/>
          <tpl hier="3" item="1"/>
          <tpl fld="2" item="0"/>
          <tpl fld="1" item="1"/>
        </tpls>
      </m>
      <m>
        <tpls c="4">
          <tpl fld="0" item="403"/>
          <tpl hier="3" item="1"/>
          <tpl fld="2" item="1"/>
          <tpl fld="1" item="0"/>
        </tpls>
      </m>
      <m>
        <tpls c="4">
          <tpl fld="0" item="403"/>
          <tpl hier="3" item="1"/>
          <tpl fld="2" item="1"/>
          <tpl fld="1" item="1"/>
        </tpls>
      </m>
      <m>
        <tpls c="4">
          <tpl fld="0" item="404"/>
          <tpl hier="3" item="1"/>
          <tpl fld="2" item="1"/>
          <tpl fld="1" item="0"/>
        </tpls>
      </m>
      <m>
        <tpls c="4">
          <tpl fld="0" item="404"/>
          <tpl hier="3" item="1"/>
          <tpl fld="2" item="1"/>
          <tpl fld="1" item="1"/>
        </tpls>
      </m>
      <m>
        <tpls c="4">
          <tpl fld="0" item="405"/>
          <tpl hier="3" item="1"/>
          <tpl fld="2" item="1"/>
          <tpl fld="1" item="0"/>
        </tpls>
      </m>
      <m>
        <tpls c="4">
          <tpl fld="0" item="405"/>
          <tpl hier="3" item="1"/>
          <tpl fld="2" item="1"/>
          <tpl fld="1" item="1"/>
        </tpls>
      </m>
      <n v="130944" in="0">
        <tpls c="4">
          <tpl fld="0" item="406"/>
          <tpl hier="3" item="1"/>
          <tpl fld="2" item="1"/>
          <tpl fld="1" item="0"/>
        </tpls>
      </n>
      <n v="6750" in="0">
        <tpls c="4">
          <tpl fld="0" item="406"/>
          <tpl hier="3" item="1"/>
          <tpl fld="2" item="1"/>
          <tpl fld="1" item="1"/>
        </tpls>
      </n>
      <m>
        <tpls c="4">
          <tpl fld="0" item="407"/>
          <tpl hier="3" item="1"/>
          <tpl fld="2" item="0"/>
          <tpl fld="1" item="0"/>
        </tpls>
      </m>
      <m>
        <tpls c="4">
          <tpl fld="0" item="407"/>
          <tpl hier="3" item="1"/>
          <tpl fld="2" item="0"/>
          <tpl fld="1" item="1"/>
        </tpls>
      </m>
      <m>
        <tpls c="4">
          <tpl fld="0" item="408"/>
          <tpl hier="3" item="1"/>
          <tpl fld="2" item="0"/>
          <tpl fld="1" item="0"/>
        </tpls>
      </m>
      <m>
        <tpls c="4">
          <tpl fld="0" item="408"/>
          <tpl hier="3" item="1"/>
          <tpl fld="2" item="0"/>
          <tpl fld="1" item="1"/>
        </tpls>
      </m>
      <m>
        <tpls c="4">
          <tpl fld="0" item="409"/>
          <tpl hier="3" item="1"/>
          <tpl fld="2" item="0"/>
          <tpl fld="1" item="0"/>
        </tpls>
      </m>
      <m>
        <tpls c="4">
          <tpl fld="0" item="409"/>
          <tpl hier="3" item="1"/>
          <tpl fld="2" item="0"/>
          <tpl fld="1" item="1"/>
        </tpls>
      </m>
      <m>
        <tpls c="4">
          <tpl fld="0" item="410"/>
          <tpl hier="3" item="1"/>
          <tpl fld="2" item="1"/>
          <tpl fld="1" item="0"/>
        </tpls>
      </m>
      <m>
        <tpls c="4">
          <tpl fld="0" item="410"/>
          <tpl hier="3" item="1"/>
          <tpl fld="2" item="1"/>
          <tpl fld="1" item="1"/>
        </tpls>
      </m>
      <m>
        <tpls c="4">
          <tpl fld="0" item="411"/>
          <tpl hier="3" item="1"/>
          <tpl fld="2" item="1"/>
          <tpl fld="1" item="0"/>
        </tpls>
      </m>
      <m>
        <tpls c="4">
          <tpl fld="0" item="411"/>
          <tpl hier="3" item="1"/>
          <tpl fld="2" item="1"/>
          <tpl fld="1" item="1"/>
        </tpls>
      </m>
      <m>
        <tpls c="4">
          <tpl fld="0" item="412"/>
          <tpl hier="3" item="1"/>
          <tpl fld="2" item="1"/>
          <tpl fld="1" item="0"/>
        </tpls>
      </m>
      <m>
        <tpls c="4">
          <tpl fld="0" item="412"/>
          <tpl hier="3" item="1"/>
          <tpl fld="2" item="1"/>
          <tpl fld="1" item="1"/>
        </tpls>
      </m>
      <m>
        <tpls c="4">
          <tpl fld="0" item="413"/>
          <tpl hier="3" item="1"/>
          <tpl fld="2" item="1"/>
          <tpl fld="1" item="0"/>
        </tpls>
      </m>
      <m>
        <tpls c="4">
          <tpl fld="0" item="413"/>
          <tpl hier="3" item="1"/>
          <tpl fld="2" item="1"/>
          <tpl fld="1" item="1"/>
        </tpls>
      </m>
      <m>
        <tpls c="4">
          <tpl fld="0" item="414"/>
          <tpl hier="3" item="1"/>
          <tpl fld="2" item="0"/>
          <tpl fld="1" item="0"/>
        </tpls>
      </m>
      <m>
        <tpls c="4">
          <tpl fld="0" item="414"/>
          <tpl hier="3" item="1"/>
          <tpl fld="2" item="0"/>
          <tpl fld="1" item="1"/>
        </tpls>
      </m>
      <m>
        <tpls c="4">
          <tpl fld="0" item="415"/>
          <tpl hier="3" item="1"/>
          <tpl fld="2" item="0"/>
          <tpl fld="1" item="0"/>
        </tpls>
      </m>
      <m>
        <tpls c="4">
          <tpl fld="0" item="415"/>
          <tpl hier="3" item="1"/>
          <tpl fld="2" item="0"/>
          <tpl fld="1" item="1"/>
        </tpls>
      </m>
      <m>
        <tpls c="4">
          <tpl fld="0" item="416"/>
          <tpl hier="3" item="1"/>
          <tpl fld="2" item="2"/>
          <tpl fld="1" item="0"/>
        </tpls>
      </m>
      <m>
        <tpls c="4">
          <tpl fld="0" item="416"/>
          <tpl hier="3" item="1"/>
          <tpl fld="2" item="2"/>
          <tpl fld="1" item="1"/>
        </tpls>
      </m>
      <n v="118306" in="0">
        <tpls c="4">
          <tpl fld="0" item="417"/>
          <tpl hier="3" item="1"/>
          <tpl fld="2" item="0"/>
          <tpl fld="1" item="0"/>
        </tpls>
      </n>
      <n v="4200" in="0">
        <tpls c="4">
          <tpl fld="0" item="417"/>
          <tpl hier="3" item="1"/>
          <tpl fld="2" item="0"/>
          <tpl fld="1" item="1"/>
        </tpls>
      </n>
      <m>
        <tpls c="4">
          <tpl fld="0" item="418"/>
          <tpl hier="3" item="1"/>
          <tpl fld="2" item="0"/>
          <tpl fld="1" item="0"/>
        </tpls>
      </m>
      <m>
        <tpls c="4">
          <tpl fld="0" item="418"/>
          <tpl hier="3" item="1"/>
          <tpl fld="2" item="0"/>
          <tpl fld="1" item="1"/>
        </tpls>
      </m>
      <m>
        <tpls c="4">
          <tpl fld="0" item="419"/>
          <tpl hier="3" item="1"/>
          <tpl fld="2" item="1"/>
          <tpl fld="1" item="0"/>
        </tpls>
      </m>
      <m>
        <tpls c="4">
          <tpl fld="0" item="419"/>
          <tpl hier="3" item="1"/>
          <tpl fld="2" item="1"/>
          <tpl fld="1" item="1"/>
        </tpls>
      </m>
      <m>
        <tpls c="4">
          <tpl fld="0" item="420"/>
          <tpl hier="3" item="1"/>
          <tpl fld="2" item="0"/>
          <tpl fld="1" item="0"/>
        </tpls>
      </m>
      <m>
        <tpls c="4">
          <tpl fld="0" item="420"/>
          <tpl hier="3" item="1"/>
          <tpl fld="2" item="0"/>
          <tpl fld="1" item="1"/>
        </tpls>
      </m>
      <n v="64043" in="0">
        <tpls c="4">
          <tpl fld="0" item="421"/>
          <tpl hier="3" item="1"/>
          <tpl fld="2" item="0"/>
          <tpl fld="1" item="0"/>
        </tpls>
      </n>
      <n v="4200" in="0">
        <tpls c="4">
          <tpl fld="0" item="421"/>
          <tpl hier="3" item="1"/>
          <tpl fld="2" item="0"/>
          <tpl fld="1" item="1"/>
        </tpls>
      </n>
      <m>
        <tpls c="4">
          <tpl fld="0" item="422"/>
          <tpl hier="3" item="1"/>
          <tpl fld="2" item="0"/>
          <tpl fld="1" item="0"/>
        </tpls>
      </m>
      <m>
        <tpls c="4">
          <tpl fld="0" item="422"/>
          <tpl hier="3" item="1"/>
          <tpl fld="2" item="0"/>
          <tpl fld="1" item="1"/>
        </tpls>
      </m>
      <m>
        <tpls c="4">
          <tpl fld="0" item="423"/>
          <tpl hier="3" item="1"/>
          <tpl fld="2" item="1"/>
          <tpl fld="1" item="0"/>
        </tpls>
      </m>
      <m>
        <tpls c="4">
          <tpl fld="0" item="423"/>
          <tpl hier="3" item="1"/>
          <tpl fld="2" item="1"/>
          <tpl fld="1" item="1"/>
        </tpls>
      </m>
      <m>
        <tpls c="4">
          <tpl fld="0" item="424"/>
          <tpl hier="3" item="1"/>
          <tpl fld="2" item="1"/>
          <tpl fld="1" item="0"/>
        </tpls>
      </m>
      <m>
        <tpls c="4">
          <tpl fld="0" item="424"/>
          <tpl hier="3" item="1"/>
          <tpl fld="2" item="1"/>
          <tpl fld="1" item="1"/>
        </tpls>
      </m>
      <n v="61640" in="0">
        <tpls c="4">
          <tpl fld="0" item="425"/>
          <tpl hier="3" item="1"/>
          <tpl fld="2" item="0"/>
          <tpl fld="1" item="0"/>
        </tpls>
      </n>
      <n v="4200" in="0">
        <tpls c="4">
          <tpl fld="0" item="425"/>
          <tpl hier="3" item="1"/>
          <tpl fld="2" item="0"/>
          <tpl fld="1" item="1"/>
        </tpls>
      </n>
      <m>
        <tpls c="4">
          <tpl fld="0" item="426"/>
          <tpl hier="3" item="1"/>
          <tpl fld="2" item="2"/>
          <tpl fld="1" item="0"/>
        </tpls>
      </m>
      <m>
        <tpls c="4">
          <tpl fld="0" item="426"/>
          <tpl hier="3" item="1"/>
          <tpl fld="2" item="2"/>
          <tpl fld="1" item="1"/>
        </tpls>
      </m>
      <m>
        <tpls c="4">
          <tpl fld="0" item="427"/>
          <tpl hier="3" item="1"/>
          <tpl fld="2" item="1"/>
          <tpl fld="1" item="0"/>
        </tpls>
      </m>
      <m>
        <tpls c="4">
          <tpl fld="0" item="427"/>
          <tpl hier="3" item="1"/>
          <tpl fld="2" item="1"/>
          <tpl fld="1" item="1"/>
        </tpls>
      </m>
      <m>
        <tpls c="4">
          <tpl fld="0" item="428"/>
          <tpl hier="3" item="1"/>
          <tpl fld="2" item="2"/>
          <tpl fld="1" item="0"/>
        </tpls>
      </m>
      <m>
        <tpls c="4">
          <tpl fld="0" item="428"/>
          <tpl hier="3" item="1"/>
          <tpl fld="2" item="2"/>
          <tpl fld="1" item="1"/>
        </tpls>
      </m>
      <m>
        <tpls c="4">
          <tpl fld="0" item="429"/>
          <tpl hier="3" item="1"/>
          <tpl fld="2" item="1"/>
          <tpl fld="1" item="0"/>
        </tpls>
      </m>
      <m>
        <tpls c="4">
          <tpl fld="0" item="429"/>
          <tpl hier="3" item="1"/>
          <tpl fld="2" item="1"/>
          <tpl fld="1" item="1"/>
        </tpls>
      </m>
      <m>
        <tpls c="4">
          <tpl fld="0" item="430"/>
          <tpl hier="3" item="1"/>
          <tpl fld="2" item="1"/>
          <tpl fld="1" item="0"/>
        </tpls>
      </m>
      <m>
        <tpls c="4">
          <tpl fld="0" item="430"/>
          <tpl hier="3" item="1"/>
          <tpl fld="2" item="1"/>
          <tpl fld="1" item="1"/>
        </tpls>
      </m>
      <n v="58378" in="0">
        <tpls c="4">
          <tpl fld="0" item="431"/>
          <tpl hier="3" item="1"/>
          <tpl fld="2" item="2"/>
          <tpl fld="1" item="0"/>
        </tpls>
      </n>
      <n v="1500" in="0">
        <tpls c="4">
          <tpl fld="0" item="431"/>
          <tpl hier="3" item="1"/>
          <tpl fld="2" item="2"/>
          <tpl fld="1" item="1"/>
        </tpls>
      </n>
      <m>
        <tpls c="4">
          <tpl fld="0" item="432"/>
          <tpl hier="3" item="1"/>
          <tpl fld="2" item="2"/>
          <tpl fld="1" item="0"/>
        </tpls>
      </m>
      <m>
        <tpls c="4">
          <tpl fld="0" item="432"/>
          <tpl hier="3" item="1"/>
          <tpl fld="2" item="2"/>
          <tpl fld="1" item="1"/>
        </tpls>
      </m>
      <m>
        <tpls c="4">
          <tpl fld="0" item="433"/>
          <tpl hier="3" item="1"/>
          <tpl fld="2" item="1"/>
          <tpl fld="1" item="0"/>
        </tpls>
      </m>
      <m>
        <tpls c="4">
          <tpl fld="0" item="433"/>
          <tpl hier="3" item="1"/>
          <tpl fld="2" item="1"/>
          <tpl fld="1" item="1"/>
        </tpls>
      </m>
      <n v="94788" in="0">
        <tpls c="4">
          <tpl fld="0" item="434"/>
          <tpl hier="3" item="1"/>
          <tpl fld="2" item="0"/>
          <tpl fld="1" item="0"/>
        </tpls>
      </n>
      <n v="4200" in="0">
        <tpls c="4">
          <tpl fld="0" item="434"/>
          <tpl hier="3" item="1"/>
          <tpl fld="2" item="0"/>
          <tpl fld="1" item="1"/>
        </tpls>
      </n>
      <m>
        <tpls c="4">
          <tpl fld="0" item="435"/>
          <tpl hier="3" item="1"/>
          <tpl fld="2" item="0"/>
          <tpl fld="1" item="0"/>
        </tpls>
      </m>
      <m>
        <tpls c="4">
          <tpl fld="0" item="435"/>
          <tpl hier="3" item="1"/>
          <tpl fld="2" item="0"/>
          <tpl fld="1" item="1"/>
        </tpls>
      </m>
      <m>
        <tpls c="4">
          <tpl fld="0" item="436"/>
          <tpl hier="3" item="1"/>
          <tpl fld="2" item="1"/>
          <tpl fld="1" item="0"/>
        </tpls>
      </m>
      <m>
        <tpls c="4">
          <tpl fld="0" item="436"/>
          <tpl hier="3" item="1"/>
          <tpl fld="2" item="1"/>
          <tpl fld="1" item="1"/>
        </tpls>
      </m>
      <n v="204934" in="0">
        <tpls c="4">
          <tpl fld="0" item="437"/>
          <tpl hier="3" item="1"/>
          <tpl fld="2" item="1"/>
          <tpl fld="1" item="0"/>
        </tpls>
      </n>
      <n v="9000" in="0">
        <tpls c="4">
          <tpl fld="0" item="437"/>
          <tpl hier="3" item="1"/>
          <tpl fld="2" item="1"/>
          <tpl fld="1" item="1"/>
        </tpls>
      </n>
      <m>
        <tpls c="4">
          <tpl fld="0" item="438"/>
          <tpl hier="3" item="1"/>
          <tpl fld="2" item="1"/>
          <tpl fld="1" item="0"/>
        </tpls>
      </m>
      <m>
        <tpls c="4">
          <tpl fld="0" item="438"/>
          <tpl hier="3" item="1"/>
          <tpl fld="2" item="1"/>
          <tpl fld="1" item="1"/>
        </tpls>
      </m>
      <m>
        <tpls c="4">
          <tpl fld="0" item="439"/>
          <tpl hier="3" item="1"/>
          <tpl fld="2" item="1"/>
          <tpl fld="1" item="0"/>
        </tpls>
      </m>
      <m>
        <tpls c="4">
          <tpl fld="0" item="439"/>
          <tpl hier="3" item="1"/>
          <tpl fld="2" item="1"/>
          <tpl fld="1" item="1"/>
        </tpls>
      </m>
      <m>
        <tpls c="4">
          <tpl fld="0" item="440"/>
          <tpl hier="3" item="1"/>
          <tpl fld="2" item="0"/>
          <tpl fld="1" item="0"/>
        </tpls>
      </m>
      <m>
        <tpls c="4">
          <tpl fld="0" item="440"/>
          <tpl hier="3" item="1"/>
          <tpl fld="2" item="0"/>
          <tpl fld="1" item="1"/>
        </tpls>
      </m>
      <m>
        <tpls c="4">
          <tpl fld="0" item="441"/>
          <tpl hier="3" item="1"/>
          <tpl fld="2" item="2"/>
          <tpl fld="1" item="0"/>
        </tpls>
      </m>
      <m>
        <tpls c="4">
          <tpl fld="0" item="441"/>
          <tpl hier="3" item="1"/>
          <tpl fld="2" item="2"/>
          <tpl fld="1" item="1"/>
        </tpls>
      </m>
      <m>
        <tpls c="4">
          <tpl fld="0" item="442"/>
          <tpl hier="3" item="1"/>
          <tpl fld="2" item="1"/>
          <tpl fld="1" item="0"/>
        </tpls>
      </m>
      <m>
        <tpls c="4">
          <tpl fld="0" item="442"/>
          <tpl hier="3" item="1"/>
          <tpl fld="2" item="1"/>
          <tpl fld="1" item="1"/>
        </tpls>
      </m>
      <m>
        <tpls c="4">
          <tpl fld="0" item="443"/>
          <tpl hier="3" item="1"/>
          <tpl fld="2" item="0"/>
          <tpl fld="1" item="0"/>
        </tpls>
      </m>
      <m>
        <tpls c="4">
          <tpl fld="0" item="443"/>
          <tpl hier="3" item="1"/>
          <tpl fld="2" item="0"/>
          <tpl fld="1" item="1"/>
        </tpls>
      </m>
      <m>
        <tpls c="4">
          <tpl fld="0" item="444"/>
          <tpl hier="3" item="1"/>
          <tpl fld="2" item="0"/>
          <tpl fld="1" item="0"/>
        </tpls>
      </m>
      <m>
        <tpls c="4">
          <tpl fld="0" item="444"/>
          <tpl hier="3" item="1"/>
          <tpl fld="2" item="0"/>
          <tpl fld="1" item="1"/>
        </tpls>
      </m>
      <m>
        <tpls c="4">
          <tpl fld="0" item="445"/>
          <tpl hier="3" item="1"/>
          <tpl fld="2" item="1"/>
          <tpl fld="1" item="0"/>
        </tpls>
      </m>
      <m>
        <tpls c="4">
          <tpl fld="0" item="445"/>
          <tpl hier="3" item="1"/>
          <tpl fld="2" item="1"/>
          <tpl fld="1" item="1"/>
        </tpls>
      </m>
      <n v="63179" in="0">
        <tpls c="4">
          <tpl fld="0" item="446"/>
          <tpl hier="3" item="1"/>
          <tpl fld="2" item="0"/>
          <tpl fld="1" item="0"/>
        </tpls>
      </n>
      <n v="4200" in="0">
        <tpls c="4">
          <tpl fld="0" item="446"/>
          <tpl hier="3" item="1"/>
          <tpl fld="2" item="0"/>
          <tpl fld="1" item="1"/>
        </tpls>
      </n>
      <m>
        <tpls c="4">
          <tpl fld="0" item="447"/>
          <tpl hier="3" item="1"/>
          <tpl fld="2" item="0"/>
          <tpl fld="1" item="0"/>
        </tpls>
      </m>
      <m>
        <tpls c="4">
          <tpl fld="0" item="447"/>
          <tpl hier="3" item="1"/>
          <tpl fld="2" item="0"/>
          <tpl fld="1" item="1"/>
        </tpls>
      </m>
      <m>
        <tpls c="4">
          <tpl fld="0" item="448"/>
          <tpl hier="3" item="1"/>
          <tpl fld="2" item="2"/>
          <tpl fld="1" item="0"/>
        </tpls>
      </m>
      <m>
        <tpls c="4">
          <tpl fld="0" item="448"/>
          <tpl hier="3" item="1"/>
          <tpl fld="2" item="2"/>
          <tpl fld="1" item="1"/>
        </tpls>
      </m>
      <m>
        <tpls c="4">
          <tpl fld="0" item="449"/>
          <tpl hier="3" item="1"/>
          <tpl fld="2" item="0"/>
          <tpl fld="1" item="0"/>
        </tpls>
      </m>
      <m>
        <tpls c="4">
          <tpl fld="0" item="449"/>
          <tpl hier="3" item="1"/>
          <tpl fld="2" item="0"/>
          <tpl fld="1" item="1"/>
        </tpls>
      </m>
      <m>
        <tpls c="4">
          <tpl fld="0" item="450"/>
          <tpl hier="3" item="1"/>
          <tpl fld="2" item="2"/>
          <tpl fld="1" item="0"/>
        </tpls>
      </m>
      <m>
        <tpls c="4">
          <tpl fld="0" item="450"/>
          <tpl hier="3" item="1"/>
          <tpl fld="2" item="2"/>
          <tpl fld="1" item="1"/>
        </tpls>
      </m>
      <m>
        <tpls c="4">
          <tpl fld="0" item="451"/>
          <tpl hier="3" item="1"/>
          <tpl fld="2" item="0"/>
          <tpl fld="1" item="0"/>
        </tpls>
      </m>
      <m>
        <tpls c="4">
          <tpl fld="0" item="451"/>
          <tpl hier="3" item="1"/>
          <tpl fld="2" item="0"/>
          <tpl fld="1" item="1"/>
        </tpls>
      </m>
      <m>
        <tpls c="4">
          <tpl fld="0" item="452"/>
          <tpl hier="3" item="1"/>
          <tpl fld="2" item="0"/>
          <tpl fld="1" item="0"/>
        </tpls>
      </m>
      <m>
        <tpls c="4">
          <tpl fld="0" item="452"/>
          <tpl hier="3" item="1"/>
          <tpl fld="2" item="0"/>
          <tpl fld="1" item="1"/>
        </tpls>
      </m>
      <m>
        <tpls c="4">
          <tpl fld="0" item="453"/>
          <tpl hier="3" item="1"/>
          <tpl fld="2" item="1"/>
          <tpl fld="1" item="0"/>
        </tpls>
      </m>
      <m>
        <tpls c="4">
          <tpl fld="0" item="453"/>
          <tpl hier="3" item="1"/>
          <tpl fld="2" item="1"/>
          <tpl fld="1" item="1"/>
        </tpls>
      </m>
      <m>
        <tpls c="4">
          <tpl fld="0" item="454"/>
          <tpl hier="3" item="1"/>
          <tpl fld="2" item="2"/>
          <tpl fld="1" item="0"/>
        </tpls>
      </m>
      <m>
        <tpls c="4">
          <tpl fld="0" item="454"/>
          <tpl hier="3" item="1"/>
          <tpl fld="2" item="2"/>
          <tpl fld="1" item="1"/>
        </tpls>
      </m>
      <m>
        <tpls c="4">
          <tpl fld="0" item="455"/>
          <tpl hier="3" item="1"/>
          <tpl fld="2" item="1"/>
          <tpl fld="1" item="0"/>
        </tpls>
      </m>
      <m>
        <tpls c="4">
          <tpl fld="0" item="455"/>
          <tpl hier="3" item="1"/>
          <tpl fld="2" item="1"/>
          <tpl fld="1" item="1"/>
        </tpls>
      </m>
      <n v="211837" in="0">
        <tpls c="4">
          <tpl fld="0" item="456"/>
          <tpl hier="3" item="1"/>
          <tpl fld="2" item="1"/>
          <tpl fld="1" item="0"/>
        </tpls>
      </n>
      <n v="6750" in="0">
        <tpls c="4">
          <tpl fld="0" item="456"/>
          <tpl hier="3" item="1"/>
          <tpl fld="2" item="1"/>
          <tpl fld="1" item="1"/>
        </tpls>
      </n>
      <m>
        <tpls c="4">
          <tpl fld="0" item="457"/>
          <tpl hier="3" item="1"/>
          <tpl fld="2" item="0"/>
          <tpl fld="1" item="0"/>
        </tpls>
      </m>
      <m>
        <tpls c="4">
          <tpl fld="0" item="457"/>
          <tpl hier="3" item="1"/>
          <tpl fld="2" item="0"/>
          <tpl fld="1" item="1"/>
        </tpls>
      </m>
      <m>
        <tpls c="4">
          <tpl fld="0" item="458"/>
          <tpl hier="3" item="1"/>
          <tpl fld="2" item="0"/>
          <tpl fld="1" item="0"/>
        </tpls>
      </m>
      <m>
        <tpls c="4">
          <tpl fld="0" item="458"/>
          <tpl hier="3" item="1"/>
          <tpl fld="2" item="0"/>
          <tpl fld="1" item="1"/>
        </tpls>
      </m>
      <m>
        <tpls c="4">
          <tpl fld="0" item="459"/>
          <tpl hier="3" item="1"/>
          <tpl fld="2" item="1"/>
          <tpl fld="1" item="0"/>
        </tpls>
      </m>
      <m>
        <tpls c="4">
          <tpl fld="0" item="459"/>
          <tpl hier="3" item="1"/>
          <tpl fld="2" item="1"/>
          <tpl fld="1" item="1"/>
        </tpls>
      </m>
      <m>
        <tpls c="4">
          <tpl fld="0" item="460"/>
          <tpl hier="3" item="1"/>
          <tpl fld="2" item="0"/>
          <tpl fld="1" item="0"/>
        </tpls>
      </m>
      <m>
        <tpls c="4">
          <tpl fld="0" item="460"/>
          <tpl hier="3" item="1"/>
          <tpl fld="2" item="0"/>
          <tpl fld="1" item="1"/>
        </tpls>
      </m>
      <m>
        <tpls c="4">
          <tpl fld="0" item="461"/>
          <tpl hier="3" item="1"/>
          <tpl fld="2" item="1"/>
          <tpl fld="1" item="0"/>
        </tpls>
      </m>
      <m>
        <tpls c="4">
          <tpl fld="0" item="461"/>
          <tpl hier="3" item="1"/>
          <tpl fld="2" item="1"/>
          <tpl fld="1" item="1"/>
        </tpls>
      </m>
      <m>
        <tpls c="4">
          <tpl fld="0" item="462"/>
          <tpl hier="3" item="1"/>
          <tpl fld="2" item="2"/>
          <tpl fld="1" item="0"/>
        </tpls>
      </m>
      <m>
        <tpls c="4">
          <tpl fld="0" item="462"/>
          <tpl hier="3" item="1"/>
          <tpl fld="2" item="2"/>
          <tpl fld="1" item="1"/>
        </tpls>
      </m>
      <m>
        <tpls c="4">
          <tpl fld="0" item="463"/>
          <tpl hier="3" item="1"/>
          <tpl fld="2" item="1"/>
          <tpl fld="1" item="0"/>
        </tpls>
      </m>
      <m>
        <tpls c="4">
          <tpl fld="0" item="463"/>
          <tpl hier="3" item="1"/>
          <tpl fld="2" item="1"/>
          <tpl fld="1" item="1"/>
        </tpls>
      </m>
      <m>
        <tpls c="4">
          <tpl fld="0" item="464"/>
          <tpl hier="3" item="1"/>
          <tpl fld="2" item="2"/>
          <tpl fld="1" item="0"/>
        </tpls>
      </m>
      <m>
        <tpls c="4">
          <tpl fld="0" item="464"/>
          <tpl hier="3" item="1"/>
          <tpl fld="2" item="2"/>
          <tpl fld="1" item="1"/>
        </tpls>
      </m>
      <m>
        <tpls c="4">
          <tpl fld="0" item="465"/>
          <tpl hier="3" item="1"/>
          <tpl fld="2" item="1"/>
          <tpl fld="1" item="0"/>
        </tpls>
      </m>
      <m>
        <tpls c="4">
          <tpl fld="0" item="465"/>
          <tpl hier="3" item="1"/>
          <tpl fld="2" item="1"/>
          <tpl fld="1" item="1"/>
        </tpls>
      </m>
      <m>
        <tpls c="4">
          <tpl fld="0" item="466"/>
          <tpl hier="3" item="1"/>
          <tpl fld="2" item="0"/>
          <tpl fld="1" item="0"/>
        </tpls>
      </m>
      <m>
        <tpls c="4">
          <tpl fld="0" item="466"/>
          <tpl hier="3" item="1"/>
          <tpl fld="2" item="0"/>
          <tpl fld="1" item="1"/>
        </tpls>
      </m>
      <m>
        <tpls c="4">
          <tpl fld="0" item="467"/>
          <tpl hier="3" item="1"/>
          <tpl fld="2" item="1"/>
          <tpl fld="1" item="0"/>
        </tpls>
      </m>
      <m>
        <tpls c="4">
          <tpl fld="0" item="467"/>
          <tpl hier="3" item="1"/>
          <tpl fld="2" item="1"/>
          <tpl fld="1" item="1"/>
        </tpls>
      </m>
      <n v="57029" in="0">
        <tpls c="4">
          <tpl fld="0" item="468"/>
          <tpl hier="3" item="1"/>
          <tpl fld="2" item="2"/>
          <tpl fld="1" item="0"/>
        </tpls>
      </n>
      <n v="1500" in="0">
        <tpls c="4">
          <tpl fld="0" item="468"/>
          <tpl hier="3" item="1"/>
          <tpl fld="2" item="2"/>
          <tpl fld="1" item="1"/>
        </tpls>
      </n>
      <m>
        <tpls c="4">
          <tpl fld="0" item="469"/>
          <tpl hier="3" item="1"/>
          <tpl fld="2" item="0"/>
          <tpl fld="1" item="0"/>
        </tpls>
      </m>
      <m>
        <tpls c="4">
          <tpl fld="0" item="469"/>
          <tpl hier="3" item="1"/>
          <tpl fld="2" item="0"/>
          <tpl fld="1" item="1"/>
        </tpls>
      </m>
      <m>
        <tpls c="4">
          <tpl fld="0" item="470"/>
          <tpl hier="3" item="1"/>
          <tpl fld="2" item="1"/>
          <tpl fld="1" item="0"/>
        </tpls>
      </m>
      <m>
        <tpls c="4">
          <tpl fld="0" item="470"/>
          <tpl hier="3" item="1"/>
          <tpl fld="2" item="1"/>
          <tpl fld="1" item="1"/>
        </tpls>
      </m>
      <m>
        <tpls c="4">
          <tpl fld="0" item="471"/>
          <tpl hier="3" item="1"/>
          <tpl fld="2" item="0"/>
          <tpl fld="1" item="0"/>
        </tpls>
      </m>
      <m>
        <tpls c="4">
          <tpl fld="0" item="471"/>
          <tpl hier="3" item="1"/>
          <tpl fld="2" item="0"/>
          <tpl fld="1" item="1"/>
        </tpls>
      </m>
      <m>
        <tpls c="4">
          <tpl fld="0" item="472"/>
          <tpl hier="3" item="1"/>
          <tpl fld="2" item="1"/>
          <tpl fld="1" item="0"/>
        </tpls>
      </m>
      <m>
        <tpls c="4">
          <tpl fld="0" item="472"/>
          <tpl hier="3" item="1"/>
          <tpl fld="2" item="1"/>
          <tpl fld="1" item="1"/>
        </tpls>
      </m>
      <n v="141770" in="0">
        <tpls c="4">
          <tpl fld="0" item="473"/>
          <tpl hier="3" item="1"/>
          <tpl fld="2" item="1"/>
          <tpl fld="1" item="0"/>
        </tpls>
      </n>
      <n v="9000" in="0">
        <tpls c="4">
          <tpl fld="0" item="473"/>
          <tpl hier="3" item="1"/>
          <tpl fld="2" item="1"/>
          <tpl fld="1" item="1"/>
        </tpls>
      </n>
      <m>
        <tpls c="4">
          <tpl fld="0" item="474"/>
          <tpl hier="3" item="1"/>
          <tpl fld="2" item="0"/>
          <tpl fld="1" item="0"/>
        </tpls>
      </m>
      <m>
        <tpls c="4">
          <tpl fld="0" item="474"/>
          <tpl hier="3" item="1"/>
          <tpl fld="2" item="0"/>
          <tpl fld="1" item="1"/>
        </tpls>
      </m>
      <m>
        <tpls c="4">
          <tpl fld="0" item="475"/>
          <tpl hier="3" item="1"/>
          <tpl fld="2" item="1"/>
          <tpl fld="1" item="0"/>
        </tpls>
      </m>
      <m>
        <tpls c="4">
          <tpl fld="0" item="475"/>
          <tpl hier="3" item="1"/>
          <tpl fld="2" item="1"/>
          <tpl fld="1" item="1"/>
        </tpls>
      </m>
      <m>
        <tpls c="4">
          <tpl fld="0" item="476"/>
          <tpl hier="3" item="1"/>
          <tpl fld="2" item="1"/>
          <tpl fld="1" item="0"/>
        </tpls>
      </m>
      <m>
        <tpls c="4">
          <tpl fld="0" item="476"/>
          <tpl hier="3" item="1"/>
          <tpl fld="2" item="1"/>
          <tpl fld="1" item="1"/>
        </tpls>
      </m>
      <n v="188311" in="0">
        <tpls c="4">
          <tpl fld="0" item="477"/>
          <tpl hier="3" item="1"/>
          <tpl fld="2" item="1"/>
          <tpl fld="1" item="0"/>
        </tpls>
      </n>
      <n v="6750" in="0">
        <tpls c="4">
          <tpl fld="0" item="477"/>
          <tpl hier="3" item="1"/>
          <tpl fld="2" item="1"/>
          <tpl fld="1" item="1"/>
        </tpls>
      </n>
      <m>
        <tpls c="4">
          <tpl fld="0" item="478"/>
          <tpl hier="3" item="1"/>
          <tpl fld="2" item="2"/>
          <tpl fld="1" item="0"/>
        </tpls>
      </m>
      <m>
        <tpls c="4">
          <tpl fld="0" item="478"/>
          <tpl hier="3" item="1"/>
          <tpl fld="2" item="2"/>
          <tpl fld="1" item="1"/>
        </tpls>
      </m>
      <m>
        <tpls c="4">
          <tpl fld="0" item="479"/>
          <tpl hier="3" item="1"/>
          <tpl fld="2" item="0"/>
          <tpl fld="1" item="0"/>
        </tpls>
      </m>
      <m>
        <tpls c="4">
          <tpl fld="0" item="479"/>
          <tpl hier="3" item="1"/>
          <tpl fld="2" item="0"/>
          <tpl fld="1" item="1"/>
        </tpls>
      </m>
      <m>
        <tpls c="4">
          <tpl fld="0" item="480"/>
          <tpl hier="3" item="1"/>
          <tpl fld="2" item="1"/>
          <tpl fld="1" item="0"/>
        </tpls>
      </m>
      <m>
        <tpls c="4">
          <tpl fld="0" item="480"/>
          <tpl hier="3" item="1"/>
          <tpl fld="2" item="1"/>
          <tpl fld="1" item="1"/>
        </tpls>
      </m>
      <n v="185001" in="0">
        <tpls c="4">
          <tpl fld="0" item="481"/>
          <tpl hier="3" item="1"/>
          <tpl fld="2" item="1"/>
          <tpl fld="1" item="0"/>
        </tpls>
      </n>
      <n v="6750" in="0">
        <tpls c="4">
          <tpl fld="0" item="481"/>
          <tpl hier="3" item="1"/>
          <tpl fld="2" item="1"/>
          <tpl fld="1" item="1"/>
        </tpls>
      </n>
      <m>
        <tpls c="4">
          <tpl fld="0" item="482"/>
          <tpl hier="3" item="1"/>
          <tpl fld="2" item="0"/>
          <tpl fld="1" item="0"/>
        </tpls>
      </m>
      <m>
        <tpls c="4">
          <tpl fld="0" item="482"/>
          <tpl hier="3" item="1"/>
          <tpl fld="2" item="0"/>
          <tpl fld="1" item="1"/>
        </tpls>
      </m>
      <m>
        <tpls c="4">
          <tpl fld="0" item="483"/>
          <tpl hier="3" item="1"/>
          <tpl fld="2" item="1"/>
          <tpl fld="1" item="0"/>
        </tpls>
      </m>
      <m>
        <tpls c="4">
          <tpl fld="0" item="483"/>
          <tpl hier="3" item="1"/>
          <tpl fld="2" item="1"/>
          <tpl fld="1" item="1"/>
        </tpls>
      </m>
      <m>
        <tpls c="4">
          <tpl fld="0" item="484"/>
          <tpl hier="3" item="1"/>
          <tpl fld="2" item="0"/>
          <tpl fld="1" item="0"/>
        </tpls>
      </m>
      <m>
        <tpls c="4">
          <tpl fld="0" item="484"/>
          <tpl hier="3" item="1"/>
          <tpl fld="2" item="0"/>
          <tpl fld="1" item="1"/>
        </tpls>
      </m>
      <m>
        <tpls c="4">
          <tpl fld="0" item="485"/>
          <tpl hier="3" item="1"/>
          <tpl fld="2" item="0"/>
          <tpl fld="1" item="0"/>
        </tpls>
      </m>
      <m>
        <tpls c="4">
          <tpl fld="0" item="485"/>
          <tpl hier="3" item="1"/>
          <tpl fld="2" item="0"/>
          <tpl fld="1" item="1"/>
        </tpls>
      </m>
      <m>
        <tpls c="4">
          <tpl fld="0" item="486"/>
          <tpl hier="3" item="1"/>
          <tpl fld="2" item="0"/>
          <tpl fld="1" item="0"/>
        </tpls>
      </m>
      <m>
        <tpls c="4">
          <tpl fld="0" item="486"/>
          <tpl hier="3" item="1"/>
          <tpl fld="2" item="0"/>
          <tpl fld="1" item="1"/>
        </tpls>
      </m>
      <m>
        <tpls c="4">
          <tpl fld="0" item="487"/>
          <tpl hier="3" item="1"/>
          <tpl fld="2" item="0"/>
          <tpl fld="1" item="0"/>
        </tpls>
      </m>
      <m>
        <tpls c="4">
          <tpl fld="0" item="487"/>
          <tpl hier="3" item="1"/>
          <tpl fld="2" item="0"/>
          <tpl fld="1" item="1"/>
        </tpls>
      </m>
      <m>
        <tpls c="4">
          <tpl fld="0" item="488"/>
          <tpl hier="3" item="1"/>
          <tpl fld="2" item="1"/>
          <tpl fld="1" item="0"/>
        </tpls>
      </m>
      <m>
        <tpls c="4">
          <tpl fld="0" item="488"/>
          <tpl hier="3" item="1"/>
          <tpl fld="2" item="1"/>
          <tpl fld="1" item="1"/>
        </tpls>
      </m>
      <m>
        <tpls c="4">
          <tpl fld="0" item="489"/>
          <tpl hier="3" item="1"/>
          <tpl fld="2" item="2"/>
          <tpl fld="1" item="0"/>
        </tpls>
      </m>
      <m>
        <tpls c="4">
          <tpl fld="0" item="489"/>
          <tpl hier="3" item="1"/>
          <tpl fld="2" item="2"/>
          <tpl fld="1" item="1"/>
        </tpls>
      </m>
      <m>
        <tpls c="4">
          <tpl fld="0" item="490"/>
          <tpl hier="3" item="1"/>
          <tpl fld="2" item="1"/>
          <tpl fld="1" item="0"/>
        </tpls>
      </m>
      <m>
        <tpls c="4">
          <tpl fld="0" item="490"/>
          <tpl hier="3" item="1"/>
          <tpl fld="2" item="1"/>
          <tpl fld="1" item="1"/>
        </tpls>
      </m>
      <m>
        <tpls c="4">
          <tpl fld="0" item="491"/>
          <tpl hier="3" item="1"/>
          <tpl fld="2" item="1"/>
          <tpl fld="1" item="0"/>
        </tpls>
      </m>
      <m>
        <tpls c="4">
          <tpl fld="0" item="491"/>
          <tpl hier="3" item="1"/>
          <tpl fld="2" item="1"/>
          <tpl fld="1" item="1"/>
        </tpls>
      </m>
      <n v="94822" in="0">
        <tpls c="4">
          <tpl fld="0" item="2"/>
          <tpl hier="3" item="2"/>
          <tpl fld="2" item="0"/>
          <tpl fld="1" item="0"/>
        </tpls>
      </n>
      <n v="4200" in="0">
        <tpls c="4">
          <tpl fld="0" item="2"/>
          <tpl hier="3" item="2"/>
          <tpl fld="2" item="0"/>
          <tpl fld="1" item="1"/>
        </tpls>
      </n>
      <m>
        <tpls c="4">
          <tpl fld="0" item="3"/>
          <tpl hier="3" item="2"/>
          <tpl fld="2" item="1"/>
          <tpl fld="1" item="0"/>
        </tpls>
      </m>
      <m>
        <tpls c="4">
          <tpl fld="0" item="3"/>
          <tpl hier="3" item="2"/>
          <tpl fld="2" item="1"/>
          <tpl fld="1" item="1"/>
        </tpls>
      </m>
      <m>
        <tpls c="4">
          <tpl fld="0" item="4"/>
          <tpl hier="3" item="2"/>
          <tpl fld="2" item="1"/>
          <tpl fld="1" item="0"/>
        </tpls>
      </m>
      <m>
        <tpls c="4">
          <tpl fld="0" item="4"/>
          <tpl hier="3" item="2"/>
          <tpl fld="2" item="1"/>
          <tpl fld="1" item="1"/>
        </tpls>
      </m>
      <m>
        <tpls c="4">
          <tpl fld="0" item="5"/>
          <tpl hier="3" item="2"/>
          <tpl fld="2" item="1"/>
          <tpl fld="1" item="0"/>
        </tpls>
      </m>
      <m>
        <tpls c="4">
          <tpl fld="0" item="5"/>
          <tpl hier="3" item="2"/>
          <tpl fld="2" item="1"/>
          <tpl fld="1" item="1"/>
        </tpls>
      </m>
      <m>
        <tpls c="4">
          <tpl fld="0" item="6"/>
          <tpl hier="3" item="2"/>
          <tpl fld="2" item="0"/>
          <tpl fld="1" item="0"/>
        </tpls>
      </m>
      <m>
        <tpls c="4">
          <tpl fld="0" item="6"/>
          <tpl hier="3" item="2"/>
          <tpl fld="2" item="0"/>
          <tpl fld="1" item="1"/>
        </tpls>
      </m>
      <m>
        <tpls c="4">
          <tpl fld="0" item="7"/>
          <tpl hier="3" item="2"/>
          <tpl fld="2" item="0"/>
          <tpl fld="1" item="0"/>
        </tpls>
      </m>
      <m>
        <tpls c="4">
          <tpl fld="0" item="7"/>
          <tpl hier="3" item="2"/>
          <tpl fld="2" item="0"/>
          <tpl fld="1" item="1"/>
        </tpls>
      </m>
      <m>
        <tpls c="4">
          <tpl fld="0" item="8"/>
          <tpl hier="3" item="2"/>
          <tpl fld="2" item="2"/>
          <tpl fld="1" item="0"/>
        </tpls>
      </m>
      <m>
        <tpls c="4">
          <tpl fld="0" item="8"/>
          <tpl hier="3" item="2"/>
          <tpl fld="2" item="2"/>
          <tpl fld="1" item="1"/>
        </tpls>
      </m>
      <m>
        <tpls c="4">
          <tpl fld="0" item="9"/>
          <tpl hier="3" item="2"/>
          <tpl fld="2" item="2"/>
          <tpl fld="1" item="0"/>
        </tpls>
      </m>
      <m>
        <tpls c="4">
          <tpl fld="0" item="9"/>
          <tpl hier="3" item="2"/>
          <tpl fld="2" item="2"/>
          <tpl fld="1" item="1"/>
        </tpls>
      </m>
      <m>
        <tpls c="4">
          <tpl fld="0" item="10"/>
          <tpl hier="3" item="2"/>
          <tpl fld="2" item="1"/>
          <tpl fld="1" item="0"/>
        </tpls>
      </m>
      <m>
        <tpls c="4">
          <tpl fld="0" item="10"/>
          <tpl hier="3" item="2"/>
          <tpl fld="2" item="1"/>
          <tpl fld="1" item="1"/>
        </tpls>
      </m>
      <m>
        <tpls c="4">
          <tpl fld="0" item="11"/>
          <tpl hier="3" item="2"/>
          <tpl fld="2" item="1"/>
          <tpl fld="1" item="0"/>
        </tpls>
      </m>
      <m>
        <tpls c="4">
          <tpl fld="0" item="11"/>
          <tpl hier="3" item="2"/>
          <tpl fld="2" item="1"/>
          <tpl fld="1" item="1"/>
        </tpls>
      </m>
      <m>
        <tpls c="4">
          <tpl fld="0" item="0"/>
          <tpl hier="3" item="2"/>
          <tpl fld="2" item="2"/>
          <tpl fld="1" item="0"/>
        </tpls>
      </m>
      <m>
        <tpls c="4">
          <tpl fld="0" item="0"/>
          <tpl hier="3" item="2"/>
          <tpl fld="2" item="2"/>
          <tpl fld="1" item="1"/>
        </tpls>
      </m>
      <m>
        <tpls c="4">
          <tpl fld="0" item="1"/>
          <tpl hier="3" item="2"/>
          <tpl fld="2" item="1"/>
          <tpl fld="1" item="0"/>
        </tpls>
      </m>
      <m>
        <tpls c="4">
          <tpl fld="0" item="1"/>
          <tpl hier="3" item="2"/>
          <tpl fld="2" item="1"/>
          <tpl fld="1" item="1"/>
        </tpls>
      </m>
      <m>
        <tpls c="4">
          <tpl fld="0" item="12"/>
          <tpl hier="3" item="2"/>
          <tpl fld="2" item="1"/>
          <tpl fld="1" item="0"/>
        </tpls>
      </m>
      <m>
        <tpls c="4">
          <tpl fld="0" item="12"/>
          <tpl hier="3" item="2"/>
          <tpl fld="2" item="1"/>
          <tpl fld="1" item="1"/>
        </tpls>
      </m>
      <m>
        <tpls c="4">
          <tpl fld="0" item="13"/>
          <tpl hier="3" item="2"/>
          <tpl fld="2" item="0"/>
          <tpl fld="1" item="0"/>
        </tpls>
      </m>
      <m>
        <tpls c="4">
          <tpl fld="0" item="13"/>
          <tpl hier="3" item="2"/>
          <tpl fld="2" item="0"/>
          <tpl fld="1" item="1"/>
        </tpls>
      </m>
      <n v="72427" in="0">
        <tpls c="4">
          <tpl fld="0" item="14"/>
          <tpl hier="3" item="2"/>
          <tpl fld="2" item="0"/>
          <tpl fld="1" item="0"/>
        </tpls>
      </n>
      <n v="4200" in="0">
        <tpls c="4">
          <tpl fld="0" item="14"/>
          <tpl hier="3" item="2"/>
          <tpl fld="2" item="0"/>
          <tpl fld="1" item="1"/>
        </tpls>
      </n>
      <n v="72611" in="0">
        <tpls c="4">
          <tpl fld="0" item="15"/>
          <tpl hier="3" item="2"/>
          <tpl fld="2" item="0"/>
          <tpl fld="1" item="0"/>
        </tpls>
      </n>
      <n v="4200" in="0">
        <tpls c="4">
          <tpl fld="0" item="15"/>
          <tpl hier="3" item="2"/>
          <tpl fld="2" item="0"/>
          <tpl fld="1" item="1"/>
        </tpls>
      </n>
      <m>
        <tpls c="4">
          <tpl fld="0" item="16"/>
          <tpl hier="3" item="2"/>
          <tpl fld="2" item="0"/>
          <tpl fld="1" item="0"/>
        </tpls>
      </m>
      <m>
        <tpls c="4">
          <tpl fld="0" item="16"/>
          <tpl hier="3" item="2"/>
          <tpl fld="2" item="0"/>
          <tpl fld="1" item="1"/>
        </tpls>
      </m>
      <m>
        <tpls c="4">
          <tpl fld="0" item="17"/>
          <tpl hier="3" item="2"/>
          <tpl fld="2" item="0"/>
          <tpl fld="1" item="0"/>
        </tpls>
      </m>
      <m>
        <tpls c="4">
          <tpl fld="0" item="17"/>
          <tpl hier="3" item="2"/>
          <tpl fld="2" item="0"/>
          <tpl fld="1" item="1"/>
        </tpls>
      </m>
      <n v="102114" in="0">
        <tpls c="4">
          <tpl fld="0" item="18"/>
          <tpl hier="3" item="2"/>
          <tpl fld="2" item="0"/>
          <tpl fld="1" item="0"/>
        </tpls>
      </n>
      <n v="2800" in="0">
        <tpls c="4">
          <tpl fld="0" item="18"/>
          <tpl hier="3" item="2"/>
          <tpl fld="2" item="0"/>
          <tpl fld="1" item="1"/>
        </tpls>
      </n>
      <n v="84810" in="0">
        <tpls c="4">
          <tpl fld="0" item="19"/>
          <tpl hier="3" item="2"/>
          <tpl fld="2" item="0"/>
          <tpl fld="1" item="0"/>
        </tpls>
      </n>
      <n v="2800" in="0">
        <tpls c="4">
          <tpl fld="0" item="19"/>
          <tpl hier="3" item="2"/>
          <tpl fld="2" item="0"/>
          <tpl fld="1" item="1"/>
        </tpls>
      </n>
      <n v="127755" in="0">
        <tpls c="4">
          <tpl fld="0" item="20"/>
          <tpl hier="3" item="2"/>
          <tpl fld="2" item="1"/>
          <tpl fld="1" item="0"/>
        </tpls>
      </n>
      <n v="6750" in="0">
        <tpls c="4">
          <tpl fld="0" item="20"/>
          <tpl hier="3" item="2"/>
          <tpl fld="2" item="1"/>
          <tpl fld="1" item="1"/>
        </tpls>
      </n>
      <m>
        <tpls c="4">
          <tpl fld="0" item="21"/>
          <tpl hier="3" item="2"/>
          <tpl fld="2" item="0"/>
          <tpl fld="1" item="0"/>
        </tpls>
      </m>
      <m>
        <tpls c="4">
          <tpl fld="0" item="21"/>
          <tpl hier="3" item="2"/>
          <tpl fld="2" item="0"/>
          <tpl fld="1" item="1"/>
        </tpls>
      </m>
      <m>
        <tpls c="4">
          <tpl fld="0" item="22"/>
          <tpl hier="3" item="2"/>
          <tpl fld="2" item="0"/>
          <tpl fld="1" item="0"/>
        </tpls>
      </m>
      <m>
        <tpls c="4">
          <tpl fld="0" item="22"/>
          <tpl hier="3" item="2"/>
          <tpl fld="2" item="0"/>
          <tpl fld="1" item="1"/>
        </tpls>
      </m>
      <n v="93810" in="0">
        <tpls c="4">
          <tpl fld="0" item="23"/>
          <tpl hier="3" item="2"/>
          <tpl fld="2" item="0"/>
          <tpl fld="1" item="0"/>
        </tpls>
      </n>
      <n v="2800" in="0">
        <tpls c="4">
          <tpl fld="0" item="23"/>
          <tpl hier="3" item="2"/>
          <tpl fld="2" item="0"/>
          <tpl fld="1" item="1"/>
        </tpls>
      </n>
      <m>
        <tpls c="4">
          <tpl fld="0" item="24"/>
          <tpl hier="3" item="2"/>
          <tpl fld="2" item="0"/>
          <tpl fld="1" item="0"/>
        </tpls>
      </m>
      <m>
        <tpls c="4">
          <tpl fld="0" item="24"/>
          <tpl hier="3" item="2"/>
          <tpl fld="2" item="0"/>
          <tpl fld="1" item="1"/>
        </tpls>
      </m>
      <m>
        <tpls c="4">
          <tpl fld="0" item="25"/>
          <tpl hier="3" item="2"/>
          <tpl fld="2" item="1"/>
          <tpl fld="1" item="0"/>
        </tpls>
      </m>
      <m>
        <tpls c="4">
          <tpl fld="0" item="25"/>
          <tpl hier="3" item="2"/>
          <tpl fld="2" item="1"/>
          <tpl fld="1" item="1"/>
        </tpls>
      </m>
      <m>
        <tpls c="4">
          <tpl fld="0" item="26"/>
          <tpl hier="3" item="2"/>
          <tpl fld="2" item="0"/>
          <tpl fld="1" item="0"/>
        </tpls>
      </m>
      <m>
        <tpls c="4">
          <tpl fld="0" item="26"/>
          <tpl hier="3" item="2"/>
          <tpl fld="2" item="0"/>
          <tpl fld="1" item="1"/>
        </tpls>
      </m>
      <m>
        <tpls c="4">
          <tpl fld="0" item="27"/>
          <tpl hier="3" item="2"/>
          <tpl fld="2" item="0"/>
          <tpl fld="1" item="0"/>
        </tpls>
      </m>
      <m>
        <tpls c="4">
          <tpl fld="0" item="27"/>
          <tpl hier="3" item="2"/>
          <tpl fld="2" item="0"/>
          <tpl fld="1" item="1"/>
        </tpls>
      </m>
      <m>
        <tpls c="4">
          <tpl fld="0" item="28"/>
          <tpl hier="3" item="2"/>
          <tpl fld="2" item="1"/>
          <tpl fld="1" item="0"/>
        </tpls>
      </m>
      <m>
        <tpls c="4">
          <tpl fld="0" item="28"/>
          <tpl hier="3" item="2"/>
          <tpl fld="2" item="1"/>
          <tpl fld="1" item="1"/>
        </tpls>
      </m>
      <m>
        <tpls c="4">
          <tpl fld="0" item="29"/>
          <tpl hier="3" item="2"/>
          <tpl fld="2" item="2"/>
          <tpl fld="1" item="0"/>
        </tpls>
      </m>
      <m>
        <tpls c="4">
          <tpl fld="0" item="29"/>
          <tpl hier="3" item="2"/>
          <tpl fld="2" item="2"/>
          <tpl fld="1" item="1"/>
        </tpls>
      </m>
      <m>
        <tpls c="4">
          <tpl fld="0" item="30"/>
          <tpl hier="3" item="2"/>
          <tpl fld="2" item="1"/>
          <tpl fld="1" item="0"/>
        </tpls>
      </m>
      <m>
        <tpls c="4">
          <tpl fld="0" item="30"/>
          <tpl hier="3" item="2"/>
          <tpl fld="2" item="1"/>
          <tpl fld="1" item="1"/>
        </tpls>
      </m>
      <n v="71087" in="0">
        <tpls c="4">
          <tpl fld="0" item="31"/>
          <tpl hier="3" item="2"/>
          <tpl fld="2" item="0"/>
          <tpl fld="1" item="0"/>
        </tpls>
      </n>
      <n v="2800" in="0">
        <tpls c="4">
          <tpl fld="0" item="31"/>
          <tpl hier="3" item="2"/>
          <tpl fld="2" item="0"/>
          <tpl fld="1" item="1"/>
        </tpls>
      </n>
      <m>
        <tpls c="4">
          <tpl fld="0" item="32"/>
          <tpl hier="3" item="2"/>
          <tpl fld="2" item="2"/>
          <tpl fld="1" item="0"/>
        </tpls>
      </m>
      <m>
        <tpls c="4">
          <tpl fld="0" item="32"/>
          <tpl hier="3" item="2"/>
          <tpl fld="2" item="2"/>
          <tpl fld="1" item="1"/>
        </tpls>
      </m>
      <m>
        <tpls c="4">
          <tpl fld="0" item="33"/>
          <tpl hier="3" item="2"/>
          <tpl fld="2" item="1"/>
          <tpl fld="1" item="0"/>
        </tpls>
      </m>
      <m>
        <tpls c="4">
          <tpl fld="0" item="33"/>
          <tpl hier="3" item="2"/>
          <tpl fld="2" item="1"/>
          <tpl fld="1" item="1"/>
        </tpls>
      </m>
      <m>
        <tpls c="4">
          <tpl fld="0" item="34"/>
          <tpl hier="3" item="2"/>
          <tpl fld="2" item="1"/>
          <tpl fld="1" item="0"/>
        </tpls>
      </m>
      <m>
        <tpls c="4">
          <tpl fld="0" item="34"/>
          <tpl hier="3" item="2"/>
          <tpl fld="2" item="1"/>
          <tpl fld="1" item="1"/>
        </tpls>
      </m>
      <m>
        <tpls c="4">
          <tpl fld="0" item="35"/>
          <tpl hier="3" item="2"/>
          <tpl fld="2" item="1"/>
          <tpl fld="1" item="0"/>
        </tpls>
      </m>
      <m>
        <tpls c="4">
          <tpl fld="0" item="35"/>
          <tpl hier="3" item="2"/>
          <tpl fld="2" item="1"/>
          <tpl fld="1" item="1"/>
        </tpls>
      </m>
      <n v="86377" in="0">
        <tpls c="4">
          <tpl fld="0" item="36"/>
          <tpl hier="3" item="2"/>
          <tpl fld="2" item="0"/>
          <tpl fld="1" item="0"/>
        </tpls>
      </n>
      <n v="4200" in="0">
        <tpls c="4">
          <tpl fld="0" item="36"/>
          <tpl hier="3" item="2"/>
          <tpl fld="2" item="0"/>
          <tpl fld="1" item="1"/>
        </tpls>
      </n>
      <m>
        <tpls c="4">
          <tpl fld="0" item="37"/>
          <tpl hier="3" item="2"/>
          <tpl fld="2" item="0"/>
          <tpl fld="1" item="0"/>
        </tpls>
      </m>
      <m>
        <tpls c="4">
          <tpl fld="0" item="37"/>
          <tpl hier="3" item="2"/>
          <tpl fld="2" item="0"/>
          <tpl fld="1" item="1"/>
        </tpls>
      </m>
      <m>
        <tpls c="4">
          <tpl fld="0" item="38"/>
          <tpl hier="3" item="2"/>
          <tpl fld="2" item="1"/>
          <tpl fld="1" item="0"/>
        </tpls>
      </m>
      <m>
        <tpls c="4">
          <tpl fld="0" item="38"/>
          <tpl hier="3" item="2"/>
          <tpl fld="2" item="1"/>
          <tpl fld="1" item="1"/>
        </tpls>
      </m>
      <n v="103186" in="0">
        <tpls c="4">
          <tpl fld="0" item="39"/>
          <tpl hier="3" item="2"/>
          <tpl fld="2" item="0"/>
          <tpl fld="1" item="0"/>
        </tpls>
      </n>
      <n v="2800" in="0">
        <tpls c="4">
          <tpl fld="0" item="39"/>
          <tpl hier="3" item="2"/>
          <tpl fld="2" item="0"/>
          <tpl fld="1" item="1"/>
        </tpls>
      </n>
      <m>
        <tpls c="4">
          <tpl fld="0" item="40"/>
          <tpl hier="3" item="2"/>
          <tpl fld="2" item="0"/>
          <tpl fld="1" item="0"/>
        </tpls>
      </m>
      <m>
        <tpls c="4">
          <tpl fld="0" item="40"/>
          <tpl hier="3" item="2"/>
          <tpl fld="2" item="0"/>
          <tpl fld="1" item="1"/>
        </tpls>
      </m>
      <m>
        <tpls c="4">
          <tpl fld="0" item="41"/>
          <tpl hier="3" item="2"/>
          <tpl fld="2" item="0"/>
          <tpl fld="1" item="0"/>
        </tpls>
      </m>
      <m>
        <tpls c="4">
          <tpl fld="0" item="41"/>
          <tpl hier="3" item="2"/>
          <tpl fld="2" item="0"/>
          <tpl fld="1" item="1"/>
        </tpls>
      </m>
      <m>
        <tpls c="4">
          <tpl fld="0" item="42"/>
          <tpl hier="3" item="2"/>
          <tpl fld="2" item="2"/>
          <tpl fld="1" item="0"/>
        </tpls>
      </m>
      <m>
        <tpls c="4">
          <tpl fld="0" item="42"/>
          <tpl hier="3" item="2"/>
          <tpl fld="2" item="2"/>
          <tpl fld="1" item="1"/>
        </tpls>
      </m>
      <n v="190913" in="0">
        <tpls c="4">
          <tpl fld="0" item="43"/>
          <tpl hier="3" item="2"/>
          <tpl fld="2" item="1"/>
          <tpl fld="1" item="0"/>
        </tpls>
      </n>
      <n v="9000" in="0">
        <tpls c="4">
          <tpl fld="0" item="43"/>
          <tpl hier="3" item="2"/>
          <tpl fld="2" item="1"/>
          <tpl fld="1" item="1"/>
        </tpls>
      </n>
      <n v="81071" in="0">
        <tpls c="4">
          <tpl fld="0" item="44"/>
          <tpl hier="3" item="2"/>
          <tpl fld="2" item="2"/>
          <tpl fld="1" item="0"/>
        </tpls>
      </n>
      <n v="9500" in="0">
        <tpls c="4">
          <tpl fld="0" item="44"/>
          <tpl hier="3" item="2"/>
          <tpl fld="2" item="2"/>
          <tpl fld="1" item="1"/>
        </tpls>
      </n>
      <m>
        <tpls c="4">
          <tpl fld="0" item="45"/>
          <tpl hier="3" item="2"/>
          <tpl fld="2" item="1"/>
          <tpl fld="1" item="0"/>
        </tpls>
      </m>
      <m>
        <tpls c="4">
          <tpl fld="0" item="45"/>
          <tpl hier="3" item="2"/>
          <tpl fld="2" item="1"/>
          <tpl fld="1" item="1"/>
        </tpls>
      </m>
      <n v="87214" in="0">
        <tpls c="4">
          <tpl fld="0" item="46"/>
          <tpl hier="3" item="2"/>
          <tpl fld="2" item="0"/>
          <tpl fld="1" item="0"/>
        </tpls>
      </n>
      <n v="4200" in="0">
        <tpls c="4">
          <tpl fld="0" item="46"/>
          <tpl hier="3" item="2"/>
          <tpl fld="2" item="0"/>
          <tpl fld="1" item="1"/>
        </tpls>
      </n>
      <m>
        <tpls c="4">
          <tpl fld="0" item="47"/>
          <tpl hier="3" item="2"/>
          <tpl fld="2" item="0"/>
          <tpl fld="1" item="0"/>
        </tpls>
      </m>
      <m>
        <tpls c="4">
          <tpl fld="0" item="47"/>
          <tpl hier="3" item="2"/>
          <tpl fld="2" item="0"/>
          <tpl fld="1" item="1"/>
        </tpls>
      </m>
      <n v="72779" in="0">
        <tpls c="4">
          <tpl fld="0" item="48"/>
          <tpl hier="3" item="2"/>
          <tpl fld="2" item="0"/>
          <tpl fld="1" item="0"/>
        </tpls>
      </n>
      <n v="2800" in="0">
        <tpls c="4">
          <tpl fld="0" item="48"/>
          <tpl hier="3" item="2"/>
          <tpl fld="2" item="0"/>
          <tpl fld="1" item="1"/>
        </tpls>
      </n>
      <m>
        <tpls c="4">
          <tpl fld="0" item="49"/>
          <tpl hier="3" item="2"/>
          <tpl fld="2" item="1"/>
          <tpl fld="1" item="0"/>
        </tpls>
      </m>
      <m>
        <tpls c="4">
          <tpl fld="0" item="49"/>
          <tpl hier="3" item="2"/>
          <tpl fld="2" item="1"/>
          <tpl fld="1" item="1"/>
        </tpls>
      </m>
      <m>
        <tpls c="4">
          <tpl fld="0" item="50"/>
          <tpl hier="3" item="2"/>
          <tpl fld="2" item="1"/>
          <tpl fld="1" item="0"/>
        </tpls>
      </m>
      <m>
        <tpls c="4">
          <tpl fld="0" item="50"/>
          <tpl hier="3" item="2"/>
          <tpl fld="2" item="1"/>
          <tpl fld="1" item="1"/>
        </tpls>
      </m>
      <m>
        <tpls c="4">
          <tpl fld="0" item="51"/>
          <tpl hier="3" item="2"/>
          <tpl fld="2" item="1"/>
          <tpl fld="1" item="0"/>
        </tpls>
      </m>
      <m>
        <tpls c="4">
          <tpl fld="0" item="51"/>
          <tpl hier="3" item="2"/>
          <tpl fld="2" item="1"/>
          <tpl fld="1" item="1"/>
        </tpls>
      </m>
      <m>
        <tpls c="4">
          <tpl fld="0" item="52"/>
          <tpl hier="3" item="2"/>
          <tpl fld="2" item="1"/>
          <tpl fld="1" item="0"/>
        </tpls>
      </m>
      <m>
        <tpls c="4">
          <tpl fld="0" item="52"/>
          <tpl hier="3" item="2"/>
          <tpl fld="2" item="1"/>
          <tpl fld="1" item="1"/>
        </tpls>
      </m>
      <m>
        <tpls c="4">
          <tpl fld="0" item="53"/>
          <tpl hier="3" item="2"/>
          <tpl fld="2" item="1"/>
          <tpl fld="1" item="0"/>
        </tpls>
      </m>
      <m>
        <tpls c="4">
          <tpl fld="0" item="53"/>
          <tpl hier="3" item="2"/>
          <tpl fld="2" item="1"/>
          <tpl fld="1" item="1"/>
        </tpls>
      </m>
      <m>
        <tpls c="4">
          <tpl fld="0" item="54"/>
          <tpl hier="3" item="2"/>
          <tpl fld="2" item="1"/>
          <tpl fld="1" item="0"/>
        </tpls>
      </m>
      <m>
        <tpls c="4">
          <tpl fld="0" item="54"/>
          <tpl hier="3" item="2"/>
          <tpl fld="2" item="1"/>
          <tpl fld="1" item="1"/>
        </tpls>
      </m>
      <m>
        <tpls c="4">
          <tpl fld="0" item="55"/>
          <tpl hier="3" item="2"/>
          <tpl fld="2" item="2"/>
          <tpl fld="1" item="0"/>
        </tpls>
      </m>
      <m>
        <tpls c="4">
          <tpl fld="0" item="55"/>
          <tpl hier="3" item="2"/>
          <tpl fld="2" item="2"/>
          <tpl fld="1" item="1"/>
        </tpls>
      </m>
      <m>
        <tpls c="4">
          <tpl fld="0" item="56"/>
          <tpl hier="3" item="2"/>
          <tpl fld="2" item="0"/>
          <tpl fld="1" item="0"/>
        </tpls>
      </m>
      <m>
        <tpls c="4">
          <tpl fld="0" item="56"/>
          <tpl hier="3" item="2"/>
          <tpl fld="2" item="0"/>
          <tpl fld="1" item="1"/>
        </tpls>
      </m>
      <m>
        <tpls c="4">
          <tpl fld="0" item="57"/>
          <tpl hier="3" item="2"/>
          <tpl fld="2" item="2"/>
          <tpl fld="1" item="0"/>
        </tpls>
      </m>
      <m>
        <tpls c="4">
          <tpl fld="0" item="57"/>
          <tpl hier="3" item="2"/>
          <tpl fld="2" item="2"/>
          <tpl fld="1" item="1"/>
        </tpls>
      </m>
      <m>
        <tpls c="4">
          <tpl fld="0" item="58"/>
          <tpl hier="3" item="2"/>
          <tpl fld="2" item="0"/>
          <tpl fld="1" item="0"/>
        </tpls>
      </m>
      <m>
        <tpls c="4">
          <tpl fld="0" item="58"/>
          <tpl hier="3" item="2"/>
          <tpl fld="2" item="0"/>
          <tpl fld="1" item="1"/>
        </tpls>
      </m>
      <m>
        <tpls c="4">
          <tpl fld="0" item="59"/>
          <tpl hier="3" item="2"/>
          <tpl fld="2" item="0"/>
          <tpl fld="1" item="0"/>
        </tpls>
      </m>
      <m>
        <tpls c="4">
          <tpl fld="0" item="59"/>
          <tpl hier="3" item="2"/>
          <tpl fld="2" item="0"/>
          <tpl fld="1" item="1"/>
        </tpls>
      </m>
      <m>
        <tpls c="4">
          <tpl fld="0" item="60"/>
          <tpl hier="3" item="2"/>
          <tpl fld="2" item="0"/>
          <tpl fld="1" item="0"/>
        </tpls>
      </m>
      <m>
        <tpls c="4">
          <tpl fld="0" item="60"/>
          <tpl hier="3" item="2"/>
          <tpl fld="2" item="0"/>
          <tpl fld="1" item="1"/>
        </tpls>
      </m>
      <m>
        <tpls c="4">
          <tpl fld="0" item="61"/>
          <tpl hier="3" item="2"/>
          <tpl fld="2" item="1"/>
          <tpl fld="1" item="0"/>
        </tpls>
      </m>
      <m>
        <tpls c="4">
          <tpl fld="0" item="61"/>
          <tpl hier="3" item="2"/>
          <tpl fld="2" item="1"/>
          <tpl fld="1" item="1"/>
        </tpls>
      </m>
      <m>
        <tpls c="4">
          <tpl fld="0" item="62"/>
          <tpl hier="3" item="2"/>
          <tpl fld="2" item="0"/>
          <tpl fld="1" item="0"/>
        </tpls>
      </m>
      <m>
        <tpls c="4">
          <tpl fld="0" item="62"/>
          <tpl hier="3" item="2"/>
          <tpl fld="2" item="0"/>
          <tpl fld="1" item="1"/>
        </tpls>
      </m>
      <m>
        <tpls c="4">
          <tpl fld="0" item="63"/>
          <tpl hier="3" item="2"/>
          <tpl fld="2" item="0"/>
          <tpl fld="1" item="0"/>
        </tpls>
      </m>
      <m>
        <tpls c="4">
          <tpl fld="0" item="63"/>
          <tpl hier="3" item="2"/>
          <tpl fld="2" item="0"/>
          <tpl fld="1" item="1"/>
        </tpls>
      </m>
      <m>
        <tpls c="4">
          <tpl fld="0" item="64"/>
          <tpl hier="3" item="2"/>
          <tpl fld="2" item="0"/>
          <tpl fld="1" item="0"/>
        </tpls>
      </m>
      <m>
        <tpls c="4">
          <tpl fld="0" item="64"/>
          <tpl hier="3" item="2"/>
          <tpl fld="2" item="0"/>
          <tpl fld="1" item="1"/>
        </tpls>
      </m>
      <m>
        <tpls c="4">
          <tpl fld="0" item="65"/>
          <tpl hier="3" item="2"/>
          <tpl fld="2" item="0"/>
          <tpl fld="1" item="0"/>
        </tpls>
      </m>
      <m>
        <tpls c="4">
          <tpl fld="0" item="65"/>
          <tpl hier="3" item="2"/>
          <tpl fld="2" item="0"/>
          <tpl fld="1" item="1"/>
        </tpls>
      </m>
      <m>
        <tpls c="4">
          <tpl fld="0" item="66"/>
          <tpl hier="3" item="2"/>
          <tpl fld="2" item="1"/>
          <tpl fld="1" item="0"/>
        </tpls>
      </m>
      <m>
        <tpls c="4">
          <tpl fld="0" item="66"/>
          <tpl hier="3" item="2"/>
          <tpl fld="2" item="1"/>
          <tpl fld="1" item="1"/>
        </tpls>
      </m>
      <m>
        <tpls c="4">
          <tpl fld="0" item="67"/>
          <tpl hier="3" item="2"/>
          <tpl fld="2" item="2"/>
          <tpl fld="1" item="0"/>
        </tpls>
      </m>
      <m>
        <tpls c="4">
          <tpl fld="0" item="67"/>
          <tpl hier="3" item="2"/>
          <tpl fld="2" item="2"/>
          <tpl fld="1" item="1"/>
        </tpls>
      </m>
      <m>
        <tpls c="4">
          <tpl fld="0" item="68"/>
          <tpl hier="3" item="2"/>
          <tpl fld="2" item="1"/>
          <tpl fld="1" item="0"/>
        </tpls>
      </m>
      <m>
        <tpls c="4">
          <tpl fld="0" item="68"/>
          <tpl hier="3" item="2"/>
          <tpl fld="2" item="1"/>
          <tpl fld="1" item="1"/>
        </tpls>
      </m>
      <m>
        <tpls c="4">
          <tpl fld="0" item="69"/>
          <tpl hier="3" item="2"/>
          <tpl fld="2" item="1"/>
          <tpl fld="1" item="0"/>
        </tpls>
      </m>
      <m>
        <tpls c="4">
          <tpl fld="0" item="69"/>
          <tpl hier="3" item="2"/>
          <tpl fld="2" item="1"/>
          <tpl fld="1" item="1"/>
        </tpls>
      </m>
      <m>
        <tpls c="4">
          <tpl fld="0" item="70"/>
          <tpl hier="3" item="2"/>
          <tpl fld="2" item="0"/>
          <tpl fld="1" item="0"/>
        </tpls>
      </m>
      <m>
        <tpls c="4">
          <tpl fld="0" item="70"/>
          <tpl hier="3" item="2"/>
          <tpl fld="2" item="0"/>
          <tpl fld="1" item="1"/>
        </tpls>
      </m>
      <m>
        <tpls c="4">
          <tpl fld="0" item="71"/>
          <tpl hier="3" item="2"/>
          <tpl fld="2" item="2"/>
          <tpl fld="1" item="0"/>
        </tpls>
      </m>
      <m>
        <tpls c="4">
          <tpl fld="0" item="71"/>
          <tpl hier="3" item="2"/>
          <tpl fld="2" item="2"/>
          <tpl fld="1" item="1"/>
        </tpls>
      </m>
      <n v="165710" in="0">
        <tpls c="4">
          <tpl fld="0" item="72"/>
          <tpl hier="3" item="2"/>
          <tpl fld="2" item="1"/>
          <tpl fld="1" item="0"/>
        </tpls>
      </n>
      <n v="9000" in="0">
        <tpls c="4">
          <tpl fld="0" item="72"/>
          <tpl hier="3" item="2"/>
          <tpl fld="2" item="1"/>
          <tpl fld="1" item="1"/>
        </tpls>
      </n>
      <m>
        <tpls c="4">
          <tpl fld="0" item="73"/>
          <tpl hier="3" item="2"/>
          <tpl fld="2" item="1"/>
          <tpl fld="1" item="0"/>
        </tpls>
      </m>
      <m>
        <tpls c="4">
          <tpl fld="0" item="73"/>
          <tpl hier="3" item="2"/>
          <tpl fld="2" item="1"/>
          <tpl fld="1" item="1"/>
        </tpls>
      </m>
      <m>
        <tpls c="4">
          <tpl fld="0" item="74"/>
          <tpl hier="3" item="2"/>
          <tpl fld="2" item="1"/>
          <tpl fld="1" item="0"/>
        </tpls>
      </m>
      <m>
        <tpls c="4">
          <tpl fld="0" item="74"/>
          <tpl hier="3" item="2"/>
          <tpl fld="2" item="1"/>
          <tpl fld="1" item="1"/>
        </tpls>
      </m>
      <m>
        <tpls c="4">
          <tpl fld="0" item="75"/>
          <tpl hier="3" item="2"/>
          <tpl fld="2" item="2"/>
          <tpl fld="1" item="0"/>
        </tpls>
      </m>
      <m>
        <tpls c="4">
          <tpl fld="0" item="75"/>
          <tpl hier="3" item="2"/>
          <tpl fld="2" item="2"/>
          <tpl fld="1" item="1"/>
        </tpls>
      </m>
      <m>
        <tpls c="4">
          <tpl fld="0" item="76"/>
          <tpl hier="3" item="2"/>
          <tpl fld="2" item="0"/>
          <tpl fld="1" item="0"/>
        </tpls>
      </m>
      <m>
        <tpls c="4">
          <tpl fld="0" item="76"/>
          <tpl hier="3" item="2"/>
          <tpl fld="2" item="0"/>
          <tpl fld="1" item="1"/>
        </tpls>
      </m>
      <m>
        <tpls c="4">
          <tpl fld="0" item="77"/>
          <tpl hier="3" item="2"/>
          <tpl fld="2" item="0"/>
          <tpl fld="1" item="0"/>
        </tpls>
      </m>
      <m>
        <tpls c="4">
          <tpl fld="0" item="77"/>
          <tpl hier="3" item="2"/>
          <tpl fld="2" item="0"/>
          <tpl fld="1" item="1"/>
        </tpls>
      </m>
      <m>
        <tpls c="4">
          <tpl fld="0" item="78"/>
          <tpl hier="3" item="2"/>
          <tpl fld="2" item="1"/>
          <tpl fld="1" item="0"/>
        </tpls>
      </m>
      <m>
        <tpls c="4">
          <tpl fld="0" item="78"/>
          <tpl hier="3" item="2"/>
          <tpl fld="2" item="1"/>
          <tpl fld="1" item="1"/>
        </tpls>
      </m>
      <m>
        <tpls c="4">
          <tpl fld="0" item="79"/>
          <tpl hier="3" item="2"/>
          <tpl fld="2" item="1"/>
          <tpl fld="1" item="0"/>
        </tpls>
      </m>
      <m>
        <tpls c="4">
          <tpl fld="0" item="79"/>
          <tpl hier="3" item="2"/>
          <tpl fld="2" item="1"/>
          <tpl fld="1" item="1"/>
        </tpls>
      </m>
      <m>
        <tpls c="4">
          <tpl fld="0" item="80"/>
          <tpl hier="3" item="2"/>
          <tpl fld="2" item="0"/>
          <tpl fld="1" item="0"/>
        </tpls>
      </m>
      <m>
        <tpls c="4">
          <tpl fld="0" item="80"/>
          <tpl hier="3" item="2"/>
          <tpl fld="2" item="0"/>
          <tpl fld="1" item="1"/>
        </tpls>
      </m>
      <m>
        <tpls c="4">
          <tpl fld="0" item="81"/>
          <tpl hier="3" item="2"/>
          <tpl fld="2" item="2"/>
          <tpl fld="1" item="0"/>
        </tpls>
      </m>
      <m>
        <tpls c="4">
          <tpl fld="0" item="81"/>
          <tpl hier="3" item="2"/>
          <tpl fld="2" item="2"/>
          <tpl fld="1" item="1"/>
        </tpls>
      </m>
      <m>
        <tpls c="4">
          <tpl fld="0" item="82"/>
          <tpl hier="3" item="2"/>
          <tpl fld="2" item="0"/>
          <tpl fld="1" item="0"/>
        </tpls>
      </m>
      <m>
        <tpls c="4">
          <tpl fld="0" item="82"/>
          <tpl hier="3" item="2"/>
          <tpl fld="2" item="0"/>
          <tpl fld="1" item="1"/>
        </tpls>
      </m>
      <n v="88815" in="0">
        <tpls c="4">
          <tpl fld="0" item="83"/>
          <tpl hier="3" item="2"/>
          <tpl fld="2" item="0"/>
          <tpl fld="1" item="0"/>
        </tpls>
      </n>
      <n v="2800" in="0">
        <tpls c="4">
          <tpl fld="0" item="83"/>
          <tpl hier="3" item="2"/>
          <tpl fld="2" item="0"/>
          <tpl fld="1" item="1"/>
        </tpls>
      </n>
      <m>
        <tpls c="4">
          <tpl fld="0" item="84"/>
          <tpl hier="3" item="2"/>
          <tpl fld="2" item="1"/>
          <tpl fld="1" item="0"/>
        </tpls>
      </m>
      <m>
        <tpls c="4">
          <tpl fld="0" item="84"/>
          <tpl hier="3" item="2"/>
          <tpl fld="2" item="1"/>
          <tpl fld="1" item="1"/>
        </tpls>
      </m>
      <m>
        <tpls c="4">
          <tpl fld="0" item="85"/>
          <tpl hier="3" item="2"/>
          <tpl fld="2" item="1"/>
          <tpl fld="1" item="0"/>
        </tpls>
      </m>
      <m>
        <tpls c="4">
          <tpl fld="0" item="85"/>
          <tpl hier="3" item="2"/>
          <tpl fld="2" item="1"/>
          <tpl fld="1" item="1"/>
        </tpls>
      </m>
      <m>
        <tpls c="4">
          <tpl fld="0" item="86"/>
          <tpl hier="3" item="2"/>
          <tpl fld="2" item="1"/>
          <tpl fld="1" item="0"/>
        </tpls>
      </m>
      <m>
        <tpls c="4">
          <tpl fld="0" item="86"/>
          <tpl hier="3" item="2"/>
          <tpl fld="2" item="1"/>
          <tpl fld="1" item="1"/>
        </tpls>
      </m>
      <m>
        <tpls c="4">
          <tpl fld="0" item="87"/>
          <tpl hier="3" item="2"/>
          <tpl fld="2" item="0"/>
          <tpl fld="1" item="0"/>
        </tpls>
      </m>
      <m>
        <tpls c="4">
          <tpl fld="0" item="87"/>
          <tpl hier="3" item="2"/>
          <tpl fld="2" item="0"/>
          <tpl fld="1" item="1"/>
        </tpls>
      </m>
      <m>
        <tpls c="4">
          <tpl fld="0" item="88"/>
          <tpl hier="3" item="2"/>
          <tpl fld="2" item="1"/>
          <tpl fld="1" item="0"/>
        </tpls>
      </m>
      <m>
        <tpls c="4">
          <tpl fld="0" item="88"/>
          <tpl hier="3" item="2"/>
          <tpl fld="2" item="1"/>
          <tpl fld="1" item="1"/>
        </tpls>
      </m>
      <m>
        <tpls c="4">
          <tpl fld="0" item="89"/>
          <tpl hier="3" item="2"/>
          <tpl fld="2" item="1"/>
          <tpl fld="1" item="0"/>
        </tpls>
      </m>
      <m>
        <tpls c="4">
          <tpl fld="0" item="89"/>
          <tpl hier="3" item="2"/>
          <tpl fld="2" item="1"/>
          <tpl fld="1" item="1"/>
        </tpls>
      </m>
      <m>
        <tpls c="4">
          <tpl fld="0" item="90"/>
          <tpl hier="3" item="2"/>
          <tpl fld="2" item="1"/>
          <tpl fld="1" item="0"/>
        </tpls>
      </m>
      <m>
        <tpls c="4">
          <tpl fld="0" item="90"/>
          <tpl hier="3" item="2"/>
          <tpl fld="2" item="1"/>
          <tpl fld="1" item="1"/>
        </tpls>
      </m>
      <m>
        <tpls c="4">
          <tpl fld="0" item="91"/>
          <tpl hier="3" item="2"/>
          <tpl fld="2" item="0"/>
          <tpl fld="1" item="0"/>
        </tpls>
      </m>
      <m>
        <tpls c="4">
          <tpl fld="0" item="91"/>
          <tpl hier="3" item="2"/>
          <tpl fld="2" item="0"/>
          <tpl fld="1" item="1"/>
        </tpls>
      </m>
      <n v="114446" in="0">
        <tpls c="4">
          <tpl fld="0" item="92"/>
          <tpl hier="3" item="2"/>
          <tpl fld="2" item="0"/>
          <tpl fld="1" item="0"/>
        </tpls>
      </n>
      <n v="2800" in="0">
        <tpls c="4">
          <tpl fld="0" item="92"/>
          <tpl hier="3" item="2"/>
          <tpl fld="2" item="0"/>
          <tpl fld="1" item="1"/>
        </tpls>
      </n>
      <m>
        <tpls c="4">
          <tpl fld="0" item="93"/>
          <tpl hier="3" item="2"/>
          <tpl fld="2" item="0"/>
          <tpl fld="1" item="0"/>
        </tpls>
      </m>
      <m>
        <tpls c="4">
          <tpl fld="0" item="93"/>
          <tpl hier="3" item="2"/>
          <tpl fld="2" item="0"/>
          <tpl fld="1" item="1"/>
        </tpls>
      </m>
      <m>
        <tpls c="4">
          <tpl fld="0" item="94"/>
          <tpl hier="3" item="2"/>
          <tpl fld="2" item="2"/>
          <tpl fld="1" item="0"/>
        </tpls>
      </m>
      <m>
        <tpls c="4">
          <tpl fld="0" item="94"/>
          <tpl hier="3" item="2"/>
          <tpl fld="2" item="2"/>
          <tpl fld="1" item="1"/>
        </tpls>
      </m>
      <m>
        <tpls c="4">
          <tpl fld="0" item="95"/>
          <tpl hier="3" item="2"/>
          <tpl fld="2" item="0"/>
          <tpl fld="1" item="0"/>
        </tpls>
      </m>
      <m>
        <tpls c="4">
          <tpl fld="0" item="95"/>
          <tpl hier="3" item="2"/>
          <tpl fld="2" item="0"/>
          <tpl fld="1" item="1"/>
        </tpls>
      </m>
      <m>
        <tpls c="4">
          <tpl fld="0" item="96"/>
          <tpl hier="3" item="2"/>
          <tpl fld="2" item="2"/>
          <tpl fld="1" item="0"/>
        </tpls>
      </m>
      <m>
        <tpls c="4">
          <tpl fld="0" item="96"/>
          <tpl hier="3" item="2"/>
          <tpl fld="2" item="2"/>
          <tpl fld="1" item="1"/>
        </tpls>
      </m>
      <m>
        <tpls c="4">
          <tpl fld="0" item="97"/>
          <tpl hier="3" item="2"/>
          <tpl fld="2" item="1"/>
          <tpl fld="1" item="0"/>
        </tpls>
      </m>
      <m>
        <tpls c="4">
          <tpl fld="0" item="97"/>
          <tpl hier="3" item="2"/>
          <tpl fld="2" item="1"/>
          <tpl fld="1" item="1"/>
        </tpls>
      </m>
      <m>
        <tpls c="4">
          <tpl fld="0" item="98"/>
          <tpl hier="3" item="2"/>
          <tpl fld="2" item="0"/>
          <tpl fld="1" item="0"/>
        </tpls>
      </m>
      <m>
        <tpls c="4">
          <tpl fld="0" item="98"/>
          <tpl hier="3" item="2"/>
          <tpl fld="2" item="0"/>
          <tpl fld="1" item="1"/>
        </tpls>
      </m>
      <m>
        <tpls c="4">
          <tpl fld="0" item="99"/>
          <tpl hier="3" item="2"/>
          <tpl fld="2" item="0"/>
          <tpl fld="1" item="0"/>
        </tpls>
      </m>
      <m>
        <tpls c="4">
          <tpl fld="0" item="99"/>
          <tpl hier="3" item="2"/>
          <tpl fld="2" item="0"/>
          <tpl fld="1" item="1"/>
        </tpls>
      </m>
      <m>
        <tpls c="4">
          <tpl fld="0" item="100"/>
          <tpl hier="3" item="2"/>
          <tpl fld="2" item="1"/>
          <tpl fld="1" item="0"/>
        </tpls>
      </m>
      <m>
        <tpls c="4">
          <tpl fld="0" item="100"/>
          <tpl hier="3" item="2"/>
          <tpl fld="2" item="1"/>
          <tpl fld="1" item="1"/>
        </tpls>
      </m>
      <m>
        <tpls c="4">
          <tpl fld="0" item="101"/>
          <tpl hier="3" item="2"/>
          <tpl fld="2" item="0"/>
          <tpl fld="1" item="0"/>
        </tpls>
      </m>
      <m>
        <tpls c="4">
          <tpl fld="0" item="101"/>
          <tpl hier="3" item="2"/>
          <tpl fld="2" item="0"/>
          <tpl fld="1" item="1"/>
        </tpls>
      </m>
      <m>
        <tpls c="4">
          <tpl fld="0" item="102"/>
          <tpl hier="3" item="2"/>
          <tpl fld="2" item="0"/>
          <tpl fld="1" item="0"/>
        </tpls>
      </m>
      <m>
        <tpls c="4">
          <tpl fld="0" item="102"/>
          <tpl hier="3" item="2"/>
          <tpl fld="2" item="0"/>
          <tpl fld="1" item="1"/>
        </tpls>
      </m>
      <m>
        <tpls c="4">
          <tpl fld="0" item="103"/>
          <tpl hier="3" item="2"/>
          <tpl fld="2" item="1"/>
          <tpl fld="1" item="0"/>
        </tpls>
      </m>
      <m>
        <tpls c="4">
          <tpl fld="0" item="103"/>
          <tpl hier="3" item="2"/>
          <tpl fld="2" item="1"/>
          <tpl fld="1" item="1"/>
        </tpls>
      </m>
      <m>
        <tpls c="4">
          <tpl fld="0" item="104"/>
          <tpl hier="3" item="2"/>
          <tpl fld="2" item="0"/>
          <tpl fld="1" item="0"/>
        </tpls>
      </m>
      <m>
        <tpls c="4">
          <tpl fld="0" item="104"/>
          <tpl hier="3" item="2"/>
          <tpl fld="2" item="0"/>
          <tpl fld="1" item="1"/>
        </tpls>
      </m>
      <m>
        <tpls c="4">
          <tpl fld="0" item="105"/>
          <tpl hier="3" item="2"/>
          <tpl fld="2" item="2"/>
          <tpl fld="1" item="0"/>
        </tpls>
      </m>
      <m>
        <tpls c="4">
          <tpl fld="0" item="105"/>
          <tpl hier="3" item="2"/>
          <tpl fld="2" item="2"/>
          <tpl fld="1" item="1"/>
        </tpls>
      </m>
      <m>
        <tpls c="4">
          <tpl fld="0" item="106"/>
          <tpl hier="3" item="2"/>
          <tpl fld="2" item="0"/>
          <tpl fld="1" item="0"/>
        </tpls>
      </m>
      <m>
        <tpls c="4">
          <tpl fld="0" item="106"/>
          <tpl hier="3" item="2"/>
          <tpl fld="2" item="0"/>
          <tpl fld="1" item="1"/>
        </tpls>
      </m>
      <m>
        <tpls c="4">
          <tpl fld="0" item="107"/>
          <tpl hier="3" item="2"/>
          <tpl fld="2" item="0"/>
          <tpl fld="1" item="0"/>
        </tpls>
      </m>
      <m>
        <tpls c="4">
          <tpl fld="0" item="107"/>
          <tpl hier="3" item="2"/>
          <tpl fld="2" item="0"/>
          <tpl fld="1" item="1"/>
        </tpls>
      </m>
      <m>
        <tpls c="4">
          <tpl fld="0" item="108"/>
          <tpl hier="3" item="2"/>
          <tpl fld="2" item="1"/>
          <tpl fld="1" item="0"/>
        </tpls>
      </m>
      <m>
        <tpls c="4">
          <tpl fld="0" item="108"/>
          <tpl hier="3" item="2"/>
          <tpl fld="2" item="1"/>
          <tpl fld="1" item="1"/>
        </tpls>
      </m>
      <m>
        <tpls c="4">
          <tpl fld="0" item="109"/>
          <tpl hier="3" item="2"/>
          <tpl fld="2" item="1"/>
          <tpl fld="1" item="0"/>
        </tpls>
      </m>
      <m>
        <tpls c="4">
          <tpl fld="0" item="109"/>
          <tpl hier="3" item="2"/>
          <tpl fld="2" item="1"/>
          <tpl fld="1" item="1"/>
        </tpls>
      </m>
      <m>
        <tpls c="4">
          <tpl fld="0" item="110"/>
          <tpl hier="3" item="2"/>
          <tpl fld="2" item="1"/>
          <tpl fld="1" item="0"/>
        </tpls>
      </m>
      <m>
        <tpls c="4">
          <tpl fld="0" item="110"/>
          <tpl hier="3" item="2"/>
          <tpl fld="2" item="1"/>
          <tpl fld="1" item="1"/>
        </tpls>
      </m>
      <m>
        <tpls c="4">
          <tpl fld="0" item="111"/>
          <tpl hier="3" item="2"/>
          <tpl fld="2" item="1"/>
          <tpl fld="1" item="0"/>
        </tpls>
      </m>
      <m>
        <tpls c="4">
          <tpl fld="0" item="111"/>
          <tpl hier="3" item="2"/>
          <tpl fld="2" item="1"/>
          <tpl fld="1" item="1"/>
        </tpls>
      </m>
      <m>
        <tpls c="4">
          <tpl fld="0" item="112"/>
          <tpl hier="3" item="2"/>
          <tpl fld="2" item="1"/>
          <tpl fld="1" item="0"/>
        </tpls>
      </m>
      <m>
        <tpls c="4">
          <tpl fld="0" item="112"/>
          <tpl hier="3" item="2"/>
          <tpl fld="2" item="1"/>
          <tpl fld="1" item="1"/>
        </tpls>
      </m>
      <n v="72977" in="0">
        <tpls c="4">
          <tpl fld="0" item="113"/>
          <tpl hier="3" item="2"/>
          <tpl fld="2" item="0"/>
          <tpl fld="1" item="0"/>
        </tpls>
      </n>
      <n v="2800" in="0">
        <tpls c="4">
          <tpl fld="0" item="113"/>
          <tpl hier="3" item="2"/>
          <tpl fld="2" item="0"/>
          <tpl fld="1" item="1"/>
        </tpls>
      </n>
      <m>
        <tpls c="4">
          <tpl fld="0" item="114"/>
          <tpl hier="3" item="2"/>
          <tpl fld="2" item="1"/>
          <tpl fld="1" item="0"/>
        </tpls>
      </m>
      <m>
        <tpls c="4">
          <tpl fld="0" item="114"/>
          <tpl hier="3" item="2"/>
          <tpl fld="2" item="1"/>
          <tpl fld="1" item="1"/>
        </tpls>
      </m>
      <m>
        <tpls c="4">
          <tpl fld="0" item="115"/>
          <tpl hier="3" item="2"/>
          <tpl fld="2" item="0"/>
          <tpl fld="1" item="0"/>
        </tpls>
      </m>
      <m>
        <tpls c="4">
          <tpl fld="0" item="115"/>
          <tpl hier="3" item="2"/>
          <tpl fld="2" item="0"/>
          <tpl fld="1" item="1"/>
        </tpls>
      </m>
      <m>
        <tpls c="4">
          <tpl fld="0" item="116"/>
          <tpl hier="3" item="2"/>
          <tpl fld="2" item="1"/>
          <tpl fld="1" item="0"/>
        </tpls>
      </m>
      <m>
        <tpls c="4">
          <tpl fld="0" item="116"/>
          <tpl hier="3" item="2"/>
          <tpl fld="2" item="1"/>
          <tpl fld="1" item="1"/>
        </tpls>
      </m>
      <m>
        <tpls c="4">
          <tpl fld="0" item="117"/>
          <tpl hier="3" item="2"/>
          <tpl fld="2" item="1"/>
          <tpl fld="1" item="0"/>
        </tpls>
      </m>
      <m>
        <tpls c="4">
          <tpl fld="0" item="117"/>
          <tpl hier="3" item="2"/>
          <tpl fld="2" item="1"/>
          <tpl fld="1" item="1"/>
        </tpls>
      </m>
      <m>
        <tpls c="4">
          <tpl fld="0" item="118"/>
          <tpl hier="3" item="2"/>
          <tpl fld="2" item="0"/>
          <tpl fld="1" item="0"/>
        </tpls>
      </m>
      <m>
        <tpls c="4">
          <tpl fld="0" item="118"/>
          <tpl hier="3" item="2"/>
          <tpl fld="2" item="0"/>
          <tpl fld="1" item="1"/>
        </tpls>
      </m>
      <m>
        <tpls c="4">
          <tpl fld="0" item="119"/>
          <tpl hier="3" item="2"/>
          <tpl fld="2" item="0"/>
          <tpl fld="1" item="0"/>
        </tpls>
      </m>
      <m>
        <tpls c="4">
          <tpl fld="0" item="119"/>
          <tpl hier="3" item="2"/>
          <tpl fld="2" item="0"/>
          <tpl fld="1" item="1"/>
        </tpls>
      </m>
      <n v="77592" in="0">
        <tpls c="4">
          <tpl fld="0" item="120"/>
          <tpl hier="3" item="2"/>
          <tpl fld="2" item="0"/>
          <tpl fld="1" item="0"/>
        </tpls>
      </n>
      <n v="4200" in="0">
        <tpls c="4">
          <tpl fld="0" item="120"/>
          <tpl hier="3" item="2"/>
          <tpl fld="2" item="0"/>
          <tpl fld="1" item="1"/>
        </tpls>
      </n>
      <m>
        <tpls c="4">
          <tpl fld="0" item="121"/>
          <tpl hier="3" item="2"/>
          <tpl fld="2" item="0"/>
          <tpl fld="1" item="0"/>
        </tpls>
      </m>
      <m>
        <tpls c="4">
          <tpl fld="0" item="121"/>
          <tpl hier="3" item="2"/>
          <tpl fld="2" item="0"/>
          <tpl fld="1" item="1"/>
        </tpls>
      </m>
      <m>
        <tpls c="4">
          <tpl fld="0" item="122"/>
          <tpl hier="3" item="2"/>
          <tpl fld="2" item="1"/>
          <tpl fld="1" item="0"/>
        </tpls>
      </m>
      <m>
        <tpls c="4">
          <tpl fld="0" item="122"/>
          <tpl hier="3" item="2"/>
          <tpl fld="2" item="1"/>
          <tpl fld="1" item="1"/>
        </tpls>
      </m>
      <n v="176775" in="0">
        <tpls c="4">
          <tpl fld="0" item="123"/>
          <tpl hier="3" item="2"/>
          <tpl fld="2" item="1"/>
          <tpl fld="1" item="0"/>
        </tpls>
      </n>
      <n v="6750" in="0">
        <tpls c="4">
          <tpl fld="0" item="123"/>
          <tpl hier="3" item="2"/>
          <tpl fld="2" item="1"/>
          <tpl fld="1" item="1"/>
        </tpls>
      </n>
      <m>
        <tpls c="4">
          <tpl fld="0" item="124"/>
          <tpl hier="3" item="2"/>
          <tpl fld="2" item="2"/>
          <tpl fld="1" item="0"/>
        </tpls>
      </m>
      <m>
        <tpls c="4">
          <tpl fld="0" item="124"/>
          <tpl hier="3" item="2"/>
          <tpl fld="2" item="2"/>
          <tpl fld="1" item="1"/>
        </tpls>
      </m>
      <m>
        <tpls c="4">
          <tpl fld="0" item="125"/>
          <tpl hier="3" item="2"/>
          <tpl fld="2" item="0"/>
          <tpl fld="1" item="0"/>
        </tpls>
      </m>
      <m>
        <tpls c="4">
          <tpl fld="0" item="125"/>
          <tpl hier="3" item="2"/>
          <tpl fld="2" item="0"/>
          <tpl fld="1" item="1"/>
        </tpls>
      </m>
      <m>
        <tpls c="4">
          <tpl fld="0" item="126"/>
          <tpl hier="3" item="2"/>
          <tpl fld="2" item="0"/>
          <tpl fld="1" item="0"/>
        </tpls>
      </m>
      <m>
        <tpls c="4">
          <tpl fld="0" item="126"/>
          <tpl hier="3" item="2"/>
          <tpl fld="2" item="0"/>
          <tpl fld="1" item="1"/>
        </tpls>
      </m>
      <m>
        <tpls c="4">
          <tpl fld="0" item="127"/>
          <tpl hier="3" item="2"/>
          <tpl fld="2" item="0"/>
          <tpl fld="1" item="0"/>
        </tpls>
      </m>
      <m>
        <tpls c="4">
          <tpl fld="0" item="127"/>
          <tpl hier="3" item="2"/>
          <tpl fld="2" item="0"/>
          <tpl fld="1" item="1"/>
        </tpls>
      </m>
      <m>
        <tpls c="4">
          <tpl fld="0" item="128"/>
          <tpl hier="3" item="2"/>
          <tpl fld="2" item="0"/>
          <tpl fld="1" item="0"/>
        </tpls>
      </m>
      <m>
        <tpls c="4">
          <tpl fld="0" item="128"/>
          <tpl hier="3" item="2"/>
          <tpl fld="2" item="0"/>
          <tpl fld="1" item="1"/>
        </tpls>
      </m>
      <m>
        <tpls c="4">
          <tpl fld="0" item="129"/>
          <tpl hier="3" item="2"/>
          <tpl fld="2" item="0"/>
          <tpl fld="1" item="0"/>
        </tpls>
      </m>
      <m>
        <tpls c="4">
          <tpl fld="0" item="129"/>
          <tpl hier="3" item="2"/>
          <tpl fld="2" item="0"/>
          <tpl fld="1" item="1"/>
        </tpls>
      </m>
      <n v="203117" in="0">
        <tpls c="4">
          <tpl fld="0" item="130"/>
          <tpl hier="3" item="2"/>
          <tpl fld="2" item="1"/>
          <tpl fld="1" item="0"/>
        </tpls>
      </n>
      <n v="6750" in="0">
        <tpls c="4">
          <tpl fld="0" item="130"/>
          <tpl hier="3" item="2"/>
          <tpl fld="2" item="1"/>
          <tpl fld="1" item="1"/>
        </tpls>
      </n>
      <n v="88579" in="0">
        <tpls c="4">
          <tpl fld="0" item="131"/>
          <tpl hier="3" item="2"/>
          <tpl fld="2" item="0"/>
          <tpl fld="1" item="0"/>
        </tpls>
      </n>
      <n v="2800" in="0">
        <tpls c="4">
          <tpl fld="0" item="131"/>
          <tpl hier="3" item="2"/>
          <tpl fld="2" item="0"/>
          <tpl fld="1" item="1"/>
        </tpls>
      </n>
      <m>
        <tpls c="4">
          <tpl fld="0" item="132"/>
          <tpl hier="3" item="2"/>
          <tpl fld="2" item="0"/>
          <tpl fld="1" item="0"/>
        </tpls>
      </m>
      <m>
        <tpls c="4">
          <tpl fld="0" item="132"/>
          <tpl hier="3" item="2"/>
          <tpl fld="2" item="0"/>
          <tpl fld="1" item="1"/>
        </tpls>
      </m>
      <m>
        <tpls c="4">
          <tpl fld="0" item="133"/>
          <tpl hier="3" item="2"/>
          <tpl fld="2" item="1"/>
          <tpl fld="1" item="0"/>
        </tpls>
      </m>
      <m>
        <tpls c="4">
          <tpl fld="0" item="133"/>
          <tpl hier="3" item="2"/>
          <tpl fld="2" item="1"/>
          <tpl fld="1" item="1"/>
        </tpls>
      </m>
      <m>
        <tpls c="4">
          <tpl fld="0" item="134"/>
          <tpl hier="3" item="2"/>
          <tpl fld="2" item="0"/>
          <tpl fld="1" item="0"/>
        </tpls>
      </m>
      <m>
        <tpls c="4">
          <tpl fld="0" item="134"/>
          <tpl hier="3" item="2"/>
          <tpl fld="2" item="0"/>
          <tpl fld="1" item="1"/>
        </tpls>
      </m>
      <m>
        <tpls c="4">
          <tpl fld="0" item="135"/>
          <tpl hier="3" item="2"/>
          <tpl fld="2" item="1"/>
          <tpl fld="1" item="0"/>
        </tpls>
      </m>
      <m>
        <tpls c="4">
          <tpl fld="0" item="135"/>
          <tpl hier="3" item="2"/>
          <tpl fld="2" item="1"/>
          <tpl fld="1" item="1"/>
        </tpls>
      </m>
      <m>
        <tpls c="4">
          <tpl fld="0" item="136"/>
          <tpl hier="3" item="2"/>
          <tpl fld="2" item="1"/>
          <tpl fld="1" item="0"/>
        </tpls>
      </m>
      <m>
        <tpls c="4">
          <tpl fld="0" item="136"/>
          <tpl hier="3" item="2"/>
          <tpl fld="2" item="1"/>
          <tpl fld="1" item="1"/>
        </tpls>
      </m>
      <m>
        <tpls c="4">
          <tpl fld="0" item="137"/>
          <tpl hier="3" item="2"/>
          <tpl fld="2" item="0"/>
          <tpl fld="1" item="0"/>
        </tpls>
      </m>
      <m>
        <tpls c="4">
          <tpl fld="0" item="137"/>
          <tpl hier="3" item="2"/>
          <tpl fld="2" item="0"/>
          <tpl fld="1" item="1"/>
        </tpls>
      </m>
      <n v="110874" in="0">
        <tpls c="4">
          <tpl fld="0" item="138"/>
          <tpl hier="3" item="2"/>
          <tpl fld="2" item="0"/>
          <tpl fld="1" item="0"/>
        </tpls>
      </n>
      <n v="4200" in="0">
        <tpls c="4">
          <tpl fld="0" item="138"/>
          <tpl hier="3" item="2"/>
          <tpl fld="2" item="0"/>
          <tpl fld="1" item="1"/>
        </tpls>
      </n>
      <m>
        <tpls c="4">
          <tpl fld="0" item="139"/>
          <tpl hier="3" item="2"/>
          <tpl fld="2" item="0"/>
          <tpl fld="1" item="0"/>
        </tpls>
      </m>
      <m>
        <tpls c="4">
          <tpl fld="0" item="139"/>
          <tpl hier="3" item="2"/>
          <tpl fld="2" item="0"/>
          <tpl fld="1" item="1"/>
        </tpls>
      </m>
      <m>
        <tpls c="4">
          <tpl fld="0" item="140"/>
          <tpl hier="3" item="2"/>
          <tpl fld="2" item="2"/>
          <tpl fld="1" item="0"/>
        </tpls>
      </m>
      <m>
        <tpls c="4">
          <tpl fld="0" item="140"/>
          <tpl hier="3" item="2"/>
          <tpl fld="2" item="2"/>
          <tpl fld="1" item="1"/>
        </tpls>
      </m>
      <n v="127395" in="0">
        <tpls c="4">
          <tpl fld="0" item="141"/>
          <tpl hier="3" item="2"/>
          <tpl fld="2" item="1"/>
          <tpl fld="1" item="0"/>
        </tpls>
      </n>
      <n v="6750" in="0">
        <tpls c="4">
          <tpl fld="0" item="141"/>
          <tpl hier="3" item="2"/>
          <tpl fld="2" item="1"/>
          <tpl fld="1" item="1"/>
        </tpls>
      </n>
      <m>
        <tpls c="4">
          <tpl fld="0" item="142"/>
          <tpl hier="3" item="2"/>
          <tpl fld="2" item="0"/>
          <tpl fld="1" item="0"/>
        </tpls>
      </m>
      <m>
        <tpls c="4">
          <tpl fld="0" item="142"/>
          <tpl hier="3" item="2"/>
          <tpl fld="2" item="0"/>
          <tpl fld="1" item="1"/>
        </tpls>
      </m>
      <m>
        <tpls c="4">
          <tpl fld="0" item="143"/>
          <tpl hier="3" item="2"/>
          <tpl fld="2" item="2"/>
          <tpl fld="1" item="0"/>
        </tpls>
      </m>
      <m>
        <tpls c="4">
          <tpl fld="0" item="143"/>
          <tpl hier="3" item="2"/>
          <tpl fld="2" item="2"/>
          <tpl fld="1" item="1"/>
        </tpls>
      </m>
      <m>
        <tpls c="4">
          <tpl fld="0" item="144"/>
          <tpl hier="3" item="2"/>
          <tpl fld="2" item="0"/>
          <tpl fld="1" item="0"/>
        </tpls>
      </m>
      <m>
        <tpls c="4">
          <tpl fld="0" item="144"/>
          <tpl hier="3" item="2"/>
          <tpl fld="2" item="0"/>
          <tpl fld="1" item="1"/>
        </tpls>
      </m>
      <m>
        <tpls c="4">
          <tpl fld="0" item="145"/>
          <tpl hier="3" item="2"/>
          <tpl fld="2" item="1"/>
          <tpl fld="1" item="0"/>
        </tpls>
      </m>
      <m>
        <tpls c="4">
          <tpl fld="0" item="145"/>
          <tpl hier="3" item="2"/>
          <tpl fld="2" item="1"/>
          <tpl fld="1" item="1"/>
        </tpls>
      </m>
      <m>
        <tpls c="4">
          <tpl fld="0" item="146"/>
          <tpl hier="3" item="2"/>
          <tpl fld="2" item="0"/>
          <tpl fld="1" item="0"/>
        </tpls>
      </m>
      <m>
        <tpls c="4">
          <tpl fld="0" item="146"/>
          <tpl hier="3" item="2"/>
          <tpl fld="2" item="0"/>
          <tpl fld="1" item="1"/>
        </tpls>
      </m>
      <m>
        <tpls c="4">
          <tpl fld="0" item="147"/>
          <tpl hier="3" item="2"/>
          <tpl fld="2" item="0"/>
          <tpl fld="1" item="0"/>
        </tpls>
      </m>
      <m>
        <tpls c="4">
          <tpl fld="0" item="147"/>
          <tpl hier="3" item="2"/>
          <tpl fld="2" item="0"/>
          <tpl fld="1" item="1"/>
        </tpls>
      </m>
      <m>
        <tpls c="4">
          <tpl fld="0" item="148"/>
          <tpl hier="3" item="2"/>
          <tpl fld="2" item="0"/>
          <tpl fld="1" item="0"/>
        </tpls>
      </m>
      <m>
        <tpls c="4">
          <tpl fld="0" item="148"/>
          <tpl hier="3" item="2"/>
          <tpl fld="2" item="0"/>
          <tpl fld="1" item="1"/>
        </tpls>
      </m>
      <n v="226495" in="0">
        <tpls c="4">
          <tpl fld="0" item="149"/>
          <tpl hier="3" item="2"/>
          <tpl fld="2" item="1"/>
          <tpl fld="1" item="0"/>
        </tpls>
      </n>
      <n v="9000" in="0">
        <tpls c="4">
          <tpl fld="0" item="149"/>
          <tpl hier="3" item="2"/>
          <tpl fld="2" item="1"/>
          <tpl fld="1" item="1"/>
        </tpls>
      </n>
      <m>
        <tpls c="4">
          <tpl fld="0" item="150"/>
          <tpl hier="3" item="2"/>
          <tpl fld="2" item="0"/>
          <tpl fld="1" item="0"/>
        </tpls>
      </m>
      <m>
        <tpls c="4">
          <tpl fld="0" item="150"/>
          <tpl hier="3" item="2"/>
          <tpl fld="2" item="0"/>
          <tpl fld="1" item="1"/>
        </tpls>
      </m>
      <m>
        <tpls c="4">
          <tpl fld="0" item="151"/>
          <tpl hier="3" item="2"/>
          <tpl fld="2" item="1"/>
          <tpl fld="1" item="0"/>
        </tpls>
      </m>
      <m>
        <tpls c="4">
          <tpl fld="0" item="151"/>
          <tpl hier="3" item="2"/>
          <tpl fld="2" item="1"/>
          <tpl fld="1" item="1"/>
        </tpls>
      </m>
      <n v="154199" in="0">
        <tpls c="4">
          <tpl fld="0" item="152"/>
          <tpl hier="3" item="2"/>
          <tpl fld="2" item="1"/>
          <tpl fld="1" item="0"/>
        </tpls>
      </n>
      <n v="9000" in="0">
        <tpls c="4">
          <tpl fld="0" item="152"/>
          <tpl hier="3" item="2"/>
          <tpl fld="2" item="1"/>
          <tpl fld="1" item="1"/>
        </tpls>
      </n>
      <m>
        <tpls c="4">
          <tpl fld="0" item="153"/>
          <tpl hier="3" item="2"/>
          <tpl fld="2" item="0"/>
          <tpl fld="1" item="0"/>
        </tpls>
      </m>
      <m>
        <tpls c="4">
          <tpl fld="0" item="153"/>
          <tpl hier="3" item="2"/>
          <tpl fld="2" item="0"/>
          <tpl fld="1" item="1"/>
        </tpls>
      </m>
      <n v="147707" in="0">
        <tpls c="4">
          <tpl fld="0" item="154"/>
          <tpl hier="3" item="2"/>
          <tpl fld="2" item="1"/>
          <tpl fld="1" item="0"/>
        </tpls>
      </n>
      <n v="9000" in="0">
        <tpls c="4">
          <tpl fld="0" item="154"/>
          <tpl hier="3" item="2"/>
          <tpl fld="2" item="1"/>
          <tpl fld="1" item="1"/>
        </tpls>
      </n>
      <m>
        <tpls c="4">
          <tpl fld="0" item="155"/>
          <tpl hier="3" item="2"/>
          <tpl fld="2" item="0"/>
          <tpl fld="1" item="0"/>
        </tpls>
      </m>
      <m>
        <tpls c="4">
          <tpl fld="0" item="155"/>
          <tpl hier="3" item="2"/>
          <tpl fld="2" item="0"/>
          <tpl fld="1" item="1"/>
        </tpls>
      </m>
      <m>
        <tpls c="4">
          <tpl fld="0" item="156"/>
          <tpl hier="3" item="2"/>
          <tpl fld="2" item="1"/>
          <tpl fld="1" item="0"/>
        </tpls>
      </m>
      <m>
        <tpls c="4">
          <tpl fld="0" item="156"/>
          <tpl hier="3" item="2"/>
          <tpl fld="2" item="1"/>
          <tpl fld="1" item="1"/>
        </tpls>
      </m>
      <n v="131218" in="0">
        <tpls c="4">
          <tpl fld="0" item="157"/>
          <tpl hier="3" item="2"/>
          <tpl fld="2" item="1"/>
          <tpl fld="1" item="0"/>
        </tpls>
      </n>
      <n v="6750" in="0">
        <tpls c="4">
          <tpl fld="0" item="157"/>
          <tpl hier="3" item="2"/>
          <tpl fld="2" item="1"/>
          <tpl fld="1" item="1"/>
        </tpls>
      </n>
      <m>
        <tpls c="4">
          <tpl fld="0" item="158"/>
          <tpl hier="3" item="2"/>
          <tpl fld="2" item="0"/>
          <tpl fld="1" item="0"/>
        </tpls>
      </m>
      <m>
        <tpls c="4">
          <tpl fld="0" item="158"/>
          <tpl hier="3" item="2"/>
          <tpl fld="2" item="0"/>
          <tpl fld="1" item="1"/>
        </tpls>
      </m>
      <m>
        <tpls c="4">
          <tpl fld="0" item="159"/>
          <tpl hier="3" item="2"/>
          <tpl fld="2" item="2"/>
          <tpl fld="1" item="0"/>
        </tpls>
      </m>
      <m>
        <tpls c="4">
          <tpl fld="0" item="159"/>
          <tpl hier="3" item="2"/>
          <tpl fld="2" item="2"/>
          <tpl fld="1" item="1"/>
        </tpls>
      </m>
      <m>
        <tpls c="4">
          <tpl fld="0" item="160"/>
          <tpl hier="3" item="2"/>
          <tpl fld="2" item="1"/>
          <tpl fld="1" item="0"/>
        </tpls>
      </m>
      <m>
        <tpls c="4">
          <tpl fld="0" item="160"/>
          <tpl hier="3" item="2"/>
          <tpl fld="2" item="1"/>
          <tpl fld="1" item="1"/>
        </tpls>
      </m>
      <m>
        <tpls c="4">
          <tpl fld="0" item="161"/>
          <tpl hier="3" item="2"/>
          <tpl fld="2" item="0"/>
          <tpl fld="1" item="0"/>
        </tpls>
      </m>
      <m>
        <tpls c="4">
          <tpl fld="0" item="161"/>
          <tpl hier="3" item="2"/>
          <tpl fld="2" item="0"/>
          <tpl fld="1" item="1"/>
        </tpls>
      </m>
      <m>
        <tpls c="4">
          <tpl fld="0" item="162"/>
          <tpl hier="3" item="2"/>
          <tpl fld="2" item="0"/>
          <tpl fld="1" item="0"/>
        </tpls>
      </m>
      <m>
        <tpls c="4">
          <tpl fld="0" item="162"/>
          <tpl hier="3" item="2"/>
          <tpl fld="2" item="0"/>
          <tpl fld="1" item="1"/>
        </tpls>
      </m>
      <m>
        <tpls c="4">
          <tpl fld="0" item="163"/>
          <tpl hier="3" item="2"/>
          <tpl fld="2" item="2"/>
          <tpl fld="1" item="0"/>
        </tpls>
      </m>
      <m>
        <tpls c="4">
          <tpl fld="0" item="163"/>
          <tpl hier="3" item="2"/>
          <tpl fld="2" item="2"/>
          <tpl fld="1" item="1"/>
        </tpls>
      </m>
      <m>
        <tpls c="4">
          <tpl fld="0" item="164"/>
          <tpl hier="3" item="2"/>
          <tpl fld="2" item="1"/>
          <tpl fld="1" item="0"/>
        </tpls>
      </m>
      <m>
        <tpls c="4">
          <tpl fld="0" item="164"/>
          <tpl hier="3" item="2"/>
          <tpl fld="2" item="1"/>
          <tpl fld="1" item="1"/>
        </tpls>
      </m>
      <m>
        <tpls c="4">
          <tpl fld="0" item="165"/>
          <tpl hier="3" item="2"/>
          <tpl fld="2" item="1"/>
          <tpl fld="1" item="0"/>
        </tpls>
      </m>
      <m>
        <tpls c="4">
          <tpl fld="0" item="165"/>
          <tpl hier="3" item="2"/>
          <tpl fld="2" item="1"/>
          <tpl fld="1" item="1"/>
        </tpls>
      </m>
      <m>
        <tpls c="4">
          <tpl fld="0" item="166"/>
          <tpl hier="3" item="2"/>
          <tpl fld="2" item="2"/>
          <tpl fld="1" item="0"/>
        </tpls>
      </m>
      <m>
        <tpls c="4">
          <tpl fld="0" item="166"/>
          <tpl hier="3" item="2"/>
          <tpl fld="2" item="2"/>
          <tpl fld="1" item="1"/>
        </tpls>
      </m>
      <m>
        <tpls c="4">
          <tpl fld="0" item="167"/>
          <tpl hier="3" item="2"/>
          <tpl fld="2" item="0"/>
          <tpl fld="1" item="0"/>
        </tpls>
      </m>
      <m>
        <tpls c="4">
          <tpl fld="0" item="167"/>
          <tpl hier="3" item="2"/>
          <tpl fld="2" item="0"/>
          <tpl fld="1" item="1"/>
        </tpls>
      </m>
      <m>
        <tpls c="4">
          <tpl fld="0" item="168"/>
          <tpl hier="3" item="2"/>
          <tpl fld="2" item="0"/>
          <tpl fld="1" item="0"/>
        </tpls>
      </m>
      <m>
        <tpls c="4">
          <tpl fld="0" item="168"/>
          <tpl hier="3" item="2"/>
          <tpl fld="2" item="0"/>
          <tpl fld="1" item="1"/>
        </tpls>
      </m>
      <m>
        <tpls c="4">
          <tpl fld="0" item="169"/>
          <tpl hier="3" item="2"/>
          <tpl fld="2" item="1"/>
          <tpl fld="1" item="0"/>
        </tpls>
      </m>
      <m>
        <tpls c="4">
          <tpl fld="0" item="169"/>
          <tpl hier="3" item="2"/>
          <tpl fld="2" item="1"/>
          <tpl fld="1" item="1"/>
        </tpls>
      </m>
      <n v="71547" in="0">
        <tpls c="4">
          <tpl fld="0" item="170"/>
          <tpl hier="3" item="2"/>
          <tpl fld="2" item="0"/>
          <tpl fld="1" item="0"/>
        </tpls>
      </n>
      <n v="4200" in="0">
        <tpls c="4">
          <tpl fld="0" item="170"/>
          <tpl hier="3" item="2"/>
          <tpl fld="2" item="0"/>
          <tpl fld="1" item="1"/>
        </tpls>
      </n>
      <m>
        <tpls c="4">
          <tpl fld="0" item="171"/>
          <tpl hier="3" item="2"/>
          <tpl fld="2" item="1"/>
          <tpl fld="1" item="0"/>
        </tpls>
      </m>
      <m>
        <tpls c="4">
          <tpl fld="0" item="171"/>
          <tpl hier="3" item="2"/>
          <tpl fld="2" item="1"/>
          <tpl fld="1" item="1"/>
        </tpls>
      </m>
      <m>
        <tpls c="4">
          <tpl fld="0" item="172"/>
          <tpl hier="3" item="2"/>
          <tpl fld="2" item="0"/>
          <tpl fld="1" item="0"/>
        </tpls>
      </m>
      <m>
        <tpls c="4">
          <tpl fld="0" item="172"/>
          <tpl hier="3" item="2"/>
          <tpl fld="2" item="0"/>
          <tpl fld="1" item="1"/>
        </tpls>
      </m>
      <m>
        <tpls c="4">
          <tpl fld="0" item="173"/>
          <tpl hier="3" item="2"/>
          <tpl fld="2" item="1"/>
          <tpl fld="1" item="0"/>
        </tpls>
      </m>
      <m>
        <tpls c="4">
          <tpl fld="0" item="173"/>
          <tpl hier="3" item="2"/>
          <tpl fld="2" item="1"/>
          <tpl fld="1" item="1"/>
        </tpls>
      </m>
      <m>
        <tpls c="4">
          <tpl fld="0" item="174"/>
          <tpl hier="3" item="2"/>
          <tpl fld="2" item="0"/>
          <tpl fld="1" item="0"/>
        </tpls>
      </m>
      <m>
        <tpls c="4">
          <tpl fld="0" item="174"/>
          <tpl hier="3" item="2"/>
          <tpl fld="2" item="0"/>
          <tpl fld="1" item="1"/>
        </tpls>
      </m>
      <m>
        <tpls c="4">
          <tpl fld="0" item="175"/>
          <tpl hier="3" item="2"/>
          <tpl fld="2" item="0"/>
          <tpl fld="1" item="0"/>
        </tpls>
      </m>
      <m>
        <tpls c="4">
          <tpl fld="0" item="175"/>
          <tpl hier="3" item="2"/>
          <tpl fld="2" item="0"/>
          <tpl fld="1" item="1"/>
        </tpls>
      </m>
      <m>
        <tpls c="4">
          <tpl fld="0" item="176"/>
          <tpl hier="3" item="2"/>
          <tpl fld="2" item="0"/>
          <tpl fld="1" item="0"/>
        </tpls>
      </m>
      <m>
        <tpls c="4">
          <tpl fld="0" item="176"/>
          <tpl hier="3" item="2"/>
          <tpl fld="2" item="0"/>
          <tpl fld="1" item="1"/>
        </tpls>
      </m>
      <m>
        <tpls c="4">
          <tpl fld="0" item="177"/>
          <tpl hier="3" item="2"/>
          <tpl fld="2" item="1"/>
          <tpl fld="1" item="0"/>
        </tpls>
      </m>
      <m>
        <tpls c="4">
          <tpl fld="0" item="177"/>
          <tpl hier="3" item="2"/>
          <tpl fld="2" item="1"/>
          <tpl fld="1" item="1"/>
        </tpls>
      </m>
      <m>
        <tpls c="4">
          <tpl fld="0" item="178"/>
          <tpl hier="3" item="2"/>
          <tpl fld="2" item="1"/>
          <tpl fld="1" item="0"/>
        </tpls>
      </m>
      <m>
        <tpls c="4">
          <tpl fld="0" item="178"/>
          <tpl hier="3" item="2"/>
          <tpl fld="2" item="1"/>
          <tpl fld="1" item="1"/>
        </tpls>
      </m>
      <m>
        <tpls c="4">
          <tpl fld="0" item="179"/>
          <tpl hier="3" item="2"/>
          <tpl fld="2" item="0"/>
          <tpl fld="1" item="0"/>
        </tpls>
      </m>
      <m>
        <tpls c="4">
          <tpl fld="0" item="179"/>
          <tpl hier="3" item="2"/>
          <tpl fld="2" item="0"/>
          <tpl fld="1" item="1"/>
        </tpls>
      </m>
      <m>
        <tpls c="4">
          <tpl fld="0" item="180"/>
          <tpl hier="3" item="2"/>
          <tpl fld="2" item="1"/>
          <tpl fld="1" item="0"/>
        </tpls>
      </m>
      <m>
        <tpls c="4">
          <tpl fld="0" item="180"/>
          <tpl hier="3" item="2"/>
          <tpl fld="2" item="1"/>
          <tpl fld="1" item="1"/>
        </tpls>
      </m>
      <n v="166113" in="0">
        <tpls c="4">
          <tpl fld="0" item="181"/>
          <tpl hier="3" item="2"/>
          <tpl fld="2" item="1"/>
          <tpl fld="1" item="0"/>
        </tpls>
      </n>
      <n v="9000" in="0">
        <tpls c="4">
          <tpl fld="0" item="181"/>
          <tpl hier="3" item="2"/>
          <tpl fld="2" item="1"/>
          <tpl fld="1" item="1"/>
        </tpls>
      </n>
      <n v="119138" in="0">
        <tpls c="4">
          <tpl fld="0" item="182"/>
          <tpl hier="3" item="2"/>
          <tpl fld="2" item="0"/>
          <tpl fld="1" item="0"/>
        </tpls>
      </n>
      <n v="2800" in="0">
        <tpls c="4">
          <tpl fld="0" item="182"/>
          <tpl hier="3" item="2"/>
          <tpl fld="2" item="0"/>
          <tpl fld="1" item="1"/>
        </tpls>
      </n>
      <m>
        <tpls c="4">
          <tpl fld="0" item="183"/>
          <tpl hier="3" item="2"/>
          <tpl fld="2" item="0"/>
          <tpl fld="1" item="0"/>
        </tpls>
      </m>
      <m>
        <tpls c="4">
          <tpl fld="0" item="183"/>
          <tpl hier="3" item="2"/>
          <tpl fld="2" item="0"/>
          <tpl fld="1" item="1"/>
        </tpls>
      </m>
      <m>
        <tpls c="4">
          <tpl fld="0" item="184"/>
          <tpl hier="3" item="2"/>
          <tpl fld="2" item="0"/>
          <tpl fld="1" item="0"/>
        </tpls>
      </m>
      <m>
        <tpls c="4">
          <tpl fld="0" item="184"/>
          <tpl hier="3" item="2"/>
          <tpl fld="2" item="0"/>
          <tpl fld="1" item="1"/>
        </tpls>
      </m>
      <n v="60359" in="0">
        <tpls c="4">
          <tpl fld="0" item="185"/>
          <tpl hier="3" item="2"/>
          <tpl fld="2" item="0"/>
          <tpl fld="1" item="0"/>
        </tpls>
      </n>
      <n v="4200" in="0">
        <tpls c="4">
          <tpl fld="0" item="185"/>
          <tpl hier="3" item="2"/>
          <tpl fld="2" item="0"/>
          <tpl fld="1" item="1"/>
        </tpls>
      </n>
      <m>
        <tpls c="4">
          <tpl fld="0" item="186"/>
          <tpl hier="3" item="2"/>
          <tpl fld="2" item="1"/>
          <tpl fld="1" item="0"/>
        </tpls>
      </m>
      <m>
        <tpls c="4">
          <tpl fld="0" item="186"/>
          <tpl hier="3" item="2"/>
          <tpl fld="2" item="1"/>
          <tpl fld="1" item="1"/>
        </tpls>
      </m>
      <m>
        <tpls c="4">
          <tpl fld="0" item="187"/>
          <tpl hier="3" item="2"/>
          <tpl fld="2" item="1"/>
          <tpl fld="1" item="0"/>
        </tpls>
      </m>
      <m>
        <tpls c="4">
          <tpl fld="0" item="187"/>
          <tpl hier="3" item="2"/>
          <tpl fld="2" item="1"/>
          <tpl fld="1" item="1"/>
        </tpls>
      </m>
      <m>
        <tpls c="4">
          <tpl fld="0" item="188"/>
          <tpl hier="3" item="2"/>
          <tpl fld="2" item="1"/>
          <tpl fld="1" item="0"/>
        </tpls>
      </m>
      <m>
        <tpls c="4">
          <tpl fld="0" item="188"/>
          <tpl hier="3" item="2"/>
          <tpl fld="2" item="1"/>
          <tpl fld="1" item="1"/>
        </tpls>
      </m>
      <m>
        <tpls c="4">
          <tpl fld="0" item="189"/>
          <tpl hier="3" item="2"/>
          <tpl fld="2" item="0"/>
          <tpl fld="1" item="0"/>
        </tpls>
      </m>
      <m>
        <tpls c="4">
          <tpl fld="0" item="189"/>
          <tpl hier="3" item="2"/>
          <tpl fld="2" item="0"/>
          <tpl fld="1" item="1"/>
        </tpls>
      </m>
      <m>
        <tpls c="4">
          <tpl fld="0" item="190"/>
          <tpl hier="3" item="2"/>
          <tpl fld="2" item="0"/>
          <tpl fld="1" item="0"/>
        </tpls>
      </m>
      <m>
        <tpls c="4">
          <tpl fld="0" item="190"/>
          <tpl hier="3" item="2"/>
          <tpl fld="2" item="0"/>
          <tpl fld="1" item="1"/>
        </tpls>
      </m>
      <m>
        <tpls c="4">
          <tpl fld="0" item="191"/>
          <tpl hier="3" item="2"/>
          <tpl fld="2" item="1"/>
          <tpl fld="1" item="0"/>
        </tpls>
      </m>
      <m>
        <tpls c="4">
          <tpl fld="0" item="191"/>
          <tpl hier="3" item="2"/>
          <tpl fld="2" item="1"/>
          <tpl fld="1" item="1"/>
        </tpls>
      </m>
      <n v="187061" in="0">
        <tpls c="4">
          <tpl fld="0" item="192"/>
          <tpl hier="3" item="2"/>
          <tpl fld="2" item="1"/>
          <tpl fld="1" item="0"/>
        </tpls>
      </n>
      <n v="9000" in="0">
        <tpls c="4">
          <tpl fld="0" item="192"/>
          <tpl hier="3" item="2"/>
          <tpl fld="2" item="1"/>
          <tpl fld="1" item="1"/>
        </tpls>
      </n>
      <m>
        <tpls c="4">
          <tpl fld="0" item="193"/>
          <tpl hier="3" item="2"/>
          <tpl fld="2" item="1"/>
          <tpl fld="1" item="0"/>
        </tpls>
      </m>
      <m>
        <tpls c="4">
          <tpl fld="0" item="193"/>
          <tpl hier="3" item="2"/>
          <tpl fld="2" item="1"/>
          <tpl fld="1" item="1"/>
        </tpls>
      </m>
      <m>
        <tpls c="4">
          <tpl fld="0" item="194"/>
          <tpl hier="3" item="2"/>
          <tpl fld="2" item="1"/>
          <tpl fld="1" item="0"/>
        </tpls>
      </m>
      <m>
        <tpls c="4">
          <tpl fld="0" item="194"/>
          <tpl hier="3" item="2"/>
          <tpl fld="2" item="1"/>
          <tpl fld="1" item="1"/>
        </tpls>
      </m>
      <n v="132604" in="0">
        <tpls c="4">
          <tpl fld="0" item="195"/>
          <tpl hier="3" item="2"/>
          <tpl fld="2" item="1"/>
          <tpl fld="1" item="0"/>
        </tpls>
      </n>
      <n v="6750" in="0">
        <tpls c="4">
          <tpl fld="0" item="195"/>
          <tpl hier="3" item="2"/>
          <tpl fld="2" item="1"/>
          <tpl fld="1" item="1"/>
        </tpls>
      </n>
      <m>
        <tpls c="4">
          <tpl fld="0" item="196"/>
          <tpl hier="3" item="2"/>
          <tpl fld="2" item="2"/>
          <tpl fld="1" item="0"/>
        </tpls>
      </m>
      <m>
        <tpls c="4">
          <tpl fld="0" item="196"/>
          <tpl hier="3" item="2"/>
          <tpl fld="2" item="2"/>
          <tpl fld="1" item="1"/>
        </tpls>
      </m>
      <m>
        <tpls c="4">
          <tpl fld="0" item="197"/>
          <tpl hier="3" item="2"/>
          <tpl fld="2" item="0"/>
          <tpl fld="1" item="0"/>
        </tpls>
      </m>
      <m>
        <tpls c="4">
          <tpl fld="0" item="197"/>
          <tpl hier="3" item="2"/>
          <tpl fld="2" item="0"/>
          <tpl fld="1" item="1"/>
        </tpls>
      </m>
      <m>
        <tpls c="4">
          <tpl fld="0" item="198"/>
          <tpl hier="3" item="2"/>
          <tpl fld="2" item="1"/>
          <tpl fld="1" item="0"/>
        </tpls>
      </m>
      <m>
        <tpls c="4">
          <tpl fld="0" item="198"/>
          <tpl hier="3" item="2"/>
          <tpl fld="2" item="1"/>
          <tpl fld="1" item="1"/>
        </tpls>
      </m>
      <m>
        <tpls c="4">
          <tpl fld="0" item="199"/>
          <tpl hier="3" item="2"/>
          <tpl fld="2" item="1"/>
          <tpl fld="1" item="0"/>
        </tpls>
      </m>
      <m>
        <tpls c="4">
          <tpl fld="0" item="199"/>
          <tpl hier="3" item="2"/>
          <tpl fld="2" item="1"/>
          <tpl fld="1" item="1"/>
        </tpls>
      </m>
      <m>
        <tpls c="4">
          <tpl fld="0" item="200"/>
          <tpl hier="3" item="2"/>
          <tpl fld="2" item="0"/>
          <tpl fld="1" item="0"/>
        </tpls>
      </m>
      <m>
        <tpls c="4">
          <tpl fld="0" item="200"/>
          <tpl hier="3" item="2"/>
          <tpl fld="2" item="0"/>
          <tpl fld="1" item="1"/>
        </tpls>
      </m>
      <m>
        <tpls c="4">
          <tpl fld="0" item="201"/>
          <tpl hier="3" item="2"/>
          <tpl fld="2" item="1"/>
          <tpl fld="1" item="0"/>
        </tpls>
      </m>
      <m>
        <tpls c="4">
          <tpl fld="0" item="201"/>
          <tpl hier="3" item="2"/>
          <tpl fld="2" item="1"/>
          <tpl fld="1" item="1"/>
        </tpls>
      </m>
      <m>
        <tpls c="4">
          <tpl fld="0" item="202"/>
          <tpl hier="3" item="2"/>
          <tpl fld="2" item="2"/>
          <tpl fld="1" item="0"/>
        </tpls>
      </m>
      <m>
        <tpls c="4">
          <tpl fld="0" item="202"/>
          <tpl hier="3" item="2"/>
          <tpl fld="2" item="2"/>
          <tpl fld="1" item="1"/>
        </tpls>
      </m>
      <m>
        <tpls c="4">
          <tpl fld="0" item="203"/>
          <tpl hier="3" item="2"/>
          <tpl fld="2" item="0"/>
          <tpl fld="1" item="0"/>
        </tpls>
      </m>
      <m>
        <tpls c="4">
          <tpl fld="0" item="203"/>
          <tpl hier="3" item="2"/>
          <tpl fld="2" item="0"/>
          <tpl fld="1" item="1"/>
        </tpls>
      </m>
      <n v="118190" in="0">
        <tpls c="4">
          <tpl fld="0" item="204"/>
          <tpl hier="3" item="2"/>
          <tpl fld="2" item="0"/>
          <tpl fld="1" item="0"/>
        </tpls>
      </n>
      <n v="4200" in="0">
        <tpls c="4">
          <tpl fld="0" item="204"/>
          <tpl hier="3" item="2"/>
          <tpl fld="2" item="0"/>
          <tpl fld="1" item="1"/>
        </tpls>
      </n>
      <m>
        <tpls c="4">
          <tpl fld="0" item="205"/>
          <tpl hier="3" item="2"/>
          <tpl fld="2" item="1"/>
          <tpl fld="1" item="0"/>
        </tpls>
      </m>
      <m>
        <tpls c="4">
          <tpl fld="0" item="205"/>
          <tpl hier="3" item="2"/>
          <tpl fld="2" item="1"/>
          <tpl fld="1" item="1"/>
        </tpls>
      </m>
      <n v="134243" in="0">
        <tpls c="4">
          <tpl fld="0" item="206"/>
          <tpl hier="3" item="2"/>
          <tpl fld="2" item="1"/>
          <tpl fld="1" item="0"/>
        </tpls>
      </n>
      <n v="9000" in="0">
        <tpls c="4">
          <tpl fld="0" item="206"/>
          <tpl hier="3" item="2"/>
          <tpl fld="2" item="1"/>
          <tpl fld="1" item="1"/>
        </tpls>
      </n>
      <m>
        <tpls c="4">
          <tpl fld="0" item="207"/>
          <tpl hier="3" item="2"/>
          <tpl fld="2" item="0"/>
          <tpl fld="1" item="0"/>
        </tpls>
      </m>
      <m>
        <tpls c="4">
          <tpl fld="0" item="207"/>
          <tpl hier="3" item="2"/>
          <tpl fld="2" item="0"/>
          <tpl fld="1" item="1"/>
        </tpls>
      </m>
      <m>
        <tpls c="4">
          <tpl fld="0" item="208"/>
          <tpl hier="3" item="2"/>
          <tpl fld="2" item="1"/>
          <tpl fld="1" item="0"/>
        </tpls>
      </m>
      <m>
        <tpls c="4">
          <tpl fld="0" item="208"/>
          <tpl hier="3" item="2"/>
          <tpl fld="2" item="1"/>
          <tpl fld="1" item="1"/>
        </tpls>
      </m>
      <m>
        <tpls c="4">
          <tpl fld="0" item="209"/>
          <tpl hier="3" item="2"/>
          <tpl fld="2" item="0"/>
          <tpl fld="1" item="0"/>
        </tpls>
      </m>
      <m>
        <tpls c="4">
          <tpl fld="0" item="209"/>
          <tpl hier="3" item="2"/>
          <tpl fld="2" item="0"/>
          <tpl fld="1" item="1"/>
        </tpls>
      </m>
      <m>
        <tpls c="4">
          <tpl fld="0" item="210"/>
          <tpl hier="3" item="2"/>
          <tpl fld="2" item="0"/>
          <tpl fld="1" item="0"/>
        </tpls>
      </m>
      <m>
        <tpls c="4">
          <tpl fld="0" item="210"/>
          <tpl hier="3" item="2"/>
          <tpl fld="2" item="0"/>
          <tpl fld="1" item="1"/>
        </tpls>
      </m>
      <m>
        <tpls c="4">
          <tpl fld="0" item="211"/>
          <tpl hier="3" item="2"/>
          <tpl fld="2" item="1"/>
          <tpl fld="1" item="0"/>
        </tpls>
      </m>
      <m>
        <tpls c="4">
          <tpl fld="0" item="211"/>
          <tpl hier="3" item="2"/>
          <tpl fld="2" item="1"/>
          <tpl fld="1" item="1"/>
        </tpls>
      </m>
      <m>
        <tpls c="4">
          <tpl fld="0" item="212"/>
          <tpl hier="3" item="2"/>
          <tpl fld="2" item="1"/>
          <tpl fld="1" item="0"/>
        </tpls>
      </m>
      <m>
        <tpls c="4">
          <tpl fld="0" item="212"/>
          <tpl hier="3" item="2"/>
          <tpl fld="2" item="1"/>
          <tpl fld="1" item="1"/>
        </tpls>
      </m>
      <m>
        <tpls c="4">
          <tpl fld="0" item="213"/>
          <tpl hier="3" item="2"/>
          <tpl fld="2" item="1"/>
          <tpl fld="1" item="0"/>
        </tpls>
      </m>
      <m>
        <tpls c="4">
          <tpl fld="0" item="213"/>
          <tpl hier="3" item="2"/>
          <tpl fld="2" item="1"/>
          <tpl fld="1" item="1"/>
        </tpls>
      </m>
      <m>
        <tpls c="4">
          <tpl fld="0" item="214"/>
          <tpl hier="3" item="2"/>
          <tpl fld="2" item="1"/>
          <tpl fld="1" item="0"/>
        </tpls>
      </m>
      <m>
        <tpls c="4">
          <tpl fld="0" item="214"/>
          <tpl hier="3" item="2"/>
          <tpl fld="2" item="1"/>
          <tpl fld="1" item="1"/>
        </tpls>
      </m>
      <m>
        <tpls c="4">
          <tpl fld="0" item="215"/>
          <tpl hier="3" item="2"/>
          <tpl fld="2" item="1"/>
          <tpl fld="1" item="0"/>
        </tpls>
      </m>
      <m>
        <tpls c="4">
          <tpl fld="0" item="215"/>
          <tpl hier="3" item="2"/>
          <tpl fld="2" item="1"/>
          <tpl fld="1" item="1"/>
        </tpls>
      </m>
      <m>
        <tpls c="4">
          <tpl fld="0" item="216"/>
          <tpl hier="3" item="2"/>
          <tpl fld="2" item="0"/>
          <tpl fld="1" item="0"/>
        </tpls>
      </m>
      <m>
        <tpls c="4">
          <tpl fld="0" item="216"/>
          <tpl hier="3" item="2"/>
          <tpl fld="2" item="0"/>
          <tpl fld="1" item="1"/>
        </tpls>
      </m>
      <m>
        <tpls c="4">
          <tpl fld="0" item="217"/>
          <tpl hier="3" item="2"/>
          <tpl fld="2" item="0"/>
          <tpl fld="1" item="0"/>
        </tpls>
      </m>
      <m>
        <tpls c="4">
          <tpl fld="0" item="217"/>
          <tpl hier="3" item="2"/>
          <tpl fld="2" item="0"/>
          <tpl fld="1" item="1"/>
        </tpls>
      </m>
      <m>
        <tpls c="4">
          <tpl fld="0" item="218"/>
          <tpl hier="3" item="2"/>
          <tpl fld="2" item="0"/>
          <tpl fld="1" item="0"/>
        </tpls>
      </m>
      <m>
        <tpls c="4">
          <tpl fld="0" item="218"/>
          <tpl hier="3" item="2"/>
          <tpl fld="2" item="0"/>
          <tpl fld="1" item="1"/>
        </tpls>
      </m>
      <m>
        <tpls c="4">
          <tpl fld="0" item="219"/>
          <tpl hier="3" item="2"/>
          <tpl fld="2" item="0"/>
          <tpl fld="1" item="0"/>
        </tpls>
      </m>
      <m>
        <tpls c="4">
          <tpl fld="0" item="219"/>
          <tpl hier="3" item="2"/>
          <tpl fld="2" item="0"/>
          <tpl fld="1" item="1"/>
        </tpls>
      </m>
      <m>
        <tpls c="4">
          <tpl fld="0" item="220"/>
          <tpl hier="3" item="2"/>
          <tpl fld="2" item="1"/>
          <tpl fld="1" item="0"/>
        </tpls>
      </m>
      <m>
        <tpls c="4">
          <tpl fld="0" item="220"/>
          <tpl hier="3" item="2"/>
          <tpl fld="2" item="1"/>
          <tpl fld="1" item="1"/>
        </tpls>
      </m>
      <m>
        <tpls c="4">
          <tpl fld="0" item="221"/>
          <tpl hier="3" item="2"/>
          <tpl fld="2" item="0"/>
          <tpl fld="1" item="0"/>
        </tpls>
      </m>
      <m>
        <tpls c="4">
          <tpl fld="0" item="221"/>
          <tpl hier="3" item="2"/>
          <tpl fld="2" item="0"/>
          <tpl fld="1" item="1"/>
        </tpls>
      </m>
      <m>
        <tpls c="4">
          <tpl fld="0" item="222"/>
          <tpl hier="3" item="2"/>
          <tpl fld="2" item="1"/>
          <tpl fld="1" item="0"/>
        </tpls>
      </m>
      <m>
        <tpls c="4">
          <tpl fld="0" item="222"/>
          <tpl hier="3" item="2"/>
          <tpl fld="2" item="1"/>
          <tpl fld="1" item="1"/>
        </tpls>
      </m>
      <m>
        <tpls c="4">
          <tpl fld="0" item="223"/>
          <tpl hier="3" item="2"/>
          <tpl fld="2" item="1"/>
          <tpl fld="1" item="0"/>
        </tpls>
      </m>
      <m>
        <tpls c="4">
          <tpl fld="0" item="223"/>
          <tpl hier="3" item="2"/>
          <tpl fld="2" item="1"/>
          <tpl fld="1" item="1"/>
        </tpls>
      </m>
      <n v="111621" in="0">
        <tpls c="4">
          <tpl fld="0" item="224"/>
          <tpl hier="3" item="2"/>
          <tpl fld="2" item="0"/>
          <tpl fld="1" item="0"/>
        </tpls>
      </n>
      <n v="4200" in="0">
        <tpls c="4">
          <tpl fld="0" item="224"/>
          <tpl hier="3" item="2"/>
          <tpl fld="2" item="0"/>
          <tpl fld="1" item="1"/>
        </tpls>
      </n>
      <m>
        <tpls c="4">
          <tpl fld="0" item="225"/>
          <tpl hier="3" item="2"/>
          <tpl fld="2" item="1"/>
          <tpl fld="1" item="0"/>
        </tpls>
      </m>
      <m>
        <tpls c="4">
          <tpl fld="0" item="225"/>
          <tpl hier="3" item="2"/>
          <tpl fld="2" item="1"/>
          <tpl fld="1" item="1"/>
        </tpls>
      </m>
      <m>
        <tpls c="4">
          <tpl fld="0" item="226"/>
          <tpl hier="3" item="2"/>
          <tpl fld="2" item="0"/>
          <tpl fld="1" item="0"/>
        </tpls>
      </m>
      <m>
        <tpls c="4">
          <tpl fld="0" item="226"/>
          <tpl hier="3" item="2"/>
          <tpl fld="2" item="0"/>
          <tpl fld="1" item="1"/>
        </tpls>
      </m>
      <m>
        <tpls c="4">
          <tpl fld="0" item="227"/>
          <tpl hier="3" item="2"/>
          <tpl fld="2" item="0"/>
          <tpl fld="1" item="0"/>
        </tpls>
      </m>
      <m>
        <tpls c="4">
          <tpl fld="0" item="227"/>
          <tpl hier="3" item="2"/>
          <tpl fld="2" item="0"/>
          <tpl fld="1" item="1"/>
        </tpls>
      </m>
      <m>
        <tpls c="4">
          <tpl fld="0" item="228"/>
          <tpl hier="3" item="2"/>
          <tpl fld="2" item="1"/>
          <tpl fld="1" item="0"/>
        </tpls>
      </m>
      <m>
        <tpls c="4">
          <tpl fld="0" item="228"/>
          <tpl hier="3" item="2"/>
          <tpl fld="2" item="1"/>
          <tpl fld="1" item="1"/>
        </tpls>
      </m>
      <m>
        <tpls c="4">
          <tpl fld="0" item="229"/>
          <tpl hier="3" item="2"/>
          <tpl fld="2" item="0"/>
          <tpl fld="1" item="0"/>
        </tpls>
      </m>
      <m>
        <tpls c="4">
          <tpl fld="0" item="229"/>
          <tpl hier="3" item="2"/>
          <tpl fld="2" item="0"/>
          <tpl fld="1" item="1"/>
        </tpls>
      </m>
      <n v="45515" in="0">
        <tpls c="4">
          <tpl fld="0" item="230"/>
          <tpl hier="3" item="2"/>
          <tpl fld="2" item="2"/>
          <tpl fld="1" item="0"/>
        </tpls>
      </n>
      <n v="1500" in="0">
        <tpls c="4">
          <tpl fld="0" item="230"/>
          <tpl hier="3" item="2"/>
          <tpl fld="2" item="2"/>
          <tpl fld="1" item="1"/>
        </tpls>
      </n>
      <m>
        <tpls c="4">
          <tpl fld="0" item="231"/>
          <tpl hier="3" item="2"/>
          <tpl fld="2" item="1"/>
          <tpl fld="1" item="0"/>
        </tpls>
      </m>
      <m>
        <tpls c="4">
          <tpl fld="0" item="231"/>
          <tpl hier="3" item="2"/>
          <tpl fld="2" item="1"/>
          <tpl fld="1" item="1"/>
        </tpls>
      </m>
      <m>
        <tpls c="4">
          <tpl fld="0" item="232"/>
          <tpl hier="3" item="2"/>
          <tpl fld="2" item="0"/>
          <tpl fld="1" item="0"/>
        </tpls>
      </m>
      <m>
        <tpls c="4">
          <tpl fld="0" item="232"/>
          <tpl hier="3" item="2"/>
          <tpl fld="2" item="0"/>
          <tpl fld="1" item="1"/>
        </tpls>
      </m>
      <m>
        <tpls c="4">
          <tpl fld="0" item="233"/>
          <tpl hier="3" item="2"/>
          <tpl fld="2" item="1"/>
          <tpl fld="1" item="0"/>
        </tpls>
      </m>
      <m>
        <tpls c="4">
          <tpl fld="0" item="233"/>
          <tpl hier="3" item="2"/>
          <tpl fld="2" item="1"/>
          <tpl fld="1" item="1"/>
        </tpls>
      </m>
      <m>
        <tpls c="4">
          <tpl fld="0" item="234"/>
          <tpl hier="3" item="2"/>
          <tpl fld="2" item="1"/>
          <tpl fld="1" item="0"/>
        </tpls>
      </m>
      <m>
        <tpls c="4">
          <tpl fld="0" item="234"/>
          <tpl hier="3" item="2"/>
          <tpl fld="2" item="1"/>
          <tpl fld="1" item="1"/>
        </tpls>
      </m>
      <m>
        <tpls c="4">
          <tpl fld="0" item="235"/>
          <tpl hier="3" item="2"/>
          <tpl fld="2" item="1"/>
          <tpl fld="1" item="0"/>
        </tpls>
      </m>
      <m>
        <tpls c="4">
          <tpl fld="0" item="235"/>
          <tpl hier="3" item="2"/>
          <tpl fld="2" item="1"/>
          <tpl fld="1" item="1"/>
        </tpls>
      </m>
      <m>
        <tpls c="4">
          <tpl fld="0" item="236"/>
          <tpl hier="3" item="2"/>
          <tpl fld="2" item="0"/>
          <tpl fld="1" item="0"/>
        </tpls>
      </m>
      <m>
        <tpls c="4">
          <tpl fld="0" item="236"/>
          <tpl hier="3" item="2"/>
          <tpl fld="2" item="0"/>
          <tpl fld="1" item="1"/>
        </tpls>
      </m>
      <m>
        <tpls c="4">
          <tpl fld="0" item="237"/>
          <tpl hier="3" item="2"/>
          <tpl fld="2" item="2"/>
          <tpl fld="1" item="0"/>
        </tpls>
      </m>
      <m>
        <tpls c="4">
          <tpl fld="0" item="237"/>
          <tpl hier="3" item="2"/>
          <tpl fld="2" item="2"/>
          <tpl fld="1" item="1"/>
        </tpls>
      </m>
      <m>
        <tpls c="4">
          <tpl fld="0" item="238"/>
          <tpl hier="3" item="2"/>
          <tpl fld="2" item="1"/>
          <tpl fld="1" item="0"/>
        </tpls>
      </m>
      <m>
        <tpls c="4">
          <tpl fld="0" item="238"/>
          <tpl hier="3" item="2"/>
          <tpl fld="2" item="1"/>
          <tpl fld="1" item="1"/>
        </tpls>
      </m>
      <m>
        <tpls c="4">
          <tpl fld="0" item="239"/>
          <tpl hier="3" item="2"/>
          <tpl fld="2" item="0"/>
          <tpl fld="1" item="0"/>
        </tpls>
      </m>
      <m>
        <tpls c="4">
          <tpl fld="0" item="239"/>
          <tpl hier="3" item="2"/>
          <tpl fld="2" item="0"/>
          <tpl fld="1" item="1"/>
        </tpls>
      </m>
      <n v="214169" in="0">
        <tpls c="4">
          <tpl fld="0" item="240"/>
          <tpl hier="3" item="2"/>
          <tpl fld="2" item="1"/>
          <tpl fld="1" item="0"/>
        </tpls>
      </n>
      <n v="6750" in="0">
        <tpls c="4">
          <tpl fld="0" item="240"/>
          <tpl hier="3" item="2"/>
          <tpl fld="2" item="1"/>
          <tpl fld="1" item="1"/>
        </tpls>
      </n>
      <n v="212574" in="0">
        <tpls c="4">
          <tpl fld="0" item="241"/>
          <tpl hier="3" item="2"/>
          <tpl fld="2" item="1"/>
          <tpl fld="1" item="0"/>
        </tpls>
      </n>
      <n v="6750" in="0">
        <tpls c="4">
          <tpl fld="0" item="241"/>
          <tpl hier="3" item="2"/>
          <tpl fld="2" item="1"/>
          <tpl fld="1" item="1"/>
        </tpls>
      </n>
      <m>
        <tpls c="4">
          <tpl fld="0" item="242"/>
          <tpl hier="3" item="2"/>
          <tpl fld="2" item="1"/>
          <tpl fld="1" item="0"/>
        </tpls>
      </m>
      <m>
        <tpls c="4">
          <tpl fld="0" item="242"/>
          <tpl hier="3" item="2"/>
          <tpl fld="2" item="1"/>
          <tpl fld="1" item="1"/>
        </tpls>
      </m>
      <m>
        <tpls c="4">
          <tpl fld="0" item="243"/>
          <tpl hier="3" item="2"/>
          <tpl fld="2" item="0"/>
          <tpl fld="1" item="0"/>
        </tpls>
      </m>
      <m>
        <tpls c="4">
          <tpl fld="0" item="243"/>
          <tpl hier="3" item="2"/>
          <tpl fld="2" item="0"/>
          <tpl fld="1" item="1"/>
        </tpls>
      </m>
      <m>
        <tpls c="4">
          <tpl fld="0" item="244"/>
          <tpl hier="3" item="2"/>
          <tpl fld="2" item="0"/>
          <tpl fld="1" item="0"/>
        </tpls>
      </m>
      <m>
        <tpls c="4">
          <tpl fld="0" item="244"/>
          <tpl hier="3" item="2"/>
          <tpl fld="2" item="0"/>
          <tpl fld="1" item="1"/>
        </tpls>
      </m>
      <n v="174295" in="0">
        <tpls c="4">
          <tpl fld="0" item="245"/>
          <tpl hier="3" item="2"/>
          <tpl fld="2" item="1"/>
          <tpl fld="1" item="0"/>
        </tpls>
      </n>
      <n v="9000" in="0">
        <tpls c="4">
          <tpl fld="0" item="245"/>
          <tpl hier="3" item="2"/>
          <tpl fld="2" item="1"/>
          <tpl fld="1" item="1"/>
        </tpls>
      </n>
      <n v="87831" in="0">
        <tpls c="4">
          <tpl fld="0" item="246"/>
          <tpl hier="3" item="2"/>
          <tpl fld="2" item="0"/>
          <tpl fld="1" item="0"/>
        </tpls>
      </n>
      <n v="2800" in="0">
        <tpls c="4">
          <tpl fld="0" item="246"/>
          <tpl hier="3" item="2"/>
          <tpl fld="2" item="0"/>
          <tpl fld="1" item="1"/>
        </tpls>
      </n>
      <n v="70963" in="0">
        <tpls c="4">
          <tpl fld="0" item="247"/>
          <tpl hier="3" item="2"/>
          <tpl fld="2" item="0"/>
          <tpl fld="1" item="0"/>
        </tpls>
      </n>
      <n v="4200" in="0">
        <tpls c="4">
          <tpl fld="0" item="247"/>
          <tpl hier="3" item="2"/>
          <tpl fld="2" item="0"/>
          <tpl fld="1" item="1"/>
        </tpls>
      </n>
      <m>
        <tpls c="4">
          <tpl fld="0" item="248"/>
          <tpl hier="3" item="2"/>
          <tpl fld="2" item="0"/>
          <tpl fld="1" item="0"/>
        </tpls>
      </m>
      <m>
        <tpls c="4">
          <tpl fld="0" item="248"/>
          <tpl hier="3" item="2"/>
          <tpl fld="2" item="0"/>
          <tpl fld="1" item="1"/>
        </tpls>
      </m>
      <m>
        <tpls c="4">
          <tpl fld="0" item="249"/>
          <tpl hier="3" item="2"/>
          <tpl fld="2" item="1"/>
          <tpl fld="1" item="0"/>
        </tpls>
      </m>
      <m>
        <tpls c="4">
          <tpl fld="0" item="249"/>
          <tpl hier="3" item="2"/>
          <tpl fld="2" item="1"/>
          <tpl fld="1" item="1"/>
        </tpls>
      </m>
      <m>
        <tpls c="4">
          <tpl fld="0" item="250"/>
          <tpl hier="3" item="2"/>
          <tpl fld="2" item="1"/>
          <tpl fld="1" item="0"/>
        </tpls>
      </m>
      <m>
        <tpls c="4">
          <tpl fld="0" item="250"/>
          <tpl hier="3" item="2"/>
          <tpl fld="2" item="1"/>
          <tpl fld="1" item="1"/>
        </tpls>
      </m>
      <m>
        <tpls c="4">
          <tpl fld="0" item="251"/>
          <tpl hier="3" item="2"/>
          <tpl fld="2" item="1"/>
          <tpl fld="1" item="0"/>
        </tpls>
      </m>
      <m>
        <tpls c="4">
          <tpl fld="0" item="251"/>
          <tpl hier="3" item="2"/>
          <tpl fld="2" item="1"/>
          <tpl fld="1" item="1"/>
        </tpls>
      </m>
      <n v="61016" in="0">
        <tpls c="4">
          <tpl fld="0" item="252"/>
          <tpl hier="3" item="2"/>
          <tpl fld="2" item="0"/>
          <tpl fld="1" item="0"/>
        </tpls>
      </n>
      <n v="2800" in="0">
        <tpls c="4">
          <tpl fld="0" item="252"/>
          <tpl hier="3" item="2"/>
          <tpl fld="2" item="0"/>
          <tpl fld="1" item="1"/>
        </tpls>
      </n>
      <m>
        <tpls c="4">
          <tpl fld="0" item="253"/>
          <tpl hier="3" item="2"/>
          <tpl fld="2" item="1"/>
          <tpl fld="1" item="0"/>
        </tpls>
      </m>
      <m>
        <tpls c="4">
          <tpl fld="0" item="253"/>
          <tpl hier="3" item="2"/>
          <tpl fld="2" item="1"/>
          <tpl fld="1" item="1"/>
        </tpls>
      </m>
      <m>
        <tpls c="4">
          <tpl fld="0" item="254"/>
          <tpl hier="3" item="2"/>
          <tpl fld="2" item="1"/>
          <tpl fld="1" item="0"/>
        </tpls>
      </m>
      <m>
        <tpls c="4">
          <tpl fld="0" item="254"/>
          <tpl hier="3" item="2"/>
          <tpl fld="2" item="1"/>
          <tpl fld="1" item="1"/>
        </tpls>
      </m>
      <n v="67240" in="0">
        <tpls c="4">
          <tpl fld="0" item="255"/>
          <tpl hier="3" item="2"/>
          <tpl fld="2" item="0"/>
          <tpl fld="1" item="0"/>
        </tpls>
      </n>
      <n v="2800" in="0">
        <tpls c="4">
          <tpl fld="0" item="255"/>
          <tpl hier="3" item="2"/>
          <tpl fld="2" item="0"/>
          <tpl fld="1" item="1"/>
        </tpls>
      </n>
      <n v="113822" in="0">
        <tpls c="4">
          <tpl fld="0" item="256"/>
          <tpl hier="3" item="2"/>
          <tpl fld="2" item="0"/>
          <tpl fld="1" item="0"/>
        </tpls>
      </n>
      <n v="2800" in="0">
        <tpls c="4">
          <tpl fld="0" item="256"/>
          <tpl hier="3" item="2"/>
          <tpl fld="2" item="0"/>
          <tpl fld="1" item="1"/>
        </tpls>
      </n>
      <m>
        <tpls c="4">
          <tpl fld="0" item="257"/>
          <tpl hier="3" item="2"/>
          <tpl fld="2" item="1"/>
          <tpl fld="1" item="0"/>
        </tpls>
      </m>
      <m>
        <tpls c="4">
          <tpl fld="0" item="257"/>
          <tpl hier="3" item="2"/>
          <tpl fld="2" item="1"/>
          <tpl fld="1" item="1"/>
        </tpls>
      </m>
      <m>
        <tpls c="4">
          <tpl fld="0" item="258"/>
          <tpl hier="3" item="2"/>
          <tpl fld="2" item="1"/>
          <tpl fld="1" item="0"/>
        </tpls>
      </m>
      <m>
        <tpls c="4">
          <tpl fld="0" item="258"/>
          <tpl hier="3" item="2"/>
          <tpl fld="2" item="1"/>
          <tpl fld="1" item="1"/>
        </tpls>
      </m>
      <m>
        <tpls c="4">
          <tpl fld="0" item="259"/>
          <tpl hier="3" item="2"/>
          <tpl fld="2" item="1"/>
          <tpl fld="1" item="0"/>
        </tpls>
      </m>
      <m>
        <tpls c="4">
          <tpl fld="0" item="259"/>
          <tpl hier="3" item="2"/>
          <tpl fld="2" item="1"/>
          <tpl fld="1" item="1"/>
        </tpls>
      </m>
      <m>
        <tpls c="4">
          <tpl fld="0" item="260"/>
          <tpl hier="3" item="2"/>
          <tpl fld="2" item="1"/>
          <tpl fld="1" item="0"/>
        </tpls>
      </m>
      <m>
        <tpls c="4">
          <tpl fld="0" item="260"/>
          <tpl hier="3" item="2"/>
          <tpl fld="2" item="1"/>
          <tpl fld="1" item="1"/>
        </tpls>
      </m>
      <m>
        <tpls c="4">
          <tpl fld="0" item="261"/>
          <tpl hier="3" item="2"/>
          <tpl fld="2" item="0"/>
          <tpl fld="1" item="0"/>
        </tpls>
      </m>
      <m>
        <tpls c="4">
          <tpl fld="0" item="261"/>
          <tpl hier="3" item="2"/>
          <tpl fld="2" item="0"/>
          <tpl fld="1" item="1"/>
        </tpls>
      </m>
      <m>
        <tpls c="4">
          <tpl fld="0" item="262"/>
          <tpl hier="3" item="2"/>
          <tpl fld="2" item="0"/>
          <tpl fld="1" item="0"/>
        </tpls>
      </m>
      <m>
        <tpls c="4">
          <tpl fld="0" item="262"/>
          <tpl hier="3" item="2"/>
          <tpl fld="2" item="0"/>
          <tpl fld="1" item="1"/>
        </tpls>
      </m>
      <m>
        <tpls c="4">
          <tpl fld="0" item="263"/>
          <tpl hier="3" item="2"/>
          <tpl fld="2" item="1"/>
          <tpl fld="1" item="0"/>
        </tpls>
      </m>
      <m>
        <tpls c="4">
          <tpl fld="0" item="263"/>
          <tpl hier="3" item="2"/>
          <tpl fld="2" item="1"/>
          <tpl fld="1" item="1"/>
        </tpls>
      </m>
      <m>
        <tpls c="4">
          <tpl fld="0" item="264"/>
          <tpl hier="3" item="2"/>
          <tpl fld="2" item="1"/>
          <tpl fld="1" item="0"/>
        </tpls>
      </m>
      <m>
        <tpls c="4">
          <tpl fld="0" item="264"/>
          <tpl hier="3" item="2"/>
          <tpl fld="2" item="1"/>
          <tpl fld="1" item="1"/>
        </tpls>
      </m>
      <n v="178461" in="0">
        <tpls c="4">
          <tpl fld="0" item="265"/>
          <tpl hier="3" item="2"/>
          <tpl fld="2" item="1"/>
          <tpl fld="1" item="0"/>
        </tpls>
      </n>
      <n v="6750" in="0">
        <tpls c="4">
          <tpl fld="0" item="265"/>
          <tpl hier="3" item="2"/>
          <tpl fld="2" item="1"/>
          <tpl fld="1" item="1"/>
        </tpls>
      </n>
      <m>
        <tpls c="4">
          <tpl fld="0" item="266"/>
          <tpl hier="3" item="2"/>
          <tpl fld="2" item="1"/>
          <tpl fld="1" item="0"/>
        </tpls>
      </m>
      <m>
        <tpls c="4">
          <tpl fld="0" item="266"/>
          <tpl hier="3" item="2"/>
          <tpl fld="2" item="1"/>
          <tpl fld="1" item="1"/>
        </tpls>
      </m>
      <m>
        <tpls c="4">
          <tpl fld="0" item="267"/>
          <tpl hier="3" item="2"/>
          <tpl fld="2" item="0"/>
          <tpl fld="1" item="0"/>
        </tpls>
      </m>
      <m>
        <tpls c="4">
          <tpl fld="0" item="267"/>
          <tpl hier="3" item="2"/>
          <tpl fld="2" item="0"/>
          <tpl fld="1" item="1"/>
        </tpls>
      </m>
      <m>
        <tpls c="4">
          <tpl fld="0" item="268"/>
          <tpl hier="3" item="2"/>
          <tpl fld="2" item="0"/>
          <tpl fld="1" item="0"/>
        </tpls>
      </m>
      <m>
        <tpls c="4">
          <tpl fld="0" item="268"/>
          <tpl hier="3" item="2"/>
          <tpl fld="2" item="0"/>
          <tpl fld="1" item="1"/>
        </tpls>
      </m>
      <m>
        <tpls c="4">
          <tpl fld="0" item="269"/>
          <tpl hier="3" item="2"/>
          <tpl fld="2" item="1"/>
          <tpl fld="1" item="0"/>
        </tpls>
      </m>
      <m>
        <tpls c="4">
          <tpl fld="0" item="269"/>
          <tpl hier="3" item="2"/>
          <tpl fld="2" item="1"/>
          <tpl fld="1" item="1"/>
        </tpls>
      </m>
      <m>
        <tpls c="4">
          <tpl fld="0" item="270"/>
          <tpl hier="3" item="2"/>
          <tpl fld="2" item="1"/>
          <tpl fld="1" item="0"/>
        </tpls>
      </m>
      <m>
        <tpls c="4">
          <tpl fld="0" item="270"/>
          <tpl hier="3" item="2"/>
          <tpl fld="2" item="1"/>
          <tpl fld="1" item="1"/>
        </tpls>
      </m>
      <m>
        <tpls c="4">
          <tpl fld="0" item="271"/>
          <tpl hier="3" item="2"/>
          <tpl fld="2" item="1"/>
          <tpl fld="1" item="0"/>
        </tpls>
      </m>
      <m>
        <tpls c="4">
          <tpl fld="0" item="271"/>
          <tpl hier="3" item="2"/>
          <tpl fld="2" item="1"/>
          <tpl fld="1" item="1"/>
        </tpls>
      </m>
      <m>
        <tpls c="4">
          <tpl fld="0" item="272"/>
          <tpl hier="3" item="2"/>
          <tpl fld="2" item="1"/>
          <tpl fld="1" item="0"/>
        </tpls>
      </m>
      <m>
        <tpls c="4">
          <tpl fld="0" item="272"/>
          <tpl hier="3" item="2"/>
          <tpl fld="2" item="1"/>
          <tpl fld="1" item="1"/>
        </tpls>
      </m>
      <m>
        <tpls c="4">
          <tpl fld="0" item="273"/>
          <tpl hier="3" item="2"/>
          <tpl fld="2" item="1"/>
          <tpl fld="1" item="0"/>
        </tpls>
      </m>
      <m>
        <tpls c="4">
          <tpl fld="0" item="273"/>
          <tpl hier="3" item="2"/>
          <tpl fld="2" item="1"/>
          <tpl fld="1" item="1"/>
        </tpls>
      </m>
      <m>
        <tpls c="4">
          <tpl fld="0" item="274"/>
          <tpl hier="3" item="2"/>
          <tpl fld="2" item="0"/>
          <tpl fld="1" item="0"/>
        </tpls>
      </m>
      <m>
        <tpls c="4">
          <tpl fld="0" item="274"/>
          <tpl hier="3" item="2"/>
          <tpl fld="2" item="0"/>
          <tpl fld="1" item="1"/>
        </tpls>
      </m>
      <n v="94951" in="0">
        <tpls c="4">
          <tpl fld="0" item="275"/>
          <tpl hier="3" item="2"/>
          <tpl fld="2" item="0"/>
          <tpl fld="1" item="0"/>
        </tpls>
      </n>
      <n v="2800" in="0">
        <tpls c="4">
          <tpl fld="0" item="275"/>
          <tpl hier="3" item="2"/>
          <tpl fld="2" item="0"/>
          <tpl fld="1" item="1"/>
        </tpls>
      </n>
      <m>
        <tpls c="4">
          <tpl fld="0" item="276"/>
          <tpl hier="3" item="2"/>
          <tpl fld="2" item="0"/>
          <tpl fld="1" item="0"/>
        </tpls>
      </m>
      <m>
        <tpls c="4">
          <tpl fld="0" item="276"/>
          <tpl hier="3" item="2"/>
          <tpl fld="2" item="0"/>
          <tpl fld="1" item="1"/>
        </tpls>
      </m>
      <m>
        <tpls c="4">
          <tpl fld="0" item="277"/>
          <tpl hier="3" item="2"/>
          <tpl fld="2" item="1"/>
          <tpl fld="1" item="0"/>
        </tpls>
      </m>
      <m>
        <tpls c="4">
          <tpl fld="0" item="277"/>
          <tpl hier="3" item="2"/>
          <tpl fld="2" item="1"/>
          <tpl fld="1" item="1"/>
        </tpls>
      </m>
      <m>
        <tpls c="4">
          <tpl fld="0" item="278"/>
          <tpl hier="3" item="2"/>
          <tpl fld="2" item="2"/>
          <tpl fld="1" item="0"/>
        </tpls>
      </m>
      <m>
        <tpls c="4">
          <tpl fld="0" item="278"/>
          <tpl hier="3" item="2"/>
          <tpl fld="2" item="2"/>
          <tpl fld="1" item="1"/>
        </tpls>
      </m>
      <n v="106561" in="0">
        <tpls c="4">
          <tpl fld="0" item="279"/>
          <tpl hier="3" item="2"/>
          <tpl fld="2" item="0"/>
          <tpl fld="1" item="0"/>
        </tpls>
      </n>
      <n v="4200" in="0">
        <tpls c="4">
          <tpl fld="0" item="279"/>
          <tpl hier="3" item="2"/>
          <tpl fld="2" item="0"/>
          <tpl fld="1" item="1"/>
        </tpls>
      </n>
      <m>
        <tpls c="4">
          <tpl fld="0" item="280"/>
          <tpl hier="3" item="2"/>
          <tpl fld="2" item="0"/>
          <tpl fld="1" item="0"/>
        </tpls>
      </m>
      <m>
        <tpls c="4">
          <tpl fld="0" item="280"/>
          <tpl hier="3" item="2"/>
          <tpl fld="2" item="0"/>
          <tpl fld="1" item="1"/>
        </tpls>
      </m>
      <m>
        <tpls c="4">
          <tpl fld="0" item="281"/>
          <tpl hier="3" item="2"/>
          <tpl fld="2" item="0"/>
          <tpl fld="1" item="0"/>
        </tpls>
      </m>
      <m>
        <tpls c="4">
          <tpl fld="0" item="281"/>
          <tpl hier="3" item="2"/>
          <tpl fld="2" item="0"/>
          <tpl fld="1" item="1"/>
        </tpls>
      </m>
      <m>
        <tpls c="4">
          <tpl fld="0" item="282"/>
          <tpl hier="3" item="2"/>
          <tpl fld="2" item="1"/>
          <tpl fld="1" item="0"/>
        </tpls>
      </m>
      <m>
        <tpls c="4">
          <tpl fld="0" item="282"/>
          <tpl hier="3" item="2"/>
          <tpl fld="2" item="1"/>
          <tpl fld="1" item="1"/>
        </tpls>
      </m>
      <m>
        <tpls c="4">
          <tpl fld="0" item="283"/>
          <tpl hier="3" item="2"/>
          <tpl fld="2" item="2"/>
          <tpl fld="1" item="0"/>
        </tpls>
      </m>
      <m>
        <tpls c="4">
          <tpl fld="0" item="283"/>
          <tpl hier="3" item="2"/>
          <tpl fld="2" item="2"/>
          <tpl fld="1" item="1"/>
        </tpls>
      </m>
      <m>
        <tpls c="4">
          <tpl fld="0" item="284"/>
          <tpl hier="3" item="2"/>
          <tpl fld="2" item="2"/>
          <tpl fld="1" item="0"/>
        </tpls>
      </m>
      <m>
        <tpls c="4">
          <tpl fld="0" item="284"/>
          <tpl hier="3" item="2"/>
          <tpl fld="2" item="2"/>
          <tpl fld="1" item="1"/>
        </tpls>
      </m>
      <m>
        <tpls c="4">
          <tpl fld="0" item="285"/>
          <tpl hier="3" item="2"/>
          <tpl fld="2" item="1"/>
          <tpl fld="1" item="0"/>
        </tpls>
      </m>
      <m>
        <tpls c="4">
          <tpl fld="0" item="285"/>
          <tpl hier="3" item="2"/>
          <tpl fld="2" item="1"/>
          <tpl fld="1" item="1"/>
        </tpls>
      </m>
      <m>
        <tpls c="4">
          <tpl fld="0" item="286"/>
          <tpl hier="3" item="2"/>
          <tpl fld="2" item="0"/>
          <tpl fld="1" item="0"/>
        </tpls>
      </m>
      <m>
        <tpls c="4">
          <tpl fld="0" item="286"/>
          <tpl hier="3" item="2"/>
          <tpl fld="2" item="0"/>
          <tpl fld="1" item="1"/>
        </tpls>
      </m>
      <m>
        <tpls c="4">
          <tpl fld="0" item="287"/>
          <tpl hier="3" item="2"/>
          <tpl fld="2" item="0"/>
          <tpl fld="1" item="0"/>
        </tpls>
      </m>
      <m>
        <tpls c="4">
          <tpl fld="0" item="287"/>
          <tpl hier="3" item="2"/>
          <tpl fld="2" item="0"/>
          <tpl fld="1" item="1"/>
        </tpls>
      </m>
      <m>
        <tpls c="4">
          <tpl fld="0" item="288"/>
          <tpl hier="3" item="2"/>
          <tpl fld="2" item="0"/>
          <tpl fld="1" item="0"/>
        </tpls>
      </m>
      <m>
        <tpls c="4">
          <tpl fld="0" item="288"/>
          <tpl hier="3" item="2"/>
          <tpl fld="2" item="0"/>
          <tpl fld="1" item="1"/>
        </tpls>
      </m>
      <m>
        <tpls c="4">
          <tpl fld="0" item="289"/>
          <tpl hier="3" item="2"/>
          <tpl fld="2" item="1"/>
          <tpl fld="1" item="0"/>
        </tpls>
      </m>
      <m>
        <tpls c="4">
          <tpl fld="0" item="289"/>
          <tpl hier="3" item="2"/>
          <tpl fld="2" item="1"/>
          <tpl fld="1" item="1"/>
        </tpls>
      </m>
      <m>
        <tpls c="4">
          <tpl fld="0" item="290"/>
          <tpl hier="3" item="2"/>
          <tpl fld="2" item="0"/>
          <tpl fld="1" item="0"/>
        </tpls>
      </m>
      <m>
        <tpls c="4">
          <tpl fld="0" item="290"/>
          <tpl hier="3" item="2"/>
          <tpl fld="2" item="0"/>
          <tpl fld="1" item="1"/>
        </tpls>
      </m>
      <m>
        <tpls c="4">
          <tpl fld="0" item="291"/>
          <tpl hier="3" item="2"/>
          <tpl fld="2" item="1"/>
          <tpl fld="1" item="0"/>
        </tpls>
      </m>
      <m>
        <tpls c="4">
          <tpl fld="0" item="291"/>
          <tpl hier="3" item="2"/>
          <tpl fld="2" item="1"/>
          <tpl fld="1" item="1"/>
        </tpls>
      </m>
      <m>
        <tpls c="4">
          <tpl fld="0" item="292"/>
          <tpl hier="3" item="2"/>
          <tpl fld="2" item="2"/>
          <tpl fld="1" item="0"/>
        </tpls>
      </m>
      <m>
        <tpls c="4">
          <tpl fld="0" item="292"/>
          <tpl hier="3" item="2"/>
          <tpl fld="2" item="2"/>
          <tpl fld="1" item="1"/>
        </tpls>
      </m>
      <m>
        <tpls c="4">
          <tpl fld="0" item="293"/>
          <tpl hier="3" item="2"/>
          <tpl fld="2" item="2"/>
          <tpl fld="1" item="0"/>
        </tpls>
      </m>
      <m>
        <tpls c="4">
          <tpl fld="0" item="293"/>
          <tpl hier="3" item="2"/>
          <tpl fld="2" item="2"/>
          <tpl fld="1" item="1"/>
        </tpls>
      </m>
      <m>
        <tpls c="4">
          <tpl fld="0" item="294"/>
          <tpl hier="3" item="2"/>
          <tpl fld="2" item="0"/>
          <tpl fld="1" item="0"/>
        </tpls>
      </m>
      <m>
        <tpls c="4">
          <tpl fld="0" item="294"/>
          <tpl hier="3" item="2"/>
          <tpl fld="2" item="0"/>
          <tpl fld="1" item="1"/>
        </tpls>
      </m>
      <n v="117012" in="0">
        <tpls c="4">
          <tpl fld="0" item="295"/>
          <tpl hier="3" item="2"/>
          <tpl fld="2" item="0"/>
          <tpl fld="1" item="0"/>
        </tpls>
      </n>
      <n v="2800" in="0">
        <tpls c="4">
          <tpl fld="0" item="295"/>
          <tpl hier="3" item="2"/>
          <tpl fld="2" item="0"/>
          <tpl fld="1" item="1"/>
        </tpls>
      </n>
      <m>
        <tpls c="4">
          <tpl fld="0" item="296"/>
          <tpl hier="3" item="2"/>
          <tpl fld="2" item="1"/>
          <tpl fld="1" item="0"/>
        </tpls>
      </m>
      <m>
        <tpls c="4">
          <tpl fld="0" item="296"/>
          <tpl hier="3" item="2"/>
          <tpl fld="2" item="1"/>
          <tpl fld="1" item="1"/>
        </tpls>
      </m>
      <m>
        <tpls c="4">
          <tpl fld="0" item="297"/>
          <tpl hier="3" item="2"/>
          <tpl fld="2" item="1"/>
          <tpl fld="1" item="0"/>
        </tpls>
      </m>
      <m>
        <tpls c="4">
          <tpl fld="0" item="297"/>
          <tpl hier="3" item="2"/>
          <tpl fld="2" item="1"/>
          <tpl fld="1" item="1"/>
        </tpls>
      </m>
      <n v="219509" in="0">
        <tpls c="4">
          <tpl fld="0" item="298"/>
          <tpl hier="3" item="2"/>
          <tpl fld="2" item="1"/>
          <tpl fld="1" item="0"/>
        </tpls>
      </n>
      <n v="9000" in="0">
        <tpls c="4">
          <tpl fld="0" item="298"/>
          <tpl hier="3" item="2"/>
          <tpl fld="2" item="1"/>
          <tpl fld="1" item="1"/>
        </tpls>
      </n>
      <n v="113535" in="0">
        <tpls c="4">
          <tpl fld="0" item="299"/>
          <tpl hier="3" item="2"/>
          <tpl fld="2" item="0"/>
          <tpl fld="1" item="0"/>
        </tpls>
      </n>
      <n v="2800" in="0">
        <tpls c="4">
          <tpl fld="0" item="299"/>
          <tpl hier="3" item="2"/>
          <tpl fld="2" item="0"/>
          <tpl fld="1" item="1"/>
        </tpls>
      </n>
      <m>
        <tpls c="4">
          <tpl fld="0" item="300"/>
          <tpl hier="3" item="2"/>
          <tpl fld="2" item="0"/>
          <tpl fld="1" item="0"/>
        </tpls>
      </m>
      <m>
        <tpls c="4">
          <tpl fld="0" item="300"/>
          <tpl hier="3" item="2"/>
          <tpl fld="2" item="0"/>
          <tpl fld="1" item="1"/>
        </tpls>
      </m>
      <m>
        <tpls c="4">
          <tpl fld="0" item="301"/>
          <tpl hier="3" item="2"/>
          <tpl fld="2" item="1"/>
          <tpl fld="1" item="0"/>
        </tpls>
      </m>
      <m>
        <tpls c="4">
          <tpl fld="0" item="301"/>
          <tpl hier="3" item="2"/>
          <tpl fld="2" item="1"/>
          <tpl fld="1" item="1"/>
        </tpls>
      </m>
      <n v="82450" in="0">
        <tpls c="4">
          <tpl fld="0" item="302"/>
          <tpl hier="3" item="2"/>
          <tpl fld="2" item="0"/>
          <tpl fld="1" item="0"/>
        </tpls>
      </n>
      <n v="2800" in="0">
        <tpls c="4">
          <tpl fld="0" item="302"/>
          <tpl hier="3" item="2"/>
          <tpl fld="2" item="0"/>
          <tpl fld="1" item="1"/>
        </tpls>
      </n>
      <m>
        <tpls c="4">
          <tpl fld="0" item="303"/>
          <tpl hier="3" item="2"/>
          <tpl fld="2" item="0"/>
          <tpl fld="1" item="0"/>
        </tpls>
      </m>
      <m>
        <tpls c="4">
          <tpl fld="0" item="303"/>
          <tpl hier="3" item="2"/>
          <tpl fld="2" item="0"/>
          <tpl fld="1" item="1"/>
        </tpls>
      </m>
      <m>
        <tpls c="4">
          <tpl fld="0" item="304"/>
          <tpl hier="3" item="2"/>
          <tpl fld="2" item="2"/>
          <tpl fld="1" item="0"/>
        </tpls>
      </m>
      <m>
        <tpls c="4">
          <tpl fld="0" item="304"/>
          <tpl hier="3" item="2"/>
          <tpl fld="2" item="2"/>
          <tpl fld="1" item="1"/>
        </tpls>
      </m>
      <m>
        <tpls c="4">
          <tpl fld="0" item="305"/>
          <tpl hier="3" item="2"/>
          <tpl fld="2" item="2"/>
          <tpl fld="1" item="0"/>
        </tpls>
      </m>
      <m>
        <tpls c="4">
          <tpl fld="0" item="305"/>
          <tpl hier="3" item="2"/>
          <tpl fld="2" item="2"/>
          <tpl fld="1" item="1"/>
        </tpls>
      </m>
      <m>
        <tpls c="4">
          <tpl fld="0" item="306"/>
          <tpl hier="3" item="2"/>
          <tpl fld="2" item="1"/>
          <tpl fld="1" item="0"/>
        </tpls>
      </m>
      <m>
        <tpls c="4">
          <tpl fld="0" item="306"/>
          <tpl hier="3" item="2"/>
          <tpl fld="2" item="1"/>
          <tpl fld="1" item="1"/>
        </tpls>
      </m>
      <m>
        <tpls c="4">
          <tpl fld="0" item="307"/>
          <tpl hier="3" item="2"/>
          <tpl fld="2" item="1"/>
          <tpl fld="1" item="0"/>
        </tpls>
      </m>
      <m>
        <tpls c="4">
          <tpl fld="0" item="307"/>
          <tpl hier="3" item="2"/>
          <tpl fld="2" item="1"/>
          <tpl fld="1" item="1"/>
        </tpls>
      </m>
      <m>
        <tpls c="4">
          <tpl fld="0" item="308"/>
          <tpl hier="3" item="2"/>
          <tpl fld="2" item="1"/>
          <tpl fld="1" item="0"/>
        </tpls>
      </m>
      <m>
        <tpls c="4">
          <tpl fld="0" item="308"/>
          <tpl hier="3" item="2"/>
          <tpl fld="2" item="1"/>
          <tpl fld="1" item="1"/>
        </tpls>
      </m>
      <m>
        <tpls c="4">
          <tpl fld="0" item="309"/>
          <tpl hier="3" item="2"/>
          <tpl fld="2" item="0"/>
          <tpl fld="1" item="0"/>
        </tpls>
      </m>
      <m>
        <tpls c="4">
          <tpl fld="0" item="309"/>
          <tpl hier="3" item="2"/>
          <tpl fld="2" item="0"/>
          <tpl fld="1" item="1"/>
        </tpls>
      </m>
      <n v="71419" in="0">
        <tpls c="4">
          <tpl fld="0" item="310"/>
          <tpl hier="3" item="2"/>
          <tpl fld="2" item="0"/>
          <tpl fld="1" item="0"/>
        </tpls>
      </n>
      <n v="4200" in="0">
        <tpls c="4">
          <tpl fld="0" item="310"/>
          <tpl hier="3" item="2"/>
          <tpl fld="2" item="0"/>
          <tpl fld="1" item="1"/>
        </tpls>
      </n>
      <m>
        <tpls c="4">
          <tpl fld="0" item="311"/>
          <tpl hier="3" item="2"/>
          <tpl fld="2" item="0"/>
          <tpl fld="1" item="0"/>
        </tpls>
      </m>
      <m>
        <tpls c="4">
          <tpl fld="0" item="311"/>
          <tpl hier="3" item="2"/>
          <tpl fld="2" item="0"/>
          <tpl fld="1" item="1"/>
        </tpls>
      </m>
      <m>
        <tpls c="4">
          <tpl fld="0" item="312"/>
          <tpl hier="3" item="2"/>
          <tpl fld="2" item="0"/>
          <tpl fld="1" item="0"/>
        </tpls>
      </m>
      <m>
        <tpls c="4">
          <tpl fld="0" item="312"/>
          <tpl hier="3" item="2"/>
          <tpl fld="2" item="0"/>
          <tpl fld="1" item="1"/>
        </tpls>
      </m>
      <m>
        <tpls c="4">
          <tpl fld="0" item="313"/>
          <tpl hier="3" item="2"/>
          <tpl fld="2" item="0"/>
          <tpl fld="1" item="0"/>
        </tpls>
      </m>
      <m>
        <tpls c="4">
          <tpl fld="0" item="313"/>
          <tpl hier="3" item="2"/>
          <tpl fld="2" item="0"/>
          <tpl fld="1" item="1"/>
        </tpls>
      </m>
      <m>
        <tpls c="4">
          <tpl fld="0" item="314"/>
          <tpl hier="3" item="2"/>
          <tpl fld="2" item="1"/>
          <tpl fld="1" item="0"/>
        </tpls>
      </m>
      <m>
        <tpls c="4">
          <tpl fld="0" item="314"/>
          <tpl hier="3" item="2"/>
          <tpl fld="2" item="1"/>
          <tpl fld="1" item="1"/>
        </tpls>
      </m>
      <n v="135621" in="0">
        <tpls c="4">
          <tpl fld="0" item="315"/>
          <tpl hier="3" item="2"/>
          <tpl fld="2" item="1"/>
          <tpl fld="1" item="0"/>
        </tpls>
      </n>
      <n v="9000" in="0">
        <tpls c="4">
          <tpl fld="0" item="315"/>
          <tpl hier="3" item="2"/>
          <tpl fld="2" item="1"/>
          <tpl fld="1" item="1"/>
        </tpls>
      </n>
      <n v="83499" in="0">
        <tpls c="4">
          <tpl fld="0" item="316"/>
          <tpl hier="3" item="2"/>
          <tpl fld="2" item="0"/>
          <tpl fld="1" item="0"/>
        </tpls>
      </n>
      <n v="2800" in="0">
        <tpls c="4">
          <tpl fld="0" item="316"/>
          <tpl hier="3" item="2"/>
          <tpl fld="2" item="0"/>
          <tpl fld="1" item="1"/>
        </tpls>
      </n>
      <n v="208314" in="0">
        <tpls c="4">
          <tpl fld="0" item="317"/>
          <tpl hier="3" item="2"/>
          <tpl fld="2" item="1"/>
          <tpl fld="1" item="0"/>
        </tpls>
      </n>
      <n v="9000" in="0">
        <tpls c="4">
          <tpl fld="0" item="317"/>
          <tpl hier="3" item="2"/>
          <tpl fld="2" item="1"/>
          <tpl fld="1" item="1"/>
        </tpls>
      </n>
      <m>
        <tpls c="4">
          <tpl fld="0" item="318"/>
          <tpl hier="3" item="2"/>
          <tpl fld="2" item="1"/>
          <tpl fld="1" item="0"/>
        </tpls>
      </m>
      <m>
        <tpls c="4">
          <tpl fld="0" item="318"/>
          <tpl hier="3" item="2"/>
          <tpl fld="2" item="1"/>
          <tpl fld="1" item="1"/>
        </tpls>
      </m>
      <m>
        <tpls c="4">
          <tpl fld="0" item="319"/>
          <tpl hier="3" item="2"/>
          <tpl fld="2" item="0"/>
          <tpl fld="1" item="0"/>
        </tpls>
      </m>
      <m>
        <tpls c="4">
          <tpl fld="0" item="319"/>
          <tpl hier="3" item="2"/>
          <tpl fld="2" item="0"/>
          <tpl fld="1" item="1"/>
        </tpls>
      </m>
      <m>
        <tpls c="4">
          <tpl fld="0" item="320"/>
          <tpl hier="3" item="2"/>
          <tpl fld="2" item="2"/>
          <tpl fld="1" item="0"/>
        </tpls>
      </m>
      <m>
        <tpls c="4">
          <tpl fld="0" item="320"/>
          <tpl hier="3" item="2"/>
          <tpl fld="2" item="2"/>
          <tpl fld="1" item="1"/>
        </tpls>
      </m>
      <m>
        <tpls c="4">
          <tpl fld="0" item="321"/>
          <tpl hier="3" item="2"/>
          <tpl fld="2" item="0"/>
          <tpl fld="1" item="0"/>
        </tpls>
      </m>
      <m>
        <tpls c="4">
          <tpl fld="0" item="321"/>
          <tpl hier="3" item="2"/>
          <tpl fld="2" item="0"/>
          <tpl fld="1" item="1"/>
        </tpls>
      </m>
      <m>
        <tpls c="4">
          <tpl fld="0" item="322"/>
          <tpl hier="3" item="2"/>
          <tpl fld="2" item="0"/>
          <tpl fld="1" item="0"/>
        </tpls>
      </m>
      <m>
        <tpls c="4">
          <tpl fld="0" item="322"/>
          <tpl hier="3" item="2"/>
          <tpl fld="2" item="0"/>
          <tpl fld="1" item="1"/>
        </tpls>
      </m>
      <n v="92535" in="0">
        <tpls c="4">
          <tpl fld="0" item="323"/>
          <tpl hier="3" item="2"/>
          <tpl fld="2" item="0"/>
          <tpl fld="1" item="0"/>
        </tpls>
      </n>
      <n v="4200" in="0">
        <tpls c="4">
          <tpl fld="0" item="323"/>
          <tpl hier="3" item="2"/>
          <tpl fld="2" item="0"/>
          <tpl fld="1" item="1"/>
        </tpls>
      </n>
      <m>
        <tpls c="4">
          <tpl fld="0" item="324"/>
          <tpl hier="3" item="2"/>
          <tpl fld="2" item="1"/>
          <tpl fld="1" item="0"/>
        </tpls>
      </m>
      <m>
        <tpls c="4">
          <tpl fld="0" item="324"/>
          <tpl hier="3" item="2"/>
          <tpl fld="2" item="1"/>
          <tpl fld="1" item="1"/>
        </tpls>
      </m>
      <m>
        <tpls c="4">
          <tpl fld="0" item="325"/>
          <tpl hier="3" item="2"/>
          <tpl fld="2" item="2"/>
          <tpl fld="1" item="0"/>
        </tpls>
      </m>
      <m>
        <tpls c="4">
          <tpl fld="0" item="325"/>
          <tpl hier="3" item="2"/>
          <tpl fld="2" item="2"/>
          <tpl fld="1" item="1"/>
        </tpls>
      </m>
      <m>
        <tpls c="4">
          <tpl fld="0" item="326"/>
          <tpl hier="3" item="2"/>
          <tpl fld="2" item="0"/>
          <tpl fld="1" item="0"/>
        </tpls>
      </m>
      <m>
        <tpls c="4">
          <tpl fld="0" item="326"/>
          <tpl hier="3" item="2"/>
          <tpl fld="2" item="0"/>
          <tpl fld="1" item="1"/>
        </tpls>
      </m>
      <m>
        <tpls c="4">
          <tpl fld="0" item="327"/>
          <tpl hier="3" item="2"/>
          <tpl fld="2" item="2"/>
          <tpl fld="1" item="0"/>
        </tpls>
      </m>
      <m>
        <tpls c="4">
          <tpl fld="0" item="327"/>
          <tpl hier="3" item="2"/>
          <tpl fld="2" item="2"/>
          <tpl fld="1" item="1"/>
        </tpls>
      </m>
      <m>
        <tpls c="4">
          <tpl fld="0" item="328"/>
          <tpl hier="3" item="2"/>
          <tpl fld="2" item="2"/>
          <tpl fld="1" item="0"/>
        </tpls>
      </m>
      <m>
        <tpls c="4">
          <tpl fld="0" item="328"/>
          <tpl hier="3" item="2"/>
          <tpl fld="2" item="2"/>
          <tpl fld="1" item="1"/>
        </tpls>
      </m>
      <m>
        <tpls c="4">
          <tpl fld="0" item="329"/>
          <tpl hier="3" item="2"/>
          <tpl fld="2" item="1"/>
          <tpl fld="1" item="0"/>
        </tpls>
      </m>
      <m>
        <tpls c="4">
          <tpl fld="0" item="329"/>
          <tpl hier="3" item="2"/>
          <tpl fld="2" item="1"/>
          <tpl fld="1" item="1"/>
        </tpls>
      </m>
      <m>
        <tpls c="4">
          <tpl fld="0" item="330"/>
          <tpl hier="3" item="2"/>
          <tpl fld="2" item="1"/>
          <tpl fld="1" item="0"/>
        </tpls>
      </m>
      <m>
        <tpls c="4">
          <tpl fld="0" item="330"/>
          <tpl hier="3" item="2"/>
          <tpl fld="2" item="1"/>
          <tpl fld="1" item="1"/>
        </tpls>
      </m>
      <n v="107717" in="0">
        <tpls c="4">
          <tpl fld="0" item="331"/>
          <tpl hier="3" item="2"/>
          <tpl fld="2" item="0"/>
          <tpl fld="1" item="0"/>
        </tpls>
      </n>
      <n v="2800" in="0">
        <tpls c="4">
          <tpl fld="0" item="331"/>
          <tpl hier="3" item="2"/>
          <tpl fld="2" item="0"/>
          <tpl fld="1" item="1"/>
        </tpls>
      </n>
      <n v="61121" in="0">
        <tpls c="4">
          <tpl fld="0" item="332"/>
          <tpl hier="3" item="2"/>
          <tpl fld="2" item="0"/>
          <tpl fld="1" item="0"/>
        </tpls>
      </n>
      <n v="2800" in="0">
        <tpls c="4">
          <tpl fld="0" item="332"/>
          <tpl hier="3" item="2"/>
          <tpl fld="2" item="0"/>
          <tpl fld="1" item="1"/>
        </tpls>
      </n>
      <m>
        <tpls c="4">
          <tpl fld="0" item="333"/>
          <tpl hier="3" item="2"/>
          <tpl fld="2" item="0"/>
          <tpl fld="1" item="0"/>
        </tpls>
      </m>
      <m>
        <tpls c="4">
          <tpl fld="0" item="333"/>
          <tpl hier="3" item="2"/>
          <tpl fld="2" item="0"/>
          <tpl fld="1" item="1"/>
        </tpls>
      </m>
      <m>
        <tpls c="4">
          <tpl fld="0" item="334"/>
          <tpl hier="3" item="2"/>
          <tpl fld="2" item="0"/>
          <tpl fld="1" item="0"/>
        </tpls>
      </m>
      <m>
        <tpls c="4">
          <tpl fld="0" item="334"/>
          <tpl hier="3" item="2"/>
          <tpl fld="2" item="0"/>
          <tpl fld="1" item="1"/>
        </tpls>
      </m>
      <m>
        <tpls c="4">
          <tpl fld="0" item="335"/>
          <tpl hier="3" item="2"/>
          <tpl fld="2" item="0"/>
          <tpl fld="1" item="0"/>
        </tpls>
      </m>
      <m>
        <tpls c="4">
          <tpl fld="0" item="335"/>
          <tpl hier="3" item="2"/>
          <tpl fld="2" item="0"/>
          <tpl fld="1" item="1"/>
        </tpls>
      </m>
      <m>
        <tpls c="4">
          <tpl fld="0" item="336"/>
          <tpl hier="3" item="2"/>
          <tpl fld="2" item="0"/>
          <tpl fld="1" item="0"/>
        </tpls>
      </m>
      <m>
        <tpls c="4">
          <tpl fld="0" item="336"/>
          <tpl hier="3" item="2"/>
          <tpl fld="2" item="0"/>
          <tpl fld="1" item="1"/>
        </tpls>
      </m>
      <m>
        <tpls c="4">
          <tpl fld="0" item="337"/>
          <tpl hier="3" item="2"/>
          <tpl fld="2" item="0"/>
          <tpl fld="1" item="0"/>
        </tpls>
      </m>
      <m>
        <tpls c="4">
          <tpl fld="0" item="337"/>
          <tpl hier="3" item="2"/>
          <tpl fld="2" item="0"/>
          <tpl fld="1" item="1"/>
        </tpls>
      </m>
      <m>
        <tpls c="4">
          <tpl fld="0" item="338"/>
          <tpl hier="3" item="2"/>
          <tpl fld="2" item="1"/>
          <tpl fld="1" item="0"/>
        </tpls>
      </m>
      <m>
        <tpls c="4">
          <tpl fld="0" item="338"/>
          <tpl hier="3" item="2"/>
          <tpl fld="2" item="1"/>
          <tpl fld="1" item="1"/>
        </tpls>
      </m>
      <m>
        <tpls c="4">
          <tpl fld="0" item="339"/>
          <tpl hier="3" item="2"/>
          <tpl fld="2" item="1"/>
          <tpl fld="1" item="0"/>
        </tpls>
      </m>
      <m>
        <tpls c="4">
          <tpl fld="0" item="339"/>
          <tpl hier="3" item="2"/>
          <tpl fld="2" item="1"/>
          <tpl fld="1" item="1"/>
        </tpls>
      </m>
      <m>
        <tpls c="4">
          <tpl fld="0" item="340"/>
          <tpl hier="3" item="2"/>
          <tpl fld="2" item="2"/>
          <tpl fld="1" item="0"/>
        </tpls>
      </m>
      <m>
        <tpls c="4">
          <tpl fld="0" item="340"/>
          <tpl hier="3" item="2"/>
          <tpl fld="2" item="2"/>
          <tpl fld="1" item="1"/>
        </tpls>
      </m>
      <m>
        <tpls c="4">
          <tpl fld="0" item="341"/>
          <tpl hier="3" item="2"/>
          <tpl fld="2" item="0"/>
          <tpl fld="1" item="0"/>
        </tpls>
      </m>
      <m>
        <tpls c="4">
          <tpl fld="0" item="341"/>
          <tpl hier="3" item="2"/>
          <tpl fld="2" item="0"/>
          <tpl fld="1" item="1"/>
        </tpls>
      </m>
      <m>
        <tpls c="4">
          <tpl fld="0" item="342"/>
          <tpl hier="3" item="2"/>
          <tpl fld="2" item="0"/>
          <tpl fld="1" item="0"/>
        </tpls>
      </m>
      <m>
        <tpls c="4">
          <tpl fld="0" item="342"/>
          <tpl hier="3" item="2"/>
          <tpl fld="2" item="0"/>
          <tpl fld="1" item="1"/>
        </tpls>
      </m>
      <m>
        <tpls c="4">
          <tpl fld="0" item="343"/>
          <tpl hier="3" item="2"/>
          <tpl fld="2" item="1"/>
          <tpl fld="1" item="0"/>
        </tpls>
      </m>
      <m>
        <tpls c="4">
          <tpl fld="0" item="343"/>
          <tpl hier="3" item="2"/>
          <tpl fld="2" item="1"/>
          <tpl fld="1" item="1"/>
        </tpls>
      </m>
      <m>
        <tpls c="4">
          <tpl fld="0" item="344"/>
          <tpl hier="3" item="2"/>
          <tpl fld="2" item="1"/>
          <tpl fld="1" item="0"/>
        </tpls>
      </m>
      <m>
        <tpls c="4">
          <tpl fld="0" item="344"/>
          <tpl hier="3" item="2"/>
          <tpl fld="2" item="1"/>
          <tpl fld="1" item="1"/>
        </tpls>
      </m>
      <m>
        <tpls c="4">
          <tpl fld="0" item="345"/>
          <tpl hier="3" item="2"/>
          <tpl fld="2" item="0"/>
          <tpl fld="1" item="0"/>
        </tpls>
      </m>
      <m>
        <tpls c="4">
          <tpl fld="0" item="345"/>
          <tpl hier="3" item="2"/>
          <tpl fld="2" item="0"/>
          <tpl fld="1" item="1"/>
        </tpls>
      </m>
      <m>
        <tpls c="4">
          <tpl fld="0" item="346"/>
          <tpl hier="3" item="2"/>
          <tpl fld="2" item="2"/>
          <tpl fld="1" item="0"/>
        </tpls>
      </m>
      <m>
        <tpls c="4">
          <tpl fld="0" item="346"/>
          <tpl hier="3" item="2"/>
          <tpl fld="2" item="2"/>
          <tpl fld="1" item="1"/>
        </tpls>
      </m>
      <m>
        <tpls c="4">
          <tpl fld="0" item="347"/>
          <tpl hier="3" item="2"/>
          <tpl fld="2" item="1"/>
          <tpl fld="1" item="0"/>
        </tpls>
      </m>
      <m>
        <tpls c="4">
          <tpl fld="0" item="347"/>
          <tpl hier="3" item="2"/>
          <tpl fld="2" item="1"/>
          <tpl fld="1" item="1"/>
        </tpls>
      </m>
      <n v="46200" in="0">
        <tpls c="4">
          <tpl fld="0" item="348"/>
          <tpl hier="3" item="2"/>
          <tpl fld="2" item="2"/>
          <tpl fld="1" item="0"/>
        </tpls>
      </n>
      <n v="1500" in="0">
        <tpls c="4">
          <tpl fld="0" item="348"/>
          <tpl hier="3" item="2"/>
          <tpl fld="2" item="2"/>
          <tpl fld="1" item="1"/>
        </tpls>
      </n>
      <m>
        <tpls c="4">
          <tpl fld="0" item="349"/>
          <tpl hier="3" item="2"/>
          <tpl fld="2" item="1"/>
          <tpl fld="1" item="0"/>
        </tpls>
      </m>
      <m>
        <tpls c="4">
          <tpl fld="0" item="349"/>
          <tpl hier="3" item="2"/>
          <tpl fld="2" item="1"/>
          <tpl fld="1" item="1"/>
        </tpls>
      </m>
      <m>
        <tpls c="4">
          <tpl fld="0" item="350"/>
          <tpl hier="3" item="2"/>
          <tpl fld="2" item="1"/>
          <tpl fld="1" item="0"/>
        </tpls>
      </m>
      <m>
        <tpls c="4">
          <tpl fld="0" item="350"/>
          <tpl hier="3" item="2"/>
          <tpl fld="2" item="1"/>
          <tpl fld="1" item="1"/>
        </tpls>
      </m>
      <m>
        <tpls c="4">
          <tpl fld="0" item="351"/>
          <tpl hier="3" item="2"/>
          <tpl fld="2" item="1"/>
          <tpl fld="1" item="0"/>
        </tpls>
      </m>
      <m>
        <tpls c="4">
          <tpl fld="0" item="351"/>
          <tpl hier="3" item="2"/>
          <tpl fld="2" item="1"/>
          <tpl fld="1" item="1"/>
        </tpls>
      </m>
      <m>
        <tpls c="4">
          <tpl fld="0" item="352"/>
          <tpl hier="3" item="2"/>
          <tpl fld="2" item="0"/>
          <tpl fld="1" item="0"/>
        </tpls>
      </m>
      <m>
        <tpls c="4">
          <tpl fld="0" item="352"/>
          <tpl hier="3" item="2"/>
          <tpl fld="2" item="0"/>
          <tpl fld="1" item="1"/>
        </tpls>
      </m>
      <m>
        <tpls c="4">
          <tpl fld="0" item="353"/>
          <tpl hier="3" item="2"/>
          <tpl fld="2" item="1"/>
          <tpl fld="1" item="0"/>
        </tpls>
      </m>
      <m>
        <tpls c="4">
          <tpl fld="0" item="353"/>
          <tpl hier="3" item="2"/>
          <tpl fld="2" item="1"/>
          <tpl fld="1" item="1"/>
        </tpls>
      </m>
      <m>
        <tpls c="4">
          <tpl fld="0" item="354"/>
          <tpl hier="3" item="2"/>
          <tpl fld="2" item="0"/>
          <tpl fld="1" item="0"/>
        </tpls>
      </m>
      <m>
        <tpls c="4">
          <tpl fld="0" item="354"/>
          <tpl hier="3" item="2"/>
          <tpl fld="2" item="0"/>
          <tpl fld="1" item="1"/>
        </tpls>
      </m>
      <n v="117736" in="0">
        <tpls c="4">
          <tpl fld="0" item="355"/>
          <tpl hier="3" item="2"/>
          <tpl fld="2" item="0"/>
          <tpl fld="1" item="0"/>
        </tpls>
      </n>
      <n v="4200" in="0">
        <tpls c="4">
          <tpl fld="0" item="355"/>
          <tpl hier="3" item="2"/>
          <tpl fld="2" item="0"/>
          <tpl fld="1" item="1"/>
        </tpls>
      </n>
      <m>
        <tpls c="4">
          <tpl fld="0" item="356"/>
          <tpl hier="3" item="2"/>
          <tpl fld="2" item="1"/>
          <tpl fld="1" item="0"/>
        </tpls>
      </m>
      <m>
        <tpls c="4">
          <tpl fld="0" item="356"/>
          <tpl hier="3" item="2"/>
          <tpl fld="2" item="1"/>
          <tpl fld="1" item="1"/>
        </tpls>
      </m>
      <m>
        <tpls c="4">
          <tpl fld="0" item="357"/>
          <tpl hier="3" item="2"/>
          <tpl fld="2" item="0"/>
          <tpl fld="1" item="0"/>
        </tpls>
      </m>
      <m>
        <tpls c="4">
          <tpl fld="0" item="357"/>
          <tpl hier="3" item="2"/>
          <tpl fld="2" item="0"/>
          <tpl fld="1" item="1"/>
        </tpls>
      </m>
      <m>
        <tpls c="4">
          <tpl fld="0" item="358"/>
          <tpl hier="3" item="2"/>
          <tpl fld="2" item="1"/>
          <tpl fld="1" item="0"/>
        </tpls>
      </m>
      <m>
        <tpls c="4">
          <tpl fld="0" item="358"/>
          <tpl hier="3" item="2"/>
          <tpl fld="2" item="1"/>
          <tpl fld="1" item="1"/>
        </tpls>
      </m>
      <m>
        <tpls c="4">
          <tpl fld="0" item="359"/>
          <tpl hier="3" item="2"/>
          <tpl fld="2" item="1"/>
          <tpl fld="1" item="0"/>
        </tpls>
      </m>
      <m>
        <tpls c="4">
          <tpl fld="0" item="359"/>
          <tpl hier="3" item="2"/>
          <tpl fld="2" item="1"/>
          <tpl fld="1" item="1"/>
        </tpls>
      </m>
      <m>
        <tpls c="4">
          <tpl fld="0" item="360"/>
          <tpl hier="3" item="2"/>
          <tpl fld="2" item="0"/>
          <tpl fld="1" item="0"/>
        </tpls>
      </m>
      <m>
        <tpls c="4">
          <tpl fld="0" item="360"/>
          <tpl hier="3" item="2"/>
          <tpl fld="2" item="0"/>
          <tpl fld="1" item="1"/>
        </tpls>
      </m>
      <n v="56204" in="0">
        <tpls c="4">
          <tpl fld="0" item="361"/>
          <tpl hier="3" item="2"/>
          <tpl fld="2" item="2"/>
          <tpl fld="1" item="0"/>
        </tpls>
      </n>
      <n v="1500" in="0">
        <tpls c="4">
          <tpl fld="0" item="361"/>
          <tpl hier="3" item="2"/>
          <tpl fld="2" item="2"/>
          <tpl fld="1" item="1"/>
        </tpls>
      </n>
      <m>
        <tpls c="4">
          <tpl fld="0" item="362"/>
          <tpl hier="3" item="2"/>
          <tpl fld="2" item="0"/>
          <tpl fld="1" item="0"/>
        </tpls>
      </m>
      <m>
        <tpls c="4">
          <tpl fld="0" item="362"/>
          <tpl hier="3" item="2"/>
          <tpl fld="2" item="0"/>
          <tpl fld="1" item="1"/>
        </tpls>
      </m>
      <m>
        <tpls c="4">
          <tpl fld="0" item="363"/>
          <tpl hier="3" item="2"/>
          <tpl fld="2" item="2"/>
          <tpl fld="1" item="0"/>
        </tpls>
      </m>
      <m>
        <tpls c="4">
          <tpl fld="0" item="363"/>
          <tpl hier="3" item="2"/>
          <tpl fld="2" item="2"/>
          <tpl fld="1" item="1"/>
        </tpls>
      </m>
      <m>
        <tpls c="4">
          <tpl fld="0" item="364"/>
          <tpl hier="3" item="2"/>
          <tpl fld="2" item="0"/>
          <tpl fld="1" item="0"/>
        </tpls>
      </m>
      <m>
        <tpls c="4">
          <tpl fld="0" item="364"/>
          <tpl hier="3" item="2"/>
          <tpl fld="2" item="0"/>
          <tpl fld="1" item="1"/>
        </tpls>
      </m>
      <m>
        <tpls c="4">
          <tpl fld="0" item="365"/>
          <tpl hier="3" item="2"/>
          <tpl fld="2" item="1"/>
          <tpl fld="1" item="0"/>
        </tpls>
      </m>
      <m>
        <tpls c="4">
          <tpl fld="0" item="365"/>
          <tpl hier="3" item="2"/>
          <tpl fld="2" item="1"/>
          <tpl fld="1" item="1"/>
        </tpls>
      </m>
      <m>
        <tpls c="4">
          <tpl fld="0" item="366"/>
          <tpl hier="3" item="2"/>
          <tpl fld="2" item="2"/>
          <tpl fld="1" item="0"/>
        </tpls>
      </m>
      <m>
        <tpls c="4">
          <tpl fld="0" item="366"/>
          <tpl hier="3" item="2"/>
          <tpl fld="2" item="2"/>
          <tpl fld="1" item="1"/>
        </tpls>
      </m>
      <m>
        <tpls c="4">
          <tpl fld="0" item="367"/>
          <tpl hier="3" item="2"/>
          <tpl fld="2" item="0"/>
          <tpl fld="1" item="0"/>
        </tpls>
      </m>
      <m>
        <tpls c="4">
          <tpl fld="0" item="367"/>
          <tpl hier="3" item="2"/>
          <tpl fld="2" item="0"/>
          <tpl fld="1" item="1"/>
        </tpls>
      </m>
      <n v="172719" in="0">
        <tpls c="4">
          <tpl fld="0" item="368"/>
          <tpl hier="3" item="2"/>
          <tpl fld="2" item="1"/>
          <tpl fld="1" item="0"/>
        </tpls>
      </n>
      <n v="6750" in="0">
        <tpls c="4">
          <tpl fld="0" item="368"/>
          <tpl hier="3" item="2"/>
          <tpl fld="2" item="1"/>
          <tpl fld="1" item="1"/>
        </tpls>
      </n>
      <m>
        <tpls c="4">
          <tpl fld="0" item="369"/>
          <tpl hier="3" item="2"/>
          <tpl fld="2" item="2"/>
          <tpl fld="1" item="0"/>
        </tpls>
      </m>
      <m>
        <tpls c="4">
          <tpl fld="0" item="369"/>
          <tpl hier="3" item="2"/>
          <tpl fld="2" item="2"/>
          <tpl fld="1" item="1"/>
        </tpls>
      </m>
      <n v="165483" in="0">
        <tpls c="4">
          <tpl fld="0" item="370"/>
          <tpl hier="3" item="2"/>
          <tpl fld="2" item="1"/>
          <tpl fld="1" item="0"/>
        </tpls>
      </n>
      <n v="9000" in="0">
        <tpls c="4">
          <tpl fld="0" item="370"/>
          <tpl hier="3" item="2"/>
          <tpl fld="2" item="1"/>
          <tpl fld="1" item="1"/>
        </tpls>
      </n>
      <m>
        <tpls c="4">
          <tpl fld="0" item="371"/>
          <tpl hier="3" item="2"/>
          <tpl fld="2" item="0"/>
          <tpl fld="1" item="0"/>
        </tpls>
      </m>
      <m>
        <tpls c="4">
          <tpl fld="0" item="371"/>
          <tpl hier="3" item="2"/>
          <tpl fld="2" item="0"/>
          <tpl fld="1" item="1"/>
        </tpls>
      </m>
      <m>
        <tpls c="4">
          <tpl fld="0" item="372"/>
          <tpl hier="3" item="2"/>
          <tpl fld="2" item="0"/>
          <tpl fld="1" item="0"/>
        </tpls>
      </m>
      <m>
        <tpls c="4">
          <tpl fld="0" item="372"/>
          <tpl hier="3" item="2"/>
          <tpl fld="2" item="0"/>
          <tpl fld="1" item="1"/>
        </tpls>
      </m>
      <m>
        <tpls c="4">
          <tpl fld="0" item="373"/>
          <tpl hier="3" item="2"/>
          <tpl fld="2" item="1"/>
          <tpl fld="1" item="0"/>
        </tpls>
      </m>
      <m>
        <tpls c="4">
          <tpl fld="0" item="373"/>
          <tpl hier="3" item="2"/>
          <tpl fld="2" item="1"/>
          <tpl fld="1" item="1"/>
        </tpls>
      </m>
      <m>
        <tpls c="4">
          <tpl fld="0" item="374"/>
          <tpl hier="3" item="2"/>
          <tpl fld="2" item="1"/>
          <tpl fld="1" item="0"/>
        </tpls>
      </m>
      <m>
        <tpls c="4">
          <tpl fld="0" item="374"/>
          <tpl hier="3" item="2"/>
          <tpl fld="2" item="1"/>
          <tpl fld="1" item="1"/>
        </tpls>
      </m>
      <m>
        <tpls c="4">
          <tpl fld="0" item="375"/>
          <tpl hier="3" item="2"/>
          <tpl fld="2" item="1"/>
          <tpl fld="1" item="0"/>
        </tpls>
      </m>
      <m>
        <tpls c="4">
          <tpl fld="0" item="375"/>
          <tpl hier="3" item="2"/>
          <tpl fld="2" item="1"/>
          <tpl fld="1" item="1"/>
        </tpls>
      </m>
      <m>
        <tpls c="4">
          <tpl fld="0" item="376"/>
          <tpl hier="3" item="2"/>
          <tpl fld="2" item="1"/>
          <tpl fld="1" item="0"/>
        </tpls>
      </m>
      <m>
        <tpls c="4">
          <tpl fld="0" item="376"/>
          <tpl hier="3" item="2"/>
          <tpl fld="2" item="1"/>
          <tpl fld="1" item="1"/>
        </tpls>
      </m>
      <n v="163017" in="0">
        <tpls c="4">
          <tpl fld="0" item="377"/>
          <tpl hier="3" item="2"/>
          <tpl fld="2" item="1"/>
          <tpl fld="1" item="0"/>
        </tpls>
      </n>
      <n v="6750" in="0">
        <tpls c="4">
          <tpl fld="0" item="377"/>
          <tpl hier="3" item="2"/>
          <tpl fld="2" item="1"/>
          <tpl fld="1" item="1"/>
        </tpls>
      </n>
      <m>
        <tpls c="4">
          <tpl fld="0" item="378"/>
          <tpl hier="3" item="2"/>
          <tpl fld="2" item="0"/>
          <tpl fld="1" item="0"/>
        </tpls>
      </m>
      <m>
        <tpls c="4">
          <tpl fld="0" item="378"/>
          <tpl hier="3" item="2"/>
          <tpl fld="2" item="0"/>
          <tpl fld="1" item="1"/>
        </tpls>
      </m>
      <m>
        <tpls c="4">
          <tpl fld="0" item="379"/>
          <tpl hier="3" item="2"/>
          <tpl fld="2" item="0"/>
          <tpl fld="1" item="0"/>
        </tpls>
      </m>
      <m>
        <tpls c="4">
          <tpl fld="0" item="379"/>
          <tpl hier="3" item="2"/>
          <tpl fld="2" item="0"/>
          <tpl fld="1" item="1"/>
        </tpls>
      </m>
      <m>
        <tpls c="4">
          <tpl fld="0" item="380"/>
          <tpl hier="3" item="2"/>
          <tpl fld="2" item="1"/>
          <tpl fld="1" item="0"/>
        </tpls>
      </m>
      <m>
        <tpls c="4">
          <tpl fld="0" item="380"/>
          <tpl hier="3" item="2"/>
          <tpl fld="2" item="1"/>
          <tpl fld="1" item="1"/>
        </tpls>
      </m>
      <m>
        <tpls c="4">
          <tpl fld="0" item="381"/>
          <tpl hier="3" item="2"/>
          <tpl fld="2" item="1"/>
          <tpl fld="1" item="0"/>
        </tpls>
      </m>
      <m>
        <tpls c="4">
          <tpl fld="0" item="381"/>
          <tpl hier="3" item="2"/>
          <tpl fld="2" item="1"/>
          <tpl fld="1" item="1"/>
        </tpls>
      </m>
      <m>
        <tpls c="4">
          <tpl fld="0" item="382"/>
          <tpl hier="3" item="2"/>
          <tpl fld="2" item="1"/>
          <tpl fld="1" item="0"/>
        </tpls>
      </m>
      <m>
        <tpls c="4">
          <tpl fld="0" item="382"/>
          <tpl hier="3" item="2"/>
          <tpl fld="2" item="1"/>
          <tpl fld="1" item="1"/>
        </tpls>
      </m>
      <m>
        <tpls c="4">
          <tpl fld="0" item="383"/>
          <tpl hier="3" item="2"/>
          <tpl fld="2" item="0"/>
          <tpl fld="1" item="0"/>
        </tpls>
      </m>
      <m>
        <tpls c="4">
          <tpl fld="0" item="383"/>
          <tpl hier="3" item="2"/>
          <tpl fld="2" item="0"/>
          <tpl fld="1" item="1"/>
        </tpls>
      </m>
      <m>
        <tpls c="4">
          <tpl fld="0" item="384"/>
          <tpl hier="3" item="2"/>
          <tpl fld="2" item="0"/>
          <tpl fld="1" item="0"/>
        </tpls>
      </m>
      <m>
        <tpls c="4">
          <tpl fld="0" item="384"/>
          <tpl hier="3" item="2"/>
          <tpl fld="2" item="0"/>
          <tpl fld="1" item="1"/>
        </tpls>
      </m>
      <m>
        <tpls c="4">
          <tpl fld="0" item="385"/>
          <tpl hier="3" item="2"/>
          <tpl fld="2" item="1"/>
          <tpl fld="1" item="0"/>
        </tpls>
      </m>
      <m>
        <tpls c="4">
          <tpl fld="0" item="385"/>
          <tpl hier="3" item="2"/>
          <tpl fld="2" item="1"/>
          <tpl fld="1" item="1"/>
        </tpls>
      </m>
      <n v="90691" in="0">
        <tpls c="4">
          <tpl fld="0" item="386"/>
          <tpl hier="3" item="2"/>
          <tpl fld="2" item="0"/>
          <tpl fld="1" item="0"/>
        </tpls>
      </n>
      <n v="4200" in="0">
        <tpls c="4">
          <tpl fld="0" item="386"/>
          <tpl hier="3" item="2"/>
          <tpl fld="2" item="0"/>
          <tpl fld="1" item="1"/>
        </tpls>
      </n>
      <m>
        <tpls c="4">
          <tpl fld="0" item="387"/>
          <tpl hier="3" item="2"/>
          <tpl fld="2" item="1"/>
          <tpl fld="1" item="0"/>
        </tpls>
      </m>
      <m>
        <tpls c="4">
          <tpl fld="0" item="387"/>
          <tpl hier="3" item="2"/>
          <tpl fld="2" item="1"/>
          <tpl fld="1" item="1"/>
        </tpls>
      </m>
      <m>
        <tpls c="4">
          <tpl fld="0" item="388"/>
          <tpl hier="3" item="2"/>
          <tpl fld="2" item="1"/>
          <tpl fld="1" item="0"/>
        </tpls>
      </m>
      <m>
        <tpls c="4">
          <tpl fld="0" item="388"/>
          <tpl hier="3" item="2"/>
          <tpl fld="2" item="1"/>
          <tpl fld="1" item="1"/>
        </tpls>
      </m>
      <n v="101730" in="0">
        <tpls c="4">
          <tpl fld="0" item="389"/>
          <tpl hier="3" item="2"/>
          <tpl fld="2" item="0"/>
          <tpl fld="1" item="0"/>
        </tpls>
      </n>
      <n v="2800" in="0">
        <tpls c="4">
          <tpl fld="0" item="389"/>
          <tpl hier="3" item="2"/>
          <tpl fld="2" item="0"/>
          <tpl fld="1" item="1"/>
        </tpls>
      </n>
      <m>
        <tpls c="4">
          <tpl fld="0" item="390"/>
          <tpl hier="3" item="2"/>
          <tpl fld="2" item="1"/>
          <tpl fld="1" item="0"/>
        </tpls>
      </m>
      <m>
        <tpls c="4">
          <tpl fld="0" item="390"/>
          <tpl hier="3" item="2"/>
          <tpl fld="2" item="1"/>
          <tpl fld="1" item="1"/>
        </tpls>
      </m>
      <m>
        <tpls c="4">
          <tpl fld="0" item="391"/>
          <tpl hier="3" item="2"/>
          <tpl fld="2" item="1"/>
          <tpl fld="1" item="0"/>
        </tpls>
      </m>
      <m>
        <tpls c="4">
          <tpl fld="0" item="391"/>
          <tpl hier="3" item="2"/>
          <tpl fld="2" item="1"/>
          <tpl fld="1" item="1"/>
        </tpls>
      </m>
      <m>
        <tpls c="4">
          <tpl fld="0" item="392"/>
          <tpl hier="3" item="2"/>
          <tpl fld="2" item="0"/>
          <tpl fld="1" item="0"/>
        </tpls>
      </m>
      <m>
        <tpls c="4">
          <tpl fld="0" item="392"/>
          <tpl hier="3" item="2"/>
          <tpl fld="2" item="0"/>
          <tpl fld="1" item="1"/>
        </tpls>
      </m>
      <m>
        <tpls c="4">
          <tpl fld="0" item="393"/>
          <tpl hier="3" item="2"/>
          <tpl fld="2" item="1"/>
          <tpl fld="1" item="0"/>
        </tpls>
      </m>
      <m>
        <tpls c="4">
          <tpl fld="0" item="393"/>
          <tpl hier="3" item="2"/>
          <tpl fld="2" item="1"/>
          <tpl fld="1" item="1"/>
        </tpls>
      </m>
      <m>
        <tpls c="4">
          <tpl fld="0" item="394"/>
          <tpl hier="3" item="2"/>
          <tpl fld="2" item="0"/>
          <tpl fld="1" item="0"/>
        </tpls>
      </m>
      <m>
        <tpls c="4">
          <tpl fld="0" item="394"/>
          <tpl hier="3" item="2"/>
          <tpl fld="2" item="0"/>
          <tpl fld="1" item="1"/>
        </tpls>
      </m>
      <m>
        <tpls c="4">
          <tpl fld="0" item="395"/>
          <tpl hier="3" item="2"/>
          <tpl fld="2" item="1"/>
          <tpl fld="1" item="0"/>
        </tpls>
      </m>
      <m>
        <tpls c="4">
          <tpl fld="0" item="395"/>
          <tpl hier="3" item="2"/>
          <tpl fld="2" item="1"/>
          <tpl fld="1" item="1"/>
        </tpls>
      </m>
      <m>
        <tpls c="4">
          <tpl fld="0" item="396"/>
          <tpl hier="3" item="2"/>
          <tpl fld="2" item="0"/>
          <tpl fld="1" item="0"/>
        </tpls>
      </m>
      <m>
        <tpls c="4">
          <tpl fld="0" item="396"/>
          <tpl hier="3" item="2"/>
          <tpl fld="2" item="0"/>
          <tpl fld="1" item="1"/>
        </tpls>
      </m>
      <m>
        <tpls c="4">
          <tpl fld="0" item="397"/>
          <tpl hier="3" item="2"/>
          <tpl fld="2" item="1"/>
          <tpl fld="1" item="0"/>
        </tpls>
      </m>
      <m>
        <tpls c="4">
          <tpl fld="0" item="397"/>
          <tpl hier="3" item="2"/>
          <tpl fld="2" item="1"/>
          <tpl fld="1" item="1"/>
        </tpls>
      </m>
      <n v="96651" in="0">
        <tpls c="4">
          <tpl fld="0" item="398"/>
          <tpl hier="3" item="2"/>
          <tpl fld="2" item="0"/>
          <tpl fld="1" item="0"/>
        </tpls>
      </n>
      <n v="2800" in="0">
        <tpls c="4">
          <tpl fld="0" item="398"/>
          <tpl hier="3" item="2"/>
          <tpl fld="2" item="0"/>
          <tpl fld="1" item="1"/>
        </tpls>
      </n>
      <m>
        <tpls c="4">
          <tpl fld="0" item="399"/>
          <tpl hier="3" item="2"/>
          <tpl fld="2" item="2"/>
          <tpl fld="1" item="0"/>
        </tpls>
      </m>
      <m>
        <tpls c="4">
          <tpl fld="0" item="399"/>
          <tpl hier="3" item="2"/>
          <tpl fld="2" item="2"/>
          <tpl fld="1" item="1"/>
        </tpls>
      </m>
      <m>
        <tpls c="4">
          <tpl fld="0" item="400"/>
          <tpl hier="3" item="2"/>
          <tpl fld="2" item="1"/>
          <tpl fld="1" item="0"/>
        </tpls>
      </m>
      <m>
        <tpls c="4">
          <tpl fld="0" item="400"/>
          <tpl hier="3" item="2"/>
          <tpl fld="2" item="1"/>
          <tpl fld="1" item="1"/>
        </tpls>
      </m>
      <m>
        <tpls c="4">
          <tpl fld="0" item="401"/>
          <tpl hier="3" item="2"/>
          <tpl fld="2" item="0"/>
          <tpl fld="1" item="0"/>
        </tpls>
      </m>
      <m>
        <tpls c="4">
          <tpl fld="0" item="401"/>
          <tpl hier="3" item="2"/>
          <tpl fld="2" item="0"/>
          <tpl fld="1" item="1"/>
        </tpls>
      </m>
      <n v="88116" in="0">
        <tpls c="4">
          <tpl fld="0" item="402"/>
          <tpl hier="3" item="2"/>
          <tpl fld="2" item="0"/>
          <tpl fld="1" item="0"/>
        </tpls>
      </n>
      <n v="4200" in="0">
        <tpls c="4">
          <tpl fld="0" item="402"/>
          <tpl hier="3" item="2"/>
          <tpl fld="2" item="0"/>
          <tpl fld="1" item="1"/>
        </tpls>
      </n>
      <m>
        <tpls c="4">
          <tpl fld="0" item="403"/>
          <tpl hier="3" item="2"/>
          <tpl fld="2" item="1"/>
          <tpl fld="1" item="0"/>
        </tpls>
      </m>
      <m>
        <tpls c="4">
          <tpl fld="0" item="403"/>
          <tpl hier="3" item="2"/>
          <tpl fld="2" item="1"/>
          <tpl fld="1" item="1"/>
        </tpls>
      </m>
      <m>
        <tpls c="4">
          <tpl fld="0" item="404"/>
          <tpl hier="3" item="2"/>
          <tpl fld="2" item="1"/>
          <tpl fld="1" item="0"/>
        </tpls>
      </m>
      <m>
        <tpls c="4">
          <tpl fld="0" item="404"/>
          <tpl hier="3" item="2"/>
          <tpl fld="2" item="1"/>
          <tpl fld="1" item="1"/>
        </tpls>
      </m>
      <m>
        <tpls c="4">
          <tpl fld="0" item="405"/>
          <tpl hier="3" item="2"/>
          <tpl fld="2" item="1"/>
          <tpl fld="1" item="0"/>
        </tpls>
      </m>
      <m>
        <tpls c="4">
          <tpl fld="0" item="405"/>
          <tpl hier="3" item="2"/>
          <tpl fld="2" item="1"/>
          <tpl fld="1" item="1"/>
        </tpls>
      </m>
      <m>
        <tpls c="4">
          <tpl fld="0" item="406"/>
          <tpl hier="3" item="2"/>
          <tpl fld="2" item="1"/>
          <tpl fld="1" item="0"/>
        </tpls>
      </m>
      <m>
        <tpls c="4">
          <tpl fld="0" item="406"/>
          <tpl hier="3" item="2"/>
          <tpl fld="2" item="1"/>
          <tpl fld="1" item="1"/>
        </tpls>
      </m>
      <n v="104278" in="0">
        <tpls c="4">
          <tpl fld="0" item="407"/>
          <tpl hier="3" item="2"/>
          <tpl fld="2" item="0"/>
          <tpl fld="1" item="0"/>
        </tpls>
      </n>
      <n v="2800" in="0">
        <tpls c="4">
          <tpl fld="0" item="407"/>
          <tpl hier="3" item="2"/>
          <tpl fld="2" item="0"/>
          <tpl fld="1" item="1"/>
        </tpls>
      </n>
      <n v="85041" in="0">
        <tpls c="4">
          <tpl fld="0" item="408"/>
          <tpl hier="3" item="2"/>
          <tpl fld="2" item="0"/>
          <tpl fld="1" item="0"/>
        </tpls>
      </n>
      <n v="4200" in="0">
        <tpls c="4">
          <tpl fld="0" item="408"/>
          <tpl hier="3" item="2"/>
          <tpl fld="2" item="0"/>
          <tpl fld="1" item="1"/>
        </tpls>
      </n>
      <m>
        <tpls c="4">
          <tpl fld="0" item="409"/>
          <tpl hier="3" item="2"/>
          <tpl fld="2" item="0"/>
          <tpl fld="1" item="0"/>
        </tpls>
      </m>
      <m>
        <tpls c="4">
          <tpl fld="0" item="409"/>
          <tpl hier="3" item="2"/>
          <tpl fld="2" item="0"/>
          <tpl fld="1" item="1"/>
        </tpls>
      </m>
      <n v="137714" in="0">
        <tpls c="4">
          <tpl fld="0" item="410"/>
          <tpl hier="3" item="2"/>
          <tpl fld="2" item="1"/>
          <tpl fld="1" item="0"/>
        </tpls>
      </n>
      <n v="6750" in="0">
        <tpls c="4">
          <tpl fld="0" item="410"/>
          <tpl hier="3" item="2"/>
          <tpl fld="2" item="1"/>
          <tpl fld="1" item="1"/>
        </tpls>
      </n>
      <m>
        <tpls c="4">
          <tpl fld="0" item="411"/>
          <tpl hier="3" item="2"/>
          <tpl fld="2" item="1"/>
          <tpl fld="1" item="0"/>
        </tpls>
      </m>
      <m>
        <tpls c="4">
          <tpl fld="0" item="411"/>
          <tpl hier="3" item="2"/>
          <tpl fld="2" item="1"/>
          <tpl fld="1" item="1"/>
        </tpls>
      </m>
      <m>
        <tpls c="4">
          <tpl fld="0" item="412"/>
          <tpl hier="3" item="2"/>
          <tpl fld="2" item="1"/>
          <tpl fld="1" item="0"/>
        </tpls>
      </m>
      <m>
        <tpls c="4">
          <tpl fld="0" item="412"/>
          <tpl hier="3" item="2"/>
          <tpl fld="2" item="1"/>
          <tpl fld="1" item="1"/>
        </tpls>
      </m>
      <n v="160001" in="0">
        <tpls c="4">
          <tpl fld="0" item="413"/>
          <tpl hier="3" item="2"/>
          <tpl fld="2" item="1"/>
          <tpl fld="1" item="0"/>
        </tpls>
      </n>
      <n v="9000" in="0">
        <tpls c="4">
          <tpl fld="0" item="413"/>
          <tpl hier="3" item="2"/>
          <tpl fld="2" item="1"/>
          <tpl fld="1" item="1"/>
        </tpls>
      </n>
      <m>
        <tpls c="4">
          <tpl fld="0" item="414"/>
          <tpl hier="3" item="2"/>
          <tpl fld="2" item="0"/>
          <tpl fld="1" item="0"/>
        </tpls>
      </m>
      <m>
        <tpls c="4">
          <tpl fld="0" item="414"/>
          <tpl hier="3" item="2"/>
          <tpl fld="2" item="0"/>
          <tpl fld="1" item="1"/>
        </tpls>
      </m>
      <n v="110483" in="0">
        <tpls c="4">
          <tpl fld="0" item="415"/>
          <tpl hier="3" item="2"/>
          <tpl fld="2" item="0"/>
          <tpl fld="1" item="0"/>
        </tpls>
      </n>
      <n v="2800" in="0">
        <tpls c="4">
          <tpl fld="0" item="415"/>
          <tpl hier="3" item="2"/>
          <tpl fld="2" item="0"/>
          <tpl fld="1" item="1"/>
        </tpls>
      </n>
      <n v="53871" in="0">
        <tpls c="4">
          <tpl fld="0" item="416"/>
          <tpl hier="3" item="2"/>
          <tpl fld="2" item="2"/>
          <tpl fld="1" item="0"/>
        </tpls>
      </n>
      <n v="1500" in="0">
        <tpls c="4">
          <tpl fld="0" item="416"/>
          <tpl hier="3" item="2"/>
          <tpl fld="2" item="2"/>
          <tpl fld="1" item="1"/>
        </tpls>
      </n>
      <m>
        <tpls c="4">
          <tpl fld="0" item="417"/>
          <tpl hier="3" item="2"/>
          <tpl fld="2" item="0"/>
          <tpl fld="1" item="0"/>
        </tpls>
      </m>
      <m>
        <tpls c="4">
          <tpl fld="0" item="417"/>
          <tpl hier="3" item="2"/>
          <tpl fld="2" item="0"/>
          <tpl fld="1" item="1"/>
        </tpls>
      </m>
      <n v="103367" in="0">
        <tpls c="4">
          <tpl fld="0" item="418"/>
          <tpl hier="3" item="2"/>
          <tpl fld="2" item="0"/>
          <tpl fld="1" item="0"/>
        </tpls>
      </n>
      <n v="4200" in="0">
        <tpls c="4">
          <tpl fld="0" item="418"/>
          <tpl hier="3" item="2"/>
          <tpl fld="2" item="0"/>
          <tpl fld="1" item="1"/>
        </tpls>
      </n>
      <m>
        <tpls c="4">
          <tpl fld="0" item="419"/>
          <tpl hier="3" item="2"/>
          <tpl fld="2" item="1"/>
          <tpl fld="1" item="0"/>
        </tpls>
      </m>
      <m>
        <tpls c="4">
          <tpl fld="0" item="419"/>
          <tpl hier="3" item="2"/>
          <tpl fld="2" item="1"/>
          <tpl fld="1" item="1"/>
        </tpls>
      </m>
      <m>
        <tpls c="4">
          <tpl fld="0" item="420"/>
          <tpl hier="3" item="2"/>
          <tpl fld="2" item="0"/>
          <tpl fld="1" item="0"/>
        </tpls>
      </m>
      <m>
        <tpls c="4">
          <tpl fld="0" item="420"/>
          <tpl hier="3" item="2"/>
          <tpl fld="2" item="0"/>
          <tpl fld="1" item="1"/>
        </tpls>
      </m>
      <m>
        <tpls c="4">
          <tpl fld="0" item="421"/>
          <tpl hier="3" item="2"/>
          <tpl fld="2" item="0"/>
          <tpl fld="1" item="0"/>
        </tpls>
      </m>
      <m>
        <tpls c="4">
          <tpl fld="0" item="421"/>
          <tpl hier="3" item="2"/>
          <tpl fld="2" item="0"/>
          <tpl fld="1" item="1"/>
        </tpls>
      </m>
      <n v="67624" in="0">
        <tpls c="4">
          <tpl fld="0" item="422"/>
          <tpl hier="3" item="2"/>
          <tpl fld="2" item="0"/>
          <tpl fld="1" item="0"/>
        </tpls>
      </n>
      <n v="2800" in="0">
        <tpls c="4">
          <tpl fld="0" item="422"/>
          <tpl hier="3" item="2"/>
          <tpl fld="2" item="0"/>
          <tpl fld="1" item="1"/>
        </tpls>
      </n>
      <n v="154178" in="0">
        <tpls c="4">
          <tpl fld="0" item="423"/>
          <tpl hier="3" item="2"/>
          <tpl fld="2" item="1"/>
          <tpl fld="1" item="0"/>
        </tpls>
      </n>
      <n v="9000" in="0">
        <tpls c="4">
          <tpl fld="0" item="423"/>
          <tpl hier="3" item="2"/>
          <tpl fld="2" item="1"/>
          <tpl fld="1" item="1"/>
        </tpls>
      </n>
      <m>
        <tpls c="4">
          <tpl fld="0" item="424"/>
          <tpl hier="3" item="2"/>
          <tpl fld="2" item="1"/>
          <tpl fld="1" item="0"/>
        </tpls>
      </m>
      <m>
        <tpls c="4">
          <tpl fld="0" item="424"/>
          <tpl hier="3" item="2"/>
          <tpl fld="2" item="1"/>
          <tpl fld="1" item="1"/>
        </tpls>
      </m>
      <m>
        <tpls c="4">
          <tpl fld="0" item="425"/>
          <tpl hier="3" item="2"/>
          <tpl fld="2" item="0"/>
          <tpl fld="1" item="0"/>
        </tpls>
      </m>
      <m>
        <tpls c="4">
          <tpl fld="0" item="425"/>
          <tpl hier="3" item="2"/>
          <tpl fld="2" item="0"/>
          <tpl fld="1" item="1"/>
        </tpls>
      </m>
      <n v="58855" in="0">
        <tpls c="4">
          <tpl fld="0" item="426"/>
          <tpl hier="3" item="2"/>
          <tpl fld="2" item="2"/>
          <tpl fld="1" item="0"/>
        </tpls>
      </n>
      <n v="1500" in="0">
        <tpls c="4">
          <tpl fld="0" item="426"/>
          <tpl hier="3" item="2"/>
          <tpl fld="2" item="2"/>
          <tpl fld="1" item="1"/>
        </tpls>
      </n>
      <m>
        <tpls c="4">
          <tpl fld="0" item="427"/>
          <tpl hier="3" item="2"/>
          <tpl fld="2" item="1"/>
          <tpl fld="1" item="0"/>
        </tpls>
      </m>
      <m>
        <tpls c="4">
          <tpl fld="0" item="427"/>
          <tpl hier="3" item="2"/>
          <tpl fld="2" item="1"/>
          <tpl fld="1" item="1"/>
        </tpls>
      </m>
      <m>
        <tpls c="4">
          <tpl fld="0" item="428"/>
          <tpl hier="3" item="2"/>
          <tpl fld="2" item="2"/>
          <tpl fld="1" item="0"/>
        </tpls>
      </m>
      <m>
        <tpls c="4">
          <tpl fld="0" item="428"/>
          <tpl hier="3" item="2"/>
          <tpl fld="2" item="2"/>
          <tpl fld="1" item="1"/>
        </tpls>
      </m>
      <n v="167184" in="0">
        <tpls c="4">
          <tpl fld="0" item="429"/>
          <tpl hier="3" item="2"/>
          <tpl fld="2" item="1"/>
          <tpl fld="1" item="0"/>
        </tpls>
      </n>
      <n v="6750" in="0">
        <tpls c="4">
          <tpl fld="0" item="429"/>
          <tpl hier="3" item="2"/>
          <tpl fld="2" item="1"/>
          <tpl fld="1" item="1"/>
        </tpls>
      </n>
      <m>
        <tpls c="4">
          <tpl fld="0" item="430"/>
          <tpl hier="3" item="2"/>
          <tpl fld="2" item="1"/>
          <tpl fld="1" item="0"/>
        </tpls>
      </m>
      <m>
        <tpls c="4">
          <tpl fld="0" item="430"/>
          <tpl hier="3" item="2"/>
          <tpl fld="2" item="1"/>
          <tpl fld="1" item="1"/>
        </tpls>
      </m>
      <m>
        <tpls c="4">
          <tpl fld="0" item="431"/>
          <tpl hier="3" item="2"/>
          <tpl fld="2" item="2"/>
          <tpl fld="1" item="0"/>
        </tpls>
      </m>
      <m>
        <tpls c="4">
          <tpl fld="0" item="431"/>
          <tpl hier="3" item="2"/>
          <tpl fld="2" item="2"/>
          <tpl fld="1" item="1"/>
        </tpls>
      </m>
      <n v="58980" in="0">
        <tpls c="4">
          <tpl fld="0" item="432"/>
          <tpl hier="3" item="2"/>
          <tpl fld="2" item="2"/>
          <tpl fld="1" item="0"/>
        </tpls>
      </n>
      <n v="1500" in="0">
        <tpls c="4">
          <tpl fld="0" item="432"/>
          <tpl hier="3" item="2"/>
          <tpl fld="2" item="2"/>
          <tpl fld="1" item="1"/>
        </tpls>
      </n>
      <m>
        <tpls c="4">
          <tpl fld="0" item="433"/>
          <tpl hier="3" item="2"/>
          <tpl fld="2" item="1"/>
          <tpl fld="1" item="0"/>
        </tpls>
      </m>
      <m>
        <tpls c="4">
          <tpl fld="0" item="433"/>
          <tpl hier="3" item="2"/>
          <tpl fld="2" item="1"/>
          <tpl fld="1" item="1"/>
        </tpls>
      </m>
      <m>
        <tpls c="4">
          <tpl fld="0" item="434"/>
          <tpl hier="3" item="2"/>
          <tpl fld="2" item="0"/>
          <tpl fld="1" item="0"/>
        </tpls>
      </m>
      <m>
        <tpls c="4">
          <tpl fld="0" item="434"/>
          <tpl hier="3" item="2"/>
          <tpl fld="2" item="0"/>
          <tpl fld="1" item="1"/>
        </tpls>
      </m>
      <m>
        <tpls c="4">
          <tpl fld="0" item="435"/>
          <tpl hier="3" item="2"/>
          <tpl fld="2" item="0"/>
          <tpl fld="1" item="0"/>
        </tpls>
      </m>
      <m>
        <tpls c="4">
          <tpl fld="0" item="435"/>
          <tpl hier="3" item="2"/>
          <tpl fld="2" item="0"/>
          <tpl fld="1" item="1"/>
        </tpls>
      </m>
      <n v="165104" in="0">
        <tpls c="4">
          <tpl fld="0" item="436"/>
          <tpl hier="3" item="2"/>
          <tpl fld="2" item="1"/>
          <tpl fld="1" item="0"/>
        </tpls>
      </n>
      <n v="6750" in="0">
        <tpls c="4">
          <tpl fld="0" item="436"/>
          <tpl hier="3" item="2"/>
          <tpl fld="2" item="1"/>
          <tpl fld="1" item="1"/>
        </tpls>
      </n>
      <m>
        <tpls c="4">
          <tpl fld="0" item="437"/>
          <tpl hier="3" item="2"/>
          <tpl fld="2" item="1"/>
          <tpl fld="1" item="0"/>
        </tpls>
      </m>
      <m>
        <tpls c="4">
          <tpl fld="0" item="437"/>
          <tpl hier="3" item="2"/>
          <tpl fld="2" item="1"/>
          <tpl fld="1" item="1"/>
        </tpls>
      </m>
      <m>
        <tpls c="4">
          <tpl fld="0" item="438"/>
          <tpl hier="3" item="2"/>
          <tpl fld="2" item="1"/>
          <tpl fld="1" item="0"/>
        </tpls>
      </m>
      <m>
        <tpls c="4">
          <tpl fld="0" item="438"/>
          <tpl hier="3" item="2"/>
          <tpl fld="2" item="1"/>
          <tpl fld="1" item="1"/>
        </tpls>
      </m>
      <n v="152558" in="0">
        <tpls c="4">
          <tpl fld="0" item="439"/>
          <tpl hier="3" item="2"/>
          <tpl fld="2" item="1"/>
          <tpl fld="1" item="0"/>
        </tpls>
      </n>
      <n v="6750" in="0">
        <tpls c="4">
          <tpl fld="0" item="439"/>
          <tpl hier="3" item="2"/>
          <tpl fld="2" item="1"/>
          <tpl fld="1" item="1"/>
        </tpls>
      </n>
      <m>
        <tpls c="4">
          <tpl fld="0" item="440"/>
          <tpl hier="3" item="2"/>
          <tpl fld="2" item="0"/>
          <tpl fld="1" item="0"/>
        </tpls>
      </m>
      <m>
        <tpls c="4">
          <tpl fld="0" item="440"/>
          <tpl hier="3" item="2"/>
          <tpl fld="2" item="0"/>
          <tpl fld="1" item="1"/>
        </tpls>
      </m>
      <m>
        <tpls c="4">
          <tpl fld="0" item="441"/>
          <tpl hier="3" item="2"/>
          <tpl fld="2" item="2"/>
          <tpl fld="1" item="0"/>
        </tpls>
      </m>
      <m>
        <tpls c="4">
          <tpl fld="0" item="441"/>
          <tpl hier="3" item="2"/>
          <tpl fld="2" item="2"/>
          <tpl fld="1" item="1"/>
        </tpls>
      </m>
      <m>
        <tpls c="4">
          <tpl fld="0" item="442"/>
          <tpl hier="3" item="2"/>
          <tpl fld="2" item="1"/>
          <tpl fld="1" item="0"/>
        </tpls>
      </m>
      <m>
        <tpls c="4">
          <tpl fld="0" item="442"/>
          <tpl hier="3" item="2"/>
          <tpl fld="2" item="1"/>
          <tpl fld="1" item="1"/>
        </tpls>
      </m>
      <m>
        <tpls c="4">
          <tpl fld="0" item="443"/>
          <tpl hier="3" item="2"/>
          <tpl fld="2" item="0"/>
          <tpl fld="1" item="0"/>
        </tpls>
      </m>
      <m>
        <tpls c="4">
          <tpl fld="0" item="443"/>
          <tpl hier="3" item="2"/>
          <tpl fld="2" item="0"/>
          <tpl fld="1" item="1"/>
        </tpls>
      </m>
      <m>
        <tpls c="4">
          <tpl fld="0" item="444"/>
          <tpl hier="3" item="2"/>
          <tpl fld="2" item="0"/>
          <tpl fld="1" item="0"/>
        </tpls>
      </m>
      <m>
        <tpls c="4">
          <tpl fld="0" item="444"/>
          <tpl hier="3" item="2"/>
          <tpl fld="2" item="0"/>
          <tpl fld="1" item="1"/>
        </tpls>
      </m>
      <m>
        <tpls c="4">
          <tpl fld="0" item="445"/>
          <tpl hier="3" item="2"/>
          <tpl fld="2" item="1"/>
          <tpl fld="1" item="0"/>
        </tpls>
      </m>
      <m>
        <tpls c="4">
          <tpl fld="0" item="445"/>
          <tpl hier="3" item="2"/>
          <tpl fld="2" item="1"/>
          <tpl fld="1" item="1"/>
        </tpls>
      </m>
      <m>
        <tpls c="4">
          <tpl fld="0" item="446"/>
          <tpl hier="3" item="2"/>
          <tpl fld="2" item="0"/>
          <tpl fld="1" item="0"/>
        </tpls>
      </m>
      <m>
        <tpls c="4">
          <tpl fld="0" item="446"/>
          <tpl hier="3" item="2"/>
          <tpl fld="2" item="0"/>
          <tpl fld="1" item="1"/>
        </tpls>
      </m>
      <m>
        <tpls c="4">
          <tpl fld="0" item="447"/>
          <tpl hier="3" item="2"/>
          <tpl fld="2" item="0"/>
          <tpl fld="1" item="0"/>
        </tpls>
      </m>
      <m>
        <tpls c="4">
          <tpl fld="0" item="447"/>
          <tpl hier="3" item="2"/>
          <tpl fld="2" item="0"/>
          <tpl fld="1" item="1"/>
        </tpls>
      </m>
      <m>
        <tpls c="4">
          <tpl fld="0" item="448"/>
          <tpl hier="3" item="2"/>
          <tpl fld="2" item="2"/>
          <tpl fld="1" item="0"/>
        </tpls>
      </m>
      <m>
        <tpls c="4">
          <tpl fld="0" item="448"/>
          <tpl hier="3" item="2"/>
          <tpl fld="2" item="2"/>
          <tpl fld="1" item="1"/>
        </tpls>
      </m>
      <m>
        <tpls c="4">
          <tpl fld="0" item="449"/>
          <tpl hier="3" item="2"/>
          <tpl fld="2" item="0"/>
          <tpl fld="1" item="0"/>
        </tpls>
      </m>
      <m>
        <tpls c="4">
          <tpl fld="0" item="449"/>
          <tpl hier="3" item="2"/>
          <tpl fld="2" item="0"/>
          <tpl fld="1" item="1"/>
        </tpls>
      </m>
      <m>
        <tpls c="4">
          <tpl fld="0" item="450"/>
          <tpl hier="3" item="2"/>
          <tpl fld="2" item="2"/>
          <tpl fld="1" item="0"/>
        </tpls>
      </m>
      <m>
        <tpls c="4">
          <tpl fld="0" item="450"/>
          <tpl hier="3" item="2"/>
          <tpl fld="2" item="2"/>
          <tpl fld="1" item="1"/>
        </tpls>
      </m>
      <m>
        <tpls c="4">
          <tpl fld="0" item="451"/>
          <tpl hier="3" item="2"/>
          <tpl fld="2" item="0"/>
          <tpl fld="1" item="0"/>
        </tpls>
      </m>
      <m>
        <tpls c="4">
          <tpl fld="0" item="451"/>
          <tpl hier="3" item="2"/>
          <tpl fld="2" item="0"/>
          <tpl fld="1" item="1"/>
        </tpls>
      </m>
      <n v="64110" in="0">
        <tpls c="4">
          <tpl fld="0" item="452"/>
          <tpl hier="3" item="2"/>
          <tpl fld="2" item="0"/>
          <tpl fld="1" item="0"/>
        </tpls>
      </n>
      <n v="2800" in="0">
        <tpls c="4">
          <tpl fld="0" item="452"/>
          <tpl hier="3" item="2"/>
          <tpl fld="2" item="0"/>
          <tpl fld="1" item="1"/>
        </tpls>
      </n>
      <m>
        <tpls c="4">
          <tpl fld="0" item="453"/>
          <tpl hier="3" item="2"/>
          <tpl fld="2" item="1"/>
          <tpl fld="1" item="0"/>
        </tpls>
      </m>
      <m>
        <tpls c="4">
          <tpl fld="0" item="453"/>
          <tpl hier="3" item="2"/>
          <tpl fld="2" item="1"/>
          <tpl fld="1" item="1"/>
        </tpls>
      </m>
      <m>
        <tpls c="4">
          <tpl fld="0" item="454"/>
          <tpl hier="3" item="2"/>
          <tpl fld="2" item="2"/>
          <tpl fld="1" item="0"/>
        </tpls>
      </m>
      <m>
        <tpls c="4">
          <tpl fld="0" item="454"/>
          <tpl hier="3" item="2"/>
          <tpl fld="2" item="2"/>
          <tpl fld="1" item="1"/>
        </tpls>
      </m>
      <m>
        <tpls c="4">
          <tpl fld="0" item="455"/>
          <tpl hier="3" item="2"/>
          <tpl fld="2" item="1"/>
          <tpl fld="1" item="0"/>
        </tpls>
      </m>
      <m>
        <tpls c="4">
          <tpl fld="0" item="455"/>
          <tpl hier="3" item="2"/>
          <tpl fld="2" item="1"/>
          <tpl fld="1" item="1"/>
        </tpls>
      </m>
      <m>
        <tpls c="4">
          <tpl fld="0" item="456"/>
          <tpl hier="3" item="2"/>
          <tpl fld="2" item="1"/>
          <tpl fld="1" item="0"/>
        </tpls>
      </m>
      <m>
        <tpls c="4">
          <tpl fld="0" item="456"/>
          <tpl hier="3" item="2"/>
          <tpl fld="2" item="1"/>
          <tpl fld="1" item="1"/>
        </tpls>
      </m>
      <m>
        <tpls c="4">
          <tpl fld="0" item="457"/>
          <tpl hier="3" item="2"/>
          <tpl fld="2" item="0"/>
          <tpl fld="1" item="0"/>
        </tpls>
      </m>
      <m>
        <tpls c="4">
          <tpl fld="0" item="457"/>
          <tpl hier="3" item="2"/>
          <tpl fld="2" item="0"/>
          <tpl fld="1" item="1"/>
        </tpls>
      </m>
      <m>
        <tpls c="4">
          <tpl fld="0" item="458"/>
          <tpl hier="3" item="2"/>
          <tpl fld="2" item="0"/>
          <tpl fld="1" item="0"/>
        </tpls>
      </m>
      <m>
        <tpls c="4">
          <tpl fld="0" item="458"/>
          <tpl hier="3" item="2"/>
          <tpl fld="2" item="0"/>
          <tpl fld="1" item="1"/>
        </tpls>
      </m>
      <m>
        <tpls c="4">
          <tpl fld="0" item="459"/>
          <tpl hier="3" item="2"/>
          <tpl fld="2" item="1"/>
          <tpl fld="1" item="0"/>
        </tpls>
      </m>
      <m>
        <tpls c="4">
          <tpl fld="0" item="459"/>
          <tpl hier="3" item="2"/>
          <tpl fld="2" item="1"/>
          <tpl fld="1" item="1"/>
        </tpls>
      </m>
      <m>
        <tpls c="4">
          <tpl fld="0" item="460"/>
          <tpl hier="3" item="2"/>
          <tpl fld="2" item="0"/>
          <tpl fld="1" item="0"/>
        </tpls>
      </m>
      <m>
        <tpls c="4">
          <tpl fld="0" item="460"/>
          <tpl hier="3" item="2"/>
          <tpl fld="2" item="0"/>
          <tpl fld="1" item="1"/>
        </tpls>
      </m>
      <m>
        <tpls c="4">
          <tpl fld="0" item="461"/>
          <tpl hier="3" item="2"/>
          <tpl fld="2" item="1"/>
          <tpl fld="1" item="0"/>
        </tpls>
      </m>
      <m>
        <tpls c="4">
          <tpl fld="0" item="461"/>
          <tpl hier="3" item="2"/>
          <tpl fld="2" item="1"/>
          <tpl fld="1" item="1"/>
        </tpls>
      </m>
      <m>
        <tpls c="4">
          <tpl fld="0" item="462"/>
          <tpl hier="3" item="2"/>
          <tpl fld="2" item="2"/>
          <tpl fld="1" item="0"/>
        </tpls>
      </m>
      <m>
        <tpls c="4">
          <tpl fld="0" item="462"/>
          <tpl hier="3" item="2"/>
          <tpl fld="2" item="2"/>
          <tpl fld="1" item="1"/>
        </tpls>
      </m>
      <m>
        <tpls c="4">
          <tpl fld="0" item="463"/>
          <tpl hier="3" item="2"/>
          <tpl fld="2" item="1"/>
          <tpl fld="1" item="0"/>
        </tpls>
      </m>
      <m>
        <tpls c="4">
          <tpl fld="0" item="463"/>
          <tpl hier="3" item="2"/>
          <tpl fld="2" item="1"/>
          <tpl fld="1" item="1"/>
        </tpls>
      </m>
      <m>
        <tpls c="4">
          <tpl fld="0" item="464"/>
          <tpl hier="3" item="2"/>
          <tpl fld="2" item="2"/>
          <tpl fld="1" item="0"/>
        </tpls>
      </m>
      <m>
        <tpls c="4">
          <tpl fld="0" item="464"/>
          <tpl hier="3" item="2"/>
          <tpl fld="2" item="2"/>
          <tpl fld="1" item="1"/>
        </tpls>
      </m>
      <m>
        <tpls c="4">
          <tpl fld="0" item="465"/>
          <tpl hier="3" item="2"/>
          <tpl fld="2" item="1"/>
          <tpl fld="1" item="0"/>
        </tpls>
      </m>
      <m>
        <tpls c="4">
          <tpl fld="0" item="465"/>
          <tpl hier="3" item="2"/>
          <tpl fld="2" item="1"/>
          <tpl fld="1" item="1"/>
        </tpls>
      </m>
      <m>
        <tpls c="4">
          <tpl fld="0" item="466"/>
          <tpl hier="3" item="2"/>
          <tpl fld="2" item="0"/>
          <tpl fld="1" item="0"/>
        </tpls>
      </m>
      <m>
        <tpls c="4">
          <tpl fld="0" item="466"/>
          <tpl hier="3" item="2"/>
          <tpl fld="2" item="0"/>
          <tpl fld="1" item="1"/>
        </tpls>
      </m>
      <m>
        <tpls c="4">
          <tpl fld="0" item="467"/>
          <tpl hier="3" item="2"/>
          <tpl fld="2" item="1"/>
          <tpl fld="1" item="0"/>
        </tpls>
      </m>
      <m>
        <tpls c="4">
          <tpl fld="0" item="467"/>
          <tpl hier="3" item="2"/>
          <tpl fld="2" item="1"/>
          <tpl fld="1" item="1"/>
        </tpls>
      </m>
      <m>
        <tpls c="4">
          <tpl fld="0" item="468"/>
          <tpl hier="3" item="2"/>
          <tpl fld="2" item="2"/>
          <tpl fld="1" item="0"/>
        </tpls>
      </m>
      <m>
        <tpls c="4">
          <tpl fld="0" item="468"/>
          <tpl hier="3" item="2"/>
          <tpl fld="2" item="2"/>
          <tpl fld="1" item="1"/>
        </tpls>
      </m>
      <m>
        <tpls c="4">
          <tpl fld="0" item="469"/>
          <tpl hier="3" item="2"/>
          <tpl fld="2" item="0"/>
          <tpl fld="1" item="0"/>
        </tpls>
      </m>
      <m>
        <tpls c="4">
          <tpl fld="0" item="469"/>
          <tpl hier="3" item="2"/>
          <tpl fld="2" item="0"/>
          <tpl fld="1" item="1"/>
        </tpls>
      </m>
      <n v="215621" in="0">
        <tpls c="4">
          <tpl fld="0" item="470"/>
          <tpl hier="3" item="2"/>
          <tpl fld="2" item="1"/>
          <tpl fld="1" item="0"/>
        </tpls>
      </n>
      <n v="9000" in="0">
        <tpls c="4">
          <tpl fld="0" item="470"/>
          <tpl hier="3" item="2"/>
          <tpl fld="2" item="1"/>
          <tpl fld="1" item="1"/>
        </tpls>
      </n>
      <m>
        <tpls c="4">
          <tpl fld="0" item="471"/>
          <tpl hier="3" item="2"/>
          <tpl fld="2" item="0"/>
          <tpl fld="1" item="0"/>
        </tpls>
      </m>
      <m>
        <tpls c="4">
          <tpl fld="0" item="471"/>
          <tpl hier="3" item="2"/>
          <tpl fld="2" item="0"/>
          <tpl fld="1" item="1"/>
        </tpls>
      </m>
      <n v="130550" in="0">
        <tpls c="4">
          <tpl fld="0" item="472"/>
          <tpl hier="3" item="2"/>
          <tpl fld="2" item="1"/>
          <tpl fld="1" item="0"/>
        </tpls>
      </n>
      <n v="9000" in="0">
        <tpls c="4">
          <tpl fld="0" item="472"/>
          <tpl hier="3" item="2"/>
          <tpl fld="2" item="1"/>
          <tpl fld="1" item="1"/>
        </tpls>
      </n>
      <m>
        <tpls c="4">
          <tpl fld="0" item="473"/>
          <tpl hier="3" item="2"/>
          <tpl fld="2" item="1"/>
          <tpl fld="1" item="0"/>
        </tpls>
      </m>
      <m>
        <tpls c="4">
          <tpl fld="0" item="473"/>
          <tpl hier="3" item="2"/>
          <tpl fld="2" item="1"/>
          <tpl fld="1" item="1"/>
        </tpls>
      </m>
      <m>
        <tpls c="4">
          <tpl fld="0" item="474"/>
          <tpl hier="3" item="2"/>
          <tpl fld="2" item="0"/>
          <tpl fld="1" item="0"/>
        </tpls>
      </m>
      <m>
        <tpls c="4">
          <tpl fld="0" item="474"/>
          <tpl hier="3" item="2"/>
          <tpl fld="2" item="0"/>
          <tpl fld="1" item="1"/>
        </tpls>
      </m>
      <m>
        <tpls c="4">
          <tpl fld="0" item="475"/>
          <tpl hier="3" item="2"/>
          <tpl fld="2" item="1"/>
          <tpl fld="1" item="0"/>
        </tpls>
      </m>
      <m>
        <tpls c="4">
          <tpl fld="0" item="475"/>
          <tpl hier="3" item="2"/>
          <tpl fld="2" item="1"/>
          <tpl fld="1" item="1"/>
        </tpls>
      </m>
      <m>
        <tpls c="4">
          <tpl fld="0" item="476"/>
          <tpl hier="3" item="2"/>
          <tpl fld="2" item="1"/>
          <tpl fld="1" item="0"/>
        </tpls>
      </m>
      <m>
        <tpls c="4">
          <tpl fld="0" item="476"/>
          <tpl hier="3" item="2"/>
          <tpl fld="2" item="1"/>
          <tpl fld="1" item="1"/>
        </tpls>
      </m>
      <m>
        <tpls c="4">
          <tpl fld="0" item="477"/>
          <tpl hier="3" item="2"/>
          <tpl fld="2" item="1"/>
          <tpl fld="1" item="0"/>
        </tpls>
      </m>
      <m>
        <tpls c="4">
          <tpl fld="0" item="477"/>
          <tpl hier="3" item="2"/>
          <tpl fld="2" item="1"/>
          <tpl fld="1" item="1"/>
        </tpls>
      </m>
      <m>
        <tpls c="4">
          <tpl fld="0" item="478"/>
          <tpl hier="3" item="2"/>
          <tpl fld="2" item="2"/>
          <tpl fld="1" item="0"/>
        </tpls>
      </m>
      <m>
        <tpls c="4">
          <tpl fld="0" item="478"/>
          <tpl hier="3" item="2"/>
          <tpl fld="2" item="2"/>
          <tpl fld="1" item="1"/>
        </tpls>
      </m>
      <m>
        <tpls c="4">
          <tpl fld="0" item="479"/>
          <tpl hier="3" item="2"/>
          <tpl fld="2" item="0"/>
          <tpl fld="1" item="0"/>
        </tpls>
      </m>
      <m>
        <tpls c="4">
          <tpl fld="0" item="479"/>
          <tpl hier="3" item="2"/>
          <tpl fld="2" item="0"/>
          <tpl fld="1" item="1"/>
        </tpls>
      </m>
      <m>
        <tpls c="4">
          <tpl fld="0" item="480"/>
          <tpl hier="3" item="2"/>
          <tpl fld="2" item="1"/>
          <tpl fld="1" item="0"/>
        </tpls>
      </m>
      <m>
        <tpls c="4">
          <tpl fld="0" item="480"/>
          <tpl hier="3" item="2"/>
          <tpl fld="2" item="1"/>
          <tpl fld="1" item="1"/>
        </tpls>
      </m>
      <m>
        <tpls c="4">
          <tpl fld="0" item="481"/>
          <tpl hier="3" item="2"/>
          <tpl fld="2" item="1"/>
          <tpl fld="1" item="0"/>
        </tpls>
      </m>
      <m>
        <tpls c="4">
          <tpl fld="0" item="481"/>
          <tpl hier="3" item="2"/>
          <tpl fld="2" item="1"/>
          <tpl fld="1" item="1"/>
        </tpls>
      </m>
      <m>
        <tpls c="4">
          <tpl fld="0" item="482"/>
          <tpl hier="3" item="2"/>
          <tpl fld="2" item="0"/>
          <tpl fld="1" item="0"/>
        </tpls>
      </m>
      <m>
        <tpls c="4">
          <tpl fld="0" item="482"/>
          <tpl hier="3" item="2"/>
          <tpl fld="2" item="0"/>
          <tpl fld="1" item="1"/>
        </tpls>
      </m>
      <m>
        <tpls c="4">
          <tpl fld="0" item="483"/>
          <tpl hier="3" item="2"/>
          <tpl fld="2" item="1"/>
          <tpl fld="1" item="0"/>
        </tpls>
      </m>
      <m>
        <tpls c="4">
          <tpl fld="0" item="483"/>
          <tpl hier="3" item="2"/>
          <tpl fld="2" item="1"/>
          <tpl fld="1" item="1"/>
        </tpls>
      </m>
      <m>
        <tpls c="4">
          <tpl fld="0" item="484"/>
          <tpl hier="3" item="2"/>
          <tpl fld="2" item="0"/>
          <tpl fld="1" item="0"/>
        </tpls>
      </m>
      <m>
        <tpls c="4">
          <tpl fld="0" item="484"/>
          <tpl hier="3" item="2"/>
          <tpl fld="2" item="0"/>
          <tpl fld="1" item="1"/>
        </tpls>
      </m>
      <m>
        <tpls c="4">
          <tpl fld="0" item="485"/>
          <tpl hier="3" item="2"/>
          <tpl fld="2" item="0"/>
          <tpl fld="1" item="0"/>
        </tpls>
      </m>
      <m>
        <tpls c="4">
          <tpl fld="0" item="485"/>
          <tpl hier="3" item="2"/>
          <tpl fld="2" item="0"/>
          <tpl fld="1" item="1"/>
        </tpls>
      </m>
      <m>
        <tpls c="4">
          <tpl fld="0" item="486"/>
          <tpl hier="3" item="2"/>
          <tpl fld="2" item="0"/>
          <tpl fld="1" item="0"/>
        </tpls>
      </m>
      <m>
        <tpls c="4">
          <tpl fld="0" item="486"/>
          <tpl hier="3" item="2"/>
          <tpl fld="2" item="0"/>
          <tpl fld="1" item="1"/>
        </tpls>
      </m>
      <m>
        <tpls c="4">
          <tpl fld="0" item="487"/>
          <tpl hier="3" item="2"/>
          <tpl fld="2" item="0"/>
          <tpl fld="1" item="0"/>
        </tpls>
      </m>
      <m>
        <tpls c="4">
          <tpl fld="0" item="487"/>
          <tpl hier="3" item="2"/>
          <tpl fld="2" item="0"/>
          <tpl fld="1" item="1"/>
        </tpls>
      </m>
      <m>
        <tpls c="4">
          <tpl fld="0" item="488"/>
          <tpl hier="3" item="2"/>
          <tpl fld="2" item="1"/>
          <tpl fld="1" item="0"/>
        </tpls>
      </m>
      <m>
        <tpls c="4">
          <tpl fld="0" item="488"/>
          <tpl hier="3" item="2"/>
          <tpl fld="2" item="1"/>
          <tpl fld="1" item="1"/>
        </tpls>
      </m>
      <n v="57741" in="0">
        <tpls c="4">
          <tpl fld="0" item="489"/>
          <tpl hier="3" item="2"/>
          <tpl fld="2" item="2"/>
          <tpl fld="1" item="0"/>
        </tpls>
      </n>
      <n v="1500" in="0">
        <tpls c="4">
          <tpl fld="0" item="489"/>
          <tpl hier="3" item="2"/>
          <tpl fld="2" item="2"/>
          <tpl fld="1" item="1"/>
        </tpls>
      </n>
      <m>
        <tpls c="4">
          <tpl fld="0" item="490"/>
          <tpl hier="3" item="2"/>
          <tpl fld="2" item="1"/>
          <tpl fld="1" item="0"/>
        </tpls>
      </m>
      <m>
        <tpls c="4">
          <tpl fld="0" item="490"/>
          <tpl hier="3" item="2"/>
          <tpl fld="2" item="1"/>
          <tpl fld="1" item="1"/>
        </tpls>
      </m>
      <m>
        <tpls c="4">
          <tpl fld="0" item="491"/>
          <tpl hier="3" item="2"/>
          <tpl fld="2" item="1"/>
          <tpl fld="1" item="0"/>
        </tpls>
      </m>
      <m>
        <tpls c="4">
          <tpl fld="0" item="491"/>
          <tpl hier="3" item="2"/>
          <tpl fld="2" item="1"/>
          <tpl fld="1" item="1"/>
        </tpls>
      </m>
      <m>
        <tpls c="4">
          <tpl fld="0" item="2"/>
          <tpl hier="3" item="3"/>
          <tpl fld="2" item="0"/>
          <tpl fld="1" item="0"/>
        </tpls>
      </m>
      <m>
        <tpls c="4">
          <tpl fld="0" item="2"/>
          <tpl hier="3" item="3"/>
          <tpl fld="2" item="0"/>
          <tpl fld="1" item="1"/>
        </tpls>
      </m>
      <n v="206439" in="0">
        <tpls c="4">
          <tpl fld="0" item="3"/>
          <tpl hier="3" item="3"/>
          <tpl fld="2" item="1"/>
          <tpl fld="1" item="0"/>
        </tpls>
      </n>
      <n v="9000" in="0">
        <tpls c="4">
          <tpl fld="0" item="3"/>
          <tpl hier="3" item="3"/>
          <tpl fld="2" item="1"/>
          <tpl fld="1" item="1"/>
        </tpls>
      </n>
      <m>
        <tpls c="4">
          <tpl fld="0" item="4"/>
          <tpl hier="3" item="3"/>
          <tpl fld="2" item="1"/>
          <tpl fld="1" item="0"/>
        </tpls>
      </m>
      <m>
        <tpls c="4">
          <tpl fld="0" item="4"/>
          <tpl hier="3" item="3"/>
          <tpl fld="2" item="1"/>
          <tpl fld="1" item="1"/>
        </tpls>
      </m>
      <m>
        <tpls c="4">
          <tpl fld="0" item="5"/>
          <tpl hier="3" item="3"/>
          <tpl fld="2" item="1"/>
          <tpl fld="1" item="0"/>
        </tpls>
      </m>
      <m>
        <tpls c="4">
          <tpl fld="0" item="5"/>
          <tpl hier="3" item="3"/>
          <tpl fld="2" item="1"/>
          <tpl fld="1" item="1"/>
        </tpls>
      </m>
      <m>
        <tpls c="4">
          <tpl fld="0" item="6"/>
          <tpl hier="3" item="3"/>
          <tpl fld="2" item="0"/>
          <tpl fld="1" item="0"/>
        </tpls>
      </m>
      <m>
        <tpls c="4">
          <tpl fld="0" item="6"/>
          <tpl hier="3" item="3"/>
          <tpl fld="2" item="0"/>
          <tpl fld="1" item="1"/>
        </tpls>
      </m>
      <m>
        <tpls c="4">
          <tpl fld="0" item="7"/>
          <tpl hier="3" item="3"/>
          <tpl fld="2" item="0"/>
          <tpl fld="1" item="0"/>
        </tpls>
      </m>
      <m>
        <tpls c="4">
          <tpl fld="0" item="7"/>
          <tpl hier="3" item="3"/>
          <tpl fld="2" item="0"/>
          <tpl fld="1" item="1"/>
        </tpls>
      </m>
      <n v="53979" in="0">
        <tpls c="4">
          <tpl fld="0" item="8"/>
          <tpl hier="3" item="3"/>
          <tpl fld="2" item="2"/>
          <tpl fld="1" item="0"/>
        </tpls>
      </n>
      <n v="1500" in="0">
        <tpls c="4">
          <tpl fld="0" item="8"/>
          <tpl hier="3" item="3"/>
          <tpl fld="2" item="2"/>
          <tpl fld="1" item="1"/>
        </tpls>
      </n>
      <m>
        <tpls c="4">
          <tpl fld="0" item="9"/>
          <tpl hier="3" item="3"/>
          <tpl fld="2" item="2"/>
          <tpl fld="1" item="0"/>
        </tpls>
      </m>
      <m>
        <tpls c="4">
          <tpl fld="0" item="9"/>
          <tpl hier="3" item="3"/>
          <tpl fld="2" item="2"/>
          <tpl fld="1" item="1"/>
        </tpls>
      </m>
      <m>
        <tpls c="4">
          <tpl fld="0" item="10"/>
          <tpl hier="3" item="3"/>
          <tpl fld="2" item="1"/>
          <tpl fld="1" item="0"/>
        </tpls>
      </m>
      <m>
        <tpls c="4">
          <tpl fld="0" item="10"/>
          <tpl hier="3" item="3"/>
          <tpl fld="2" item="1"/>
          <tpl fld="1" item="1"/>
        </tpls>
      </m>
      <n v="143984" in="0">
        <tpls c="4">
          <tpl fld="0" item="11"/>
          <tpl hier="3" item="3"/>
          <tpl fld="2" item="1"/>
          <tpl fld="1" item="0"/>
        </tpls>
      </n>
      <n v="6750" in="0">
        <tpls c="4">
          <tpl fld="0" item="11"/>
          <tpl hier="3" item="3"/>
          <tpl fld="2" item="1"/>
          <tpl fld="1" item="1"/>
        </tpls>
      </n>
      <n v="44275" in="0">
        <tpls c="4">
          <tpl fld="0" item="0"/>
          <tpl hier="3" item="3"/>
          <tpl fld="2" item="2"/>
          <tpl fld="1" item="0"/>
        </tpls>
      </n>
      <n v="1500" in="0">
        <tpls c="4">
          <tpl fld="0" item="0"/>
          <tpl hier="3" item="3"/>
          <tpl fld="2" item="2"/>
          <tpl fld="1" item="1"/>
        </tpls>
      </n>
      <m>
        <tpls c="4">
          <tpl fld="0" item="1"/>
          <tpl hier="3" item="3"/>
          <tpl fld="2" item="1"/>
          <tpl fld="1" item="0"/>
        </tpls>
      </m>
      <m>
        <tpls c="4">
          <tpl fld="0" item="1"/>
          <tpl hier="3" item="3"/>
          <tpl fld="2" item="1"/>
          <tpl fld="1" item="1"/>
        </tpls>
      </m>
      <n v="169682" in="0">
        <tpls c="4">
          <tpl fld="0" item="12"/>
          <tpl hier="3" item="3"/>
          <tpl fld="2" item="1"/>
          <tpl fld="1" item="0"/>
        </tpls>
      </n>
      <n v="6750" in="0">
        <tpls c="4">
          <tpl fld="0" item="12"/>
          <tpl hier="3" item="3"/>
          <tpl fld="2" item="1"/>
          <tpl fld="1" item="1"/>
        </tpls>
      </n>
      <m>
        <tpls c="4">
          <tpl fld="0" item="13"/>
          <tpl hier="3" item="3"/>
          <tpl fld="2" item="0"/>
          <tpl fld="1" item="0"/>
        </tpls>
      </m>
      <m>
        <tpls c="4">
          <tpl fld="0" item="13"/>
          <tpl hier="3" item="3"/>
          <tpl fld="2" item="0"/>
          <tpl fld="1" item="1"/>
        </tpls>
      </m>
      <m>
        <tpls c="4">
          <tpl fld="0" item="14"/>
          <tpl hier="3" item="3"/>
          <tpl fld="2" item="0"/>
          <tpl fld="1" item="0"/>
        </tpls>
      </m>
      <m>
        <tpls c="4">
          <tpl fld="0" item="14"/>
          <tpl hier="3" item="3"/>
          <tpl fld="2" item="0"/>
          <tpl fld="1" item="1"/>
        </tpls>
      </m>
      <m>
        <tpls c="4">
          <tpl fld="0" item="15"/>
          <tpl hier="3" item="3"/>
          <tpl fld="2" item="0"/>
          <tpl fld="1" item="0"/>
        </tpls>
      </m>
      <m>
        <tpls c="4">
          <tpl fld="0" item="15"/>
          <tpl hier="3" item="3"/>
          <tpl fld="2" item="0"/>
          <tpl fld="1" item="1"/>
        </tpls>
      </m>
      <m>
        <tpls c="4">
          <tpl fld="0" item="16"/>
          <tpl hier="3" item="3"/>
          <tpl fld="2" item="0"/>
          <tpl fld="1" item="0"/>
        </tpls>
      </m>
      <m>
        <tpls c="4">
          <tpl fld="0" item="16"/>
          <tpl hier="3" item="3"/>
          <tpl fld="2" item="0"/>
          <tpl fld="1" item="1"/>
        </tpls>
      </m>
      <m>
        <tpls c="4">
          <tpl fld="0" item="17"/>
          <tpl hier="3" item="3"/>
          <tpl fld="2" item="0"/>
          <tpl fld="1" item="0"/>
        </tpls>
      </m>
      <m>
        <tpls c="4">
          <tpl fld="0" item="17"/>
          <tpl hier="3" item="3"/>
          <tpl fld="2" item="0"/>
          <tpl fld="1" item="1"/>
        </tpls>
      </m>
      <m>
        <tpls c="4">
          <tpl fld="0" item="18"/>
          <tpl hier="3" item="3"/>
          <tpl fld="2" item="0"/>
          <tpl fld="1" item="0"/>
        </tpls>
      </m>
      <m>
        <tpls c="4">
          <tpl fld="0" item="18"/>
          <tpl hier="3" item="3"/>
          <tpl fld="2" item="0"/>
          <tpl fld="1" item="1"/>
        </tpls>
      </m>
      <m>
        <tpls c="4">
          <tpl fld="0" item="19"/>
          <tpl hier="3" item="3"/>
          <tpl fld="2" item="0"/>
          <tpl fld="1" item="0"/>
        </tpls>
      </m>
      <m>
        <tpls c="4">
          <tpl fld="0" item="19"/>
          <tpl hier="3" item="3"/>
          <tpl fld="2" item="0"/>
          <tpl fld="1" item="1"/>
        </tpls>
      </m>
      <m>
        <tpls c="4">
          <tpl fld="0" item="20"/>
          <tpl hier="3" item="3"/>
          <tpl fld="2" item="1"/>
          <tpl fld="1" item="0"/>
        </tpls>
      </m>
      <m>
        <tpls c="4">
          <tpl fld="0" item="20"/>
          <tpl hier="3" item="3"/>
          <tpl fld="2" item="1"/>
          <tpl fld="1" item="1"/>
        </tpls>
      </m>
      <n v="67161" in="0">
        <tpls c="4">
          <tpl fld="0" item="21"/>
          <tpl hier="3" item="3"/>
          <tpl fld="2" item="0"/>
          <tpl fld="1" item="0"/>
        </tpls>
      </n>
      <n v="2800" in="0">
        <tpls c="4">
          <tpl fld="0" item="21"/>
          <tpl hier="3" item="3"/>
          <tpl fld="2" item="0"/>
          <tpl fld="1" item="1"/>
        </tpls>
      </n>
      <m>
        <tpls c="4">
          <tpl fld="0" item="22"/>
          <tpl hier="3" item="3"/>
          <tpl fld="2" item="0"/>
          <tpl fld="1" item="0"/>
        </tpls>
      </m>
      <m>
        <tpls c="4">
          <tpl fld="0" item="22"/>
          <tpl hier="3" item="3"/>
          <tpl fld="2" item="0"/>
          <tpl fld="1" item="1"/>
        </tpls>
      </m>
      <m>
        <tpls c="4">
          <tpl fld="0" item="23"/>
          <tpl hier="3" item="3"/>
          <tpl fld="2" item="0"/>
          <tpl fld="1" item="0"/>
        </tpls>
      </m>
      <m>
        <tpls c="4">
          <tpl fld="0" item="23"/>
          <tpl hier="3" item="3"/>
          <tpl fld="2" item="0"/>
          <tpl fld="1" item="1"/>
        </tpls>
      </m>
      <m>
        <tpls c="4">
          <tpl fld="0" item="24"/>
          <tpl hier="3" item="3"/>
          <tpl fld="2" item="0"/>
          <tpl fld="1" item="0"/>
        </tpls>
      </m>
      <m>
        <tpls c="4">
          <tpl fld="0" item="24"/>
          <tpl hier="3" item="3"/>
          <tpl fld="2" item="0"/>
          <tpl fld="1" item="1"/>
        </tpls>
      </m>
      <m>
        <tpls c="4">
          <tpl fld="0" item="25"/>
          <tpl hier="3" item="3"/>
          <tpl fld="2" item="1"/>
          <tpl fld="1" item="0"/>
        </tpls>
      </m>
      <m>
        <tpls c="4">
          <tpl fld="0" item="25"/>
          <tpl hier="3" item="3"/>
          <tpl fld="2" item="1"/>
          <tpl fld="1" item="1"/>
        </tpls>
      </m>
      <m>
        <tpls c="4">
          <tpl fld="0" item="26"/>
          <tpl hier="3" item="3"/>
          <tpl fld="2" item="0"/>
          <tpl fld="1" item="0"/>
        </tpls>
      </m>
      <m>
        <tpls c="4">
          <tpl fld="0" item="26"/>
          <tpl hier="3" item="3"/>
          <tpl fld="2" item="0"/>
          <tpl fld="1" item="1"/>
        </tpls>
      </m>
      <n v="113244" in="0">
        <tpls c="4">
          <tpl fld="0" item="27"/>
          <tpl hier="3" item="3"/>
          <tpl fld="2" item="0"/>
          <tpl fld="1" item="0"/>
        </tpls>
      </n>
      <n v="4200" in="0">
        <tpls c="4">
          <tpl fld="0" item="27"/>
          <tpl hier="3" item="3"/>
          <tpl fld="2" item="0"/>
          <tpl fld="1" item="1"/>
        </tpls>
      </n>
      <m>
        <tpls c="4">
          <tpl fld="0" item="28"/>
          <tpl hier="3" item="3"/>
          <tpl fld="2" item="1"/>
          <tpl fld="1" item="0"/>
        </tpls>
      </m>
      <m>
        <tpls c="4">
          <tpl fld="0" item="28"/>
          <tpl hier="3" item="3"/>
          <tpl fld="2" item="1"/>
          <tpl fld="1" item="1"/>
        </tpls>
      </m>
      <m>
        <tpls c="4">
          <tpl fld="0" item="29"/>
          <tpl hier="3" item="3"/>
          <tpl fld="2" item="2"/>
          <tpl fld="1" item="0"/>
        </tpls>
      </m>
      <m>
        <tpls c="4">
          <tpl fld="0" item="29"/>
          <tpl hier="3" item="3"/>
          <tpl fld="2" item="2"/>
          <tpl fld="1" item="1"/>
        </tpls>
      </m>
      <m>
        <tpls c="4">
          <tpl fld="0" item="30"/>
          <tpl hier="3" item="3"/>
          <tpl fld="2" item="1"/>
          <tpl fld="1" item="0"/>
        </tpls>
      </m>
      <m>
        <tpls c="4">
          <tpl fld="0" item="30"/>
          <tpl hier="3" item="3"/>
          <tpl fld="2" item="1"/>
          <tpl fld="1" item="1"/>
        </tpls>
      </m>
      <m>
        <tpls c="4">
          <tpl fld="0" item="31"/>
          <tpl hier="3" item="3"/>
          <tpl fld="2" item="0"/>
          <tpl fld="1" item="0"/>
        </tpls>
      </m>
      <m>
        <tpls c="4">
          <tpl fld="0" item="31"/>
          <tpl hier="3" item="3"/>
          <tpl fld="2" item="0"/>
          <tpl fld="1" item="1"/>
        </tpls>
      </m>
      <m>
        <tpls c="4">
          <tpl fld="0" item="32"/>
          <tpl hier="3" item="3"/>
          <tpl fld="2" item="2"/>
          <tpl fld="1" item="0"/>
        </tpls>
      </m>
      <m>
        <tpls c="4">
          <tpl fld="0" item="32"/>
          <tpl hier="3" item="3"/>
          <tpl fld="2" item="2"/>
          <tpl fld="1" item="1"/>
        </tpls>
      </m>
      <m>
        <tpls c="4">
          <tpl fld="0" item="33"/>
          <tpl hier="3" item="3"/>
          <tpl fld="2" item="1"/>
          <tpl fld="1" item="0"/>
        </tpls>
      </m>
      <m>
        <tpls c="4">
          <tpl fld="0" item="33"/>
          <tpl hier="3" item="3"/>
          <tpl fld="2" item="1"/>
          <tpl fld="1" item="1"/>
        </tpls>
      </m>
      <m>
        <tpls c="4">
          <tpl fld="0" item="34"/>
          <tpl hier="3" item="3"/>
          <tpl fld="2" item="1"/>
          <tpl fld="1" item="0"/>
        </tpls>
      </m>
      <m>
        <tpls c="4">
          <tpl fld="0" item="34"/>
          <tpl hier="3" item="3"/>
          <tpl fld="2" item="1"/>
          <tpl fld="1" item="1"/>
        </tpls>
      </m>
      <m>
        <tpls c="4">
          <tpl fld="0" item="35"/>
          <tpl hier="3" item="3"/>
          <tpl fld="2" item="1"/>
          <tpl fld="1" item="0"/>
        </tpls>
      </m>
      <m>
        <tpls c="4">
          <tpl fld="0" item="35"/>
          <tpl hier="3" item="3"/>
          <tpl fld="2" item="1"/>
          <tpl fld="1" item="1"/>
        </tpls>
      </m>
      <m>
        <tpls c="4">
          <tpl fld="0" item="36"/>
          <tpl hier="3" item="3"/>
          <tpl fld="2" item="0"/>
          <tpl fld="1" item="0"/>
        </tpls>
      </m>
      <m>
        <tpls c="4">
          <tpl fld="0" item="36"/>
          <tpl hier="3" item="3"/>
          <tpl fld="2" item="0"/>
          <tpl fld="1" item="1"/>
        </tpls>
      </m>
      <m>
        <tpls c="4">
          <tpl fld="0" item="37"/>
          <tpl hier="3" item="3"/>
          <tpl fld="2" item="0"/>
          <tpl fld="1" item="0"/>
        </tpls>
      </m>
      <m>
        <tpls c="4">
          <tpl fld="0" item="37"/>
          <tpl hier="3" item="3"/>
          <tpl fld="2" item="0"/>
          <tpl fld="1" item="1"/>
        </tpls>
      </m>
      <n v="139741" in="0">
        <tpls c="4">
          <tpl fld="0" item="38"/>
          <tpl hier="3" item="3"/>
          <tpl fld="2" item="1"/>
          <tpl fld="1" item="0"/>
        </tpls>
      </n>
      <n v="6750" in="0">
        <tpls c="4">
          <tpl fld="0" item="38"/>
          <tpl hier="3" item="3"/>
          <tpl fld="2" item="1"/>
          <tpl fld="1" item="1"/>
        </tpls>
      </n>
      <m>
        <tpls c="4">
          <tpl fld="0" item="39"/>
          <tpl hier="3" item="3"/>
          <tpl fld="2" item="0"/>
          <tpl fld="1" item="0"/>
        </tpls>
      </m>
      <m>
        <tpls c="4">
          <tpl fld="0" item="39"/>
          <tpl hier="3" item="3"/>
          <tpl fld="2" item="0"/>
          <tpl fld="1" item="1"/>
        </tpls>
      </m>
      <m>
        <tpls c="4">
          <tpl fld="0" item="40"/>
          <tpl hier="3" item="3"/>
          <tpl fld="2" item="0"/>
          <tpl fld="1" item="0"/>
        </tpls>
      </m>
      <m>
        <tpls c="4">
          <tpl fld="0" item="40"/>
          <tpl hier="3" item="3"/>
          <tpl fld="2" item="0"/>
          <tpl fld="1" item="1"/>
        </tpls>
      </m>
      <m>
        <tpls c="4">
          <tpl fld="0" item="41"/>
          <tpl hier="3" item="3"/>
          <tpl fld="2" item="0"/>
          <tpl fld="1" item="0"/>
        </tpls>
      </m>
      <m>
        <tpls c="4">
          <tpl fld="0" item="41"/>
          <tpl hier="3" item="3"/>
          <tpl fld="2" item="0"/>
          <tpl fld="1" item="1"/>
        </tpls>
      </m>
      <n v="48451" in="0">
        <tpls c="4">
          <tpl fld="0" item="42"/>
          <tpl hier="3" item="3"/>
          <tpl fld="2" item="2"/>
          <tpl fld="1" item="0"/>
        </tpls>
      </n>
      <n v="1500" in="0">
        <tpls c="4">
          <tpl fld="0" item="42"/>
          <tpl hier="3" item="3"/>
          <tpl fld="2" item="2"/>
          <tpl fld="1" item="1"/>
        </tpls>
      </n>
      <m>
        <tpls c="4">
          <tpl fld="0" item="43"/>
          <tpl hier="3" item="3"/>
          <tpl fld="2" item="1"/>
          <tpl fld="1" item="0"/>
        </tpls>
      </m>
      <m>
        <tpls c="4">
          <tpl fld="0" item="43"/>
          <tpl hier="3" item="3"/>
          <tpl fld="2" item="1"/>
          <tpl fld="1" item="1"/>
        </tpls>
      </m>
      <m>
        <tpls c="4">
          <tpl fld="0" item="44"/>
          <tpl hier="3" item="3"/>
          <tpl fld="2" item="2"/>
          <tpl fld="1" item="0"/>
        </tpls>
      </m>
      <m>
        <tpls c="4">
          <tpl fld="0" item="44"/>
          <tpl hier="3" item="3"/>
          <tpl fld="2" item="2"/>
          <tpl fld="1" item="1"/>
        </tpls>
      </m>
      <m>
        <tpls c="4">
          <tpl fld="0" item="45"/>
          <tpl hier="3" item="3"/>
          <tpl fld="2" item="1"/>
          <tpl fld="1" item="0"/>
        </tpls>
      </m>
      <m>
        <tpls c="4">
          <tpl fld="0" item="45"/>
          <tpl hier="3" item="3"/>
          <tpl fld="2" item="1"/>
          <tpl fld="1" item="1"/>
        </tpls>
      </m>
      <m>
        <tpls c="4">
          <tpl fld="0" item="46"/>
          <tpl hier="3" item="3"/>
          <tpl fld="2" item="0"/>
          <tpl fld="1" item="0"/>
        </tpls>
      </m>
      <m>
        <tpls c="4">
          <tpl fld="0" item="46"/>
          <tpl hier="3" item="3"/>
          <tpl fld="2" item="0"/>
          <tpl fld="1" item="1"/>
        </tpls>
      </m>
      <m>
        <tpls c="4">
          <tpl fld="0" item="47"/>
          <tpl hier="3" item="3"/>
          <tpl fld="2" item="0"/>
          <tpl fld="1" item="0"/>
        </tpls>
      </m>
      <m>
        <tpls c="4">
          <tpl fld="0" item="47"/>
          <tpl hier="3" item="3"/>
          <tpl fld="2" item="0"/>
          <tpl fld="1" item="1"/>
        </tpls>
      </m>
      <m>
        <tpls c="4">
          <tpl fld="0" item="48"/>
          <tpl hier="3" item="3"/>
          <tpl fld="2" item="0"/>
          <tpl fld="1" item="0"/>
        </tpls>
      </m>
      <m>
        <tpls c="4">
          <tpl fld="0" item="48"/>
          <tpl hier="3" item="3"/>
          <tpl fld="2" item="0"/>
          <tpl fld="1" item="1"/>
        </tpls>
      </m>
      <m>
        <tpls c="4">
          <tpl fld="0" item="49"/>
          <tpl hier="3" item="3"/>
          <tpl fld="2" item="1"/>
          <tpl fld="1" item="0"/>
        </tpls>
      </m>
      <m>
        <tpls c="4">
          <tpl fld="0" item="49"/>
          <tpl hier="3" item="3"/>
          <tpl fld="2" item="1"/>
          <tpl fld="1" item="1"/>
        </tpls>
      </m>
      <n v="156954" in="0">
        <tpls c="4">
          <tpl fld="0" item="50"/>
          <tpl hier="3" item="3"/>
          <tpl fld="2" item="1"/>
          <tpl fld="1" item="0"/>
        </tpls>
      </n>
      <n v="6750" in="0">
        <tpls c="4">
          <tpl fld="0" item="50"/>
          <tpl hier="3" item="3"/>
          <tpl fld="2" item="1"/>
          <tpl fld="1" item="1"/>
        </tpls>
      </n>
      <n v="201737" in="0">
        <tpls c="4">
          <tpl fld="0" item="51"/>
          <tpl hier="3" item="3"/>
          <tpl fld="2" item="1"/>
          <tpl fld="1" item="0"/>
        </tpls>
      </n>
      <n v="6750" in="0">
        <tpls c="4">
          <tpl fld="0" item="51"/>
          <tpl hier="3" item="3"/>
          <tpl fld="2" item="1"/>
          <tpl fld="1" item="1"/>
        </tpls>
      </n>
      <m>
        <tpls c="4">
          <tpl fld="0" item="52"/>
          <tpl hier="3" item="3"/>
          <tpl fld="2" item="1"/>
          <tpl fld="1" item="0"/>
        </tpls>
      </m>
      <m>
        <tpls c="4">
          <tpl fld="0" item="52"/>
          <tpl hier="3" item="3"/>
          <tpl fld="2" item="1"/>
          <tpl fld="1" item="1"/>
        </tpls>
      </m>
      <m>
        <tpls c="4">
          <tpl fld="0" item="53"/>
          <tpl hier="3" item="3"/>
          <tpl fld="2" item="1"/>
          <tpl fld="1" item="0"/>
        </tpls>
      </m>
      <m>
        <tpls c="4">
          <tpl fld="0" item="53"/>
          <tpl hier="3" item="3"/>
          <tpl fld="2" item="1"/>
          <tpl fld="1" item="1"/>
        </tpls>
      </m>
      <m>
        <tpls c="4">
          <tpl fld="0" item="54"/>
          <tpl hier="3" item="3"/>
          <tpl fld="2" item="1"/>
          <tpl fld="1" item="0"/>
        </tpls>
      </m>
      <m>
        <tpls c="4">
          <tpl fld="0" item="54"/>
          <tpl hier="3" item="3"/>
          <tpl fld="2" item="1"/>
          <tpl fld="1" item="1"/>
        </tpls>
      </m>
      <m>
        <tpls c="4">
          <tpl fld="0" item="55"/>
          <tpl hier="3" item="3"/>
          <tpl fld="2" item="2"/>
          <tpl fld="1" item="0"/>
        </tpls>
      </m>
      <m>
        <tpls c="4">
          <tpl fld="0" item="55"/>
          <tpl hier="3" item="3"/>
          <tpl fld="2" item="2"/>
          <tpl fld="1" item="1"/>
        </tpls>
      </m>
      <m>
        <tpls c="4">
          <tpl fld="0" item="56"/>
          <tpl hier="3" item="3"/>
          <tpl fld="2" item="0"/>
          <tpl fld="1" item="0"/>
        </tpls>
      </m>
      <m>
        <tpls c="4">
          <tpl fld="0" item="56"/>
          <tpl hier="3" item="3"/>
          <tpl fld="2" item="0"/>
          <tpl fld="1" item="1"/>
        </tpls>
      </m>
      <m>
        <tpls c="4">
          <tpl fld="0" item="57"/>
          <tpl hier="3" item="3"/>
          <tpl fld="2" item="2"/>
          <tpl fld="1" item="0"/>
        </tpls>
      </m>
      <m>
        <tpls c="4">
          <tpl fld="0" item="57"/>
          <tpl hier="3" item="3"/>
          <tpl fld="2" item="2"/>
          <tpl fld="1" item="1"/>
        </tpls>
      </m>
      <m>
        <tpls c="4">
          <tpl fld="0" item="58"/>
          <tpl hier="3" item="3"/>
          <tpl fld="2" item="0"/>
          <tpl fld="1" item="0"/>
        </tpls>
      </m>
      <m>
        <tpls c="4">
          <tpl fld="0" item="58"/>
          <tpl hier="3" item="3"/>
          <tpl fld="2" item="0"/>
          <tpl fld="1" item="1"/>
        </tpls>
      </m>
      <n v="96585" in="0">
        <tpls c="4">
          <tpl fld="0" item="59"/>
          <tpl hier="3" item="3"/>
          <tpl fld="2" item="0"/>
          <tpl fld="1" item="0"/>
        </tpls>
      </n>
      <n v="2800" in="0">
        <tpls c="4">
          <tpl fld="0" item="59"/>
          <tpl hier="3" item="3"/>
          <tpl fld="2" item="0"/>
          <tpl fld="1" item="1"/>
        </tpls>
      </n>
      <n v="82509" in="0">
        <tpls c="4">
          <tpl fld="0" item="60"/>
          <tpl hier="3" item="3"/>
          <tpl fld="2" item="0"/>
          <tpl fld="1" item="0"/>
        </tpls>
      </n>
      <n v="4200" in="0">
        <tpls c="4">
          <tpl fld="0" item="60"/>
          <tpl hier="3" item="3"/>
          <tpl fld="2" item="0"/>
          <tpl fld="1" item="1"/>
        </tpls>
      </n>
      <m>
        <tpls c="4">
          <tpl fld="0" item="61"/>
          <tpl hier="3" item="3"/>
          <tpl fld="2" item="1"/>
          <tpl fld="1" item="0"/>
        </tpls>
      </m>
      <m>
        <tpls c="4">
          <tpl fld="0" item="61"/>
          <tpl hier="3" item="3"/>
          <tpl fld="2" item="1"/>
          <tpl fld="1" item="1"/>
        </tpls>
      </m>
      <m>
        <tpls c="4">
          <tpl fld="0" item="62"/>
          <tpl hier="3" item="3"/>
          <tpl fld="2" item="0"/>
          <tpl fld="1" item="0"/>
        </tpls>
      </m>
      <m>
        <tpls c="4">
          <tpl fld="0" item="62"/>
          <tpl hier="3" item="3"/>
          <tpl fld="2" item="0"/>
          <tpl fld="1" item="1"/>
        </tpls>
      </m>
      <m>
        <tpls c="4">
          <tpl fld="0" item="63"/>
          <tpl hier="3" item="3"/>
          <tpl fld="2" item="0"/>
          <tpl fld="1" item="0"/>
        </tpls>
      </m>
      <m>
        <tpls c="4">
          <tpl fld="0" item="63"/>
          <tpl hier="3" item="3"/>
          <tpl fld="2" item="0"/>
          <tpl fld="1" item="1"/>
        </tpls>
      </m>
      <n v="117311" in="0">
        <tpls c="4">
          <tpl fld="0" item="64"/>
          <tpl hier="3" item="3"/>
          <tpl fld="2" item="0"/>
          <tpl fld="1" item="0"/>
        </tpls>
      </n>
      <n v="2800" in="0">
        <tpls c="4">
          <tpl fld="0" item="64"/>
          <tpl hier="3" item="3"/>
          <tpl fld="2" item="0"/>
          <tpl fld="1" item="1"/>
        </tpls>
      </n>
      <m>
        <tpls c="4">
          <tpl fld="0" item="65"/>
          <tpl hier="3" item="3"/>
          <tpl fld="2" item="0"/>
          <tpl fld="1" item="0"/>
        </tpls>
      </m>
      <m>
        <tpls c="4">
          <tpl fld="0" item="65"/>
          <tpl hier="3" item="3"/>
          <tpl fld="2" item="0"/>
          <tpl fld="1" item="1"/>
        </tpls>
      </m>
      <m>
        <tpls c="4">
          <tpl fld="0" item="66"/>
          <tpl hier="3" item="3"/>
          <tpl fld="2" item="1"/>
          <tpl fld="1" item="0"/>
        </tpls>
      </m>
      <m>
        <tpls c="4">
          <tpl fld="0" item="66"/>
          <tpl hier="3" item="3"/>
          <tpl fld="2" item="1"/>
          <tpl fld="1" item="1"/>
        </tpls>
      </m>
      <m>
        <tpls c="4">
          <tpl fld="0" item="67"/>
          <tpl hier="3" item="3"/>
          <tpl fld="2" item="2"/>
          <tpl fld="1" item="0"/>
        </tpls>
      </m>
      <m>
        <tpls c="4">
          <tpl fld="0" item="67"/>
          <tpl hier="3" item="3"/>
          <tpl fld="2" item="2"/>
          <tpl fld="1" item="1"/>
        </tpls>
      </m>
      <n v="227531" in="0">
        <tpls c="4">
          <tpl fld="0" item="68"/>
          <tpl hier="3" item="3"/>
          <tpl fld="2" item="1"/>
          <tpl fld="1" item="0"/>
        </tpls>
      </n>
      <n v="6750" in="0">
        <tpls c="4">
          <tpl fld="0" item="68"/>
          <tpl hier="3" item="3"/>
          <tpl fld="2" item="1"/>
          <tpl fld="1" item="1"/>
        </tpls>
      </n>
      <m>
        <tpls c="4">
          <tpl fld="0" item="69"/>
          <tpl hier="3" item="3"/>
          <tpl fld="2" item="1"/>
          <tpl fld="1" item="0"/>
        </tpls>
      </m>
      <m>
        <tpls c="4">
          <tpl fld="0" item="69"/>
          <tpl hier="3" item="3"/>
          <tpl fld="2" item="1"/>
          <tpl fld="1" item="1"/>
        </tpls>
      </m>
      <m>
        <tpls c="4">
          <tpl fld="0" item="70"/>
          <tpl hier="3" item="3"/>
          <tpl fld="2" item="0"/>
          <tpl fld="1" item="0"/>
        </tpls>
      </m>
      <m>
        <tpls c="4">
          <tpl fld="0" item="70"/>
          <tpl hier="3" item="3"/>
          <tpl fld="2" item="0"/>
          <tpl fld="1" item="1"/>
        </tpls>
      </m>
      <m>
        <tpls c="4">
          <tpl fld="0" item="71"/>
          <tpl hier="3" item="3"/>
          <tpl fld="2" item="2"/>
          <tpl fld="1" item="0"/>
        </tpls>
      </m>
      <m>
        <tpls c="4">
          <tpl fld="0" item="71"/>
          <tpl hier="3" item="3"/>
          <tpl fld="2" item="2"/>
          <tpl fld="1" item="1"/>
        </tpls>
      </m>
      <m>
        <tpls c="4">
          <tpl fld="0" item="72"/>
          <tpl hier="3" item="3"/>
          <tpl fld="2" item="1"/>
          <tpl fld="1" item="0"/>
        </tpls>
      </m>
      <m>
        <tpls c="4">
          <tpl fld="0" item="72"/>
          <tpl hier="3" item="3"/>
          <tpl fld="2" item="1"/>
          <tpl fld="1" item="1"/>
        </tpls>
      </m>
      <n v="143764" in="0">
        <tpls c="4">
          <tpl fld="0" item="73"/>
          <tpl hier="3" item="3"/>
          <tpl fld="2" item="1"/>
          <tpl fld="1" item="0"/>
        </tpls>
      </n>
      <n v="6750" in="0">
        <tpls c="4">
          <tpl fld="0" item="73"/>
          <tpl hier="3" item="3"/>
          <tpl fld="2" item="1"/>
          <tpl fld="1" item="1"/>
        </tpls>
      </n>
      <n v="147856" in="0">
        <tpls c="4">
          <tpl fld="0" item="74"/>
          <tpl hier="3" item="3"/>
          <tpl fld="2" item="1"/>
          <tpl fld="1" item="0"/>
        </tpls>
      </n>
      <n v="9000" in="0">
        <tpls c="4">
          <tpl fld="0" item="74"/>
          <tpl hier="3" item="3"/>
          <tpl fld="2" item="1"/>
          <tpl fld="1" item="1"/>
        </tpls>
      </n>
      <m>
        <tpls c="4">
          <tpl fld="0" item="75"/>
          <tpl hier="3" item="3"/>
          <tpl fld="2" item="2"/>
          <tpl fld="1" item="0"/>
        </tpls>
      </m>
      <m>
        <tpls c="4">
          <tpl fld="0" item="75"/>
          <tpl hier="3" item="3"/>
          <tpl fld="2" item="2"/>
          <tpl fld="1" item="1"/>
        </tpls>
      </m>
      <n v="92840" in="0">
        <tpls c="4">
          <tpl fld="0" item="76"/>
          <tpl hier="3" item="3"/>
          <tpl fld="2" item="0"/>
          <tpl fld="1" item="0"/>
        </tpls>
      </n>
      <n v="4200" in="0">
        <tpls c="4">
          <tpl fld="0" item="76"/>
          <tpl hier="3" item="3"/>
          <tpl fld="2" item="0"/>
          <tpl fld="1" item="1"/>
        </tpls>
      </n>
      <m>
        <tpls c="4">
          <tpl fld="0" item="77"/>
          <tpl hier="3" item="3"/>
          <tpl fld="2" item="0"/>
          <tpl fld="1" item="0"/>
        </tpls>
      </m>
      <m>
        <tpls c="4">
          <tpl fld="0" item="77"/>
          <tpl hier="3" item="3"/>
          <tpl fld="2" item="0"/>
          <tpl fld="1" item="1"/>
        </tpls>
      </m>
      <m>
        <tpls c="4">
          <tpl fld="0" item="78"/>
          <tpl hier="3" item="3"/>
          <tpl fld="2" item="1"/>
          <tpl fld="1" item="0"/>
        </tpls>
      </m>
      <m>
        <tpls c="4">
          <tpl fld="0" item="78"/>
          <tpl hier="3" item="3"/>
          <tpl fld="2" item="1"/>
          <tpl fld="1" item="1"/>
        </tpls>
      </m>
      <m>
        <tpls c="4">
          <tpl fld="0" item="79"/>
          <tpl hier="3" item="3"/>
          <tpl fld="2" item="1"/>
          <tpl fld="1" item="0"/>
        </tpls>
      </m>
      <m>
        <tpls c="4">
          <tpl fld="0" item="79"/>
          <tpl hier="3" item="3"/>
          <tpl fld="2" item="1"/>
          <tpl fld="1" item="1"/>
        </tpls>
      </m>
      <n v="89499" in="0">
        <tpls c="4">
          <tpl fld="0" item="80"/>
          <tpl hier="3" item="3"/>
          <tpl fld="2" item="0"/>
          <tpl fld="1" item="0"/>
        </tpls>
      </n>
      <n v="2800" in="0">
        <tpls c="4">
          <tpl fld="0" item="80"/>
          <tpl hier="3" item="3"/>
          <tpl fld="2" item="0"/>
          <tpl fld="1" item="1"/>
        </tpls>
      </n>
      <m>
        <tpls c="4">
          <tpl fld="0" item="81"/>
          <tpl hier="3" item="3"/>
          <tpl fld="2" item="2"/>
          <tpl fld="1" item="0"/>
        </tpls>
      </m>
      <m>
        <tpls c="4">
          <tpl fld="0" item="81"/>
          <tpl hier="3" item="3"/>
          <tpl fld="2" item="2"/>
          <tpl fld="1" item="1"/>
        </tpls>
      </m>
      <m>
        <tpls c="4">
          <tpl fld="0" item="82"/>
          <tpl hier="3" item="3"/>
          <tpl fld="2" item="0"/>
          <tpl fld="1" item="0"/>
        </tpls>
      </m>
      <m>
        <tpls c="4">
          <tpl fld="0" item="82"/>
          <tpl hier="3" item="3"/>
          <tpl fld="2" item="0"/>
          <tpl fld="1" item="1"/>
        </tpls>
      </m>
      <m>
        <tpls c="4">
          <tpl fld="0" item="83"/>
          <tpl hier="3" item="3"/>
          <tpl fld="2" item="0"/>
          <tpl fld="1" item="0"/>
        </tpls>
      </m>
      <m>
        <tpls c="4">
          <tpl fld="0" item="83"/>
          <tpl hier="3" item="3"/>
          <tpl fld="2" item="0"/>
          <tpl fld="1" item="1"/>
        </tpls>
      </m>
      <n v="147969" in="0">
        <tpls c="4">
          <tpl fld="0" item="84"/>
          <tpl hier="3" item="3"/>
          <tpl fld="2" item="1"/>
          <tpl fld="1" item="0"/>
        </tpls>
      </n>
      <n v="6750" in="0">
        <tpls c="4">
          <tpl fld="0" item="84"/>
          <tpl hier="3" item="3"/>
          <tpl fld="2" item="1"/>
          <tpl fld="1" item="1"/>
        </tpls>
      </n>
      <m>
        <tpls c="4">
          <tpl fld="0" item="85"/>
          <tpl hier="3" item="3"/>
          <tpl fld="2" item="1"/>
          <tpl fld="1" item="0"/>
        </tpls>
      </m>
      <m>
        <tpls c="4">
          <tpl fld="0" item="85"/>
          <tpl hier="3" item="3"/>
          <tpl fld="2" item="1"/>
          <tpl fld="1" item="1"/>
        </tpls>
      </m>
      <m>
        <tpls c="4">
          <tpl fld="0" item="86"/>
          <tpl hier="3" item="3"/>
          <tpl fld="2" item="1"/>
          <tpl fld="1" item="0"/>
        </tpls>
      </m>
      <m>
        <tpls c="4">
          <tpl fld="0" item="86"/>
          <tpl hier="3" item="3"/>
          <tpl fld="2" item="1"/>
          <tpl fld="1" item="1"/>
        </tpls>
      </m>
      <m>
        <tpls c="4">
          <tpl fld="0" item="87"/>
          <tpl hier="3" item="3"/>
          <tpl fld="2" item="0"/>
          <tpl fld="1" item="0"/>
        </tpls>
      </m>
      <m>
        <tpls c="4">
          <tpl fld="0" item="87"/>
          <tpl hier="3" item="3"/>
          <tpl fld="2" item="0"/>
          <tpl fld="1" item="1"/>
        </tpls>
      </m>
      <m>
        <tpls c="4">
          <tpl fld="0" item="88"/>
          <tpl hier="3" item="3"/>
          <tpl fld="2" item="1"/>
          <tpl fld="1" item="0"/>
        </tpls>
      </m>
      <m>
        <tpls c="4">
          <tpl fld="0" item="88"/>
          <tpl hier="3" item="3"/>
          <tpl fld="2" item="1"/>
          <tpl fld="1" item="1"/>
        </tpls>
      </m>
      <m>
        <tpls c="4">
          <tpl fld="0" item="89"/>
          <tpl hier="3" item="3"/>
          <tpl fld="2" item="1"/>
          <tpl fld="1" item="0"/>
        </tpls>
      </m>
      <m>
        <tpls c="4">
          <tpl fld="0" item="89"/>
          <tpl hier="3" item="3"/>
          <tpl fld="2" item="1"/>
          <tpl fld="1" item="1"/>
        </tpls>
      </m>
      <m>
        <tpls c="4">
          <tpl fld="0" item="90"/>
          <tpl hier="3" item="3"/>
          <tpl fld="2" item="1"/>
          <tpl fld="1" item="0"/>
        </tpls>
      </m>
      <m>
        <tpls c="4">
          <tpl fld="0" item="90"/>
          <tpl hier="3" item="3"/>
          <tpl fld="2" item="1"/>
          <tpl fld="1" item="1"/>
        </tpls>
      </m>
      <m>
        <tpls c="4">
          <tpl fld="0" item="91"/>
          <tpl hier="3" item="3"/>
          <tpl fld="2" item="0"/>
          <tpl fld="1" item="0"/>
        </tpls>
      </m>
      <m>
        <tpls c="4">
          <tpl fld="0" item="91"/>
          <tpl hier="3" item="3"/>
          <tpl fld="2" item="0"/>
          <tpl fld="1" item="1"/>
        </tpls>
      </m>
      <m>
        <tpls c="4">
          <tpl fld="0" item="92"/>
          <tpl hier="3" item="3"/>
          <tpl fld="2" item="0"/>
          <tpl fld="1" item="0"/>
        </tpls>
      </m>
      <m>
        <tpls c="4">
          <tpl fld="0" item="92"/>
          <tpl hier="3" item="3"/>
          <tpl fld="2" item="0"/>
          <tpl fld="1" item="1"/>
        </tpls>
      </m>
      <m>
        <tpls c="4">
          <tpl fld="0" item="93"/>
          <tpl hier="3" item="3"/>
          <tpl fld="2" item="0"/>
          <tpl fld="1" item="0"/>
        </tpls>
      </m>
      <m>
        <tpls c="4">
          <tpl fld="0" item="93"/>
          <tpl hier="3" item="3"/>
          <tpl fld="2" item="0"/>
          <tpl fld="1" item="1"/>
        </tpls>
      </m>
      <m>
        <tpls c="4">
          <tpl fld="0" item="94"/>
          <tpl hier="3" item="3"/>
          <tpl fld="2" item="2"/>
          <tpl fld="1" item="0"/>
        </tpls>
      </m>
      <m>
        <tpls c="4">
          <tpl fld="0" item="94"/>
          <tpl hier="3" item="3"/>
          <tpl fld="2" item="2"/>
          <tpl fld="1" item="1"/>
        </tpls>
      </m>
      <m>
        <tpls c="4">
          <tpl fld="0" item="95"/>
          <tpl hier="3" item="3"/>
          <tpl fld="2" item="0"/>
          <tpl fld="1" item="0"/>
        </tpls>
      </m>
      <m>
        <tpls c="4">
          <tpl fld="0" item="95"/>
          <tpl hier="3" item="3"/>
          <tpl fld="2" item="0"/>
          <tpl fld="1" item="1"/>
        </tpls>
      </m>
      <m>
        <tpls c="4">
          <tpl fld="0" item="96"/>
          <tpl hier="3" item="3"/>
          <tpl fld="2" item="2"/>
          <tpl fld="1" item="0"/>
        </tpls>
      </m>
      <m>
        <tpls c="4">
          <tpl fld="0" item="96"/>
          <tpl hier="3" item="3"/>
          <tpl fld="2" item="2"/>
          <tpl fld="1" item="1"/>
        </tpls>
      </m>
      <m>
        <tpls c="4">
          <tpl fld="0" item="97"/>
          <tpl hier="3" item="3"/>
          <tpl fld="2" item="1"/>
          <tpl fld="1" item="0"/>
        </tpls>
      </m>
      <m>
        <tpls c="4">
          <tpl fld="0" item="97"/>
          <tpl hier="3" item="3"/>
          <tpl fld="2" item="1"/>
          <tpl fld="1" item="1"/>
        </tpls>
      </m>
      <n v="87527" in="0">
        <tpls c="4">
          <tpl fld="0" item="98"/>
          <tpl hier="3" item="3"/>
          <tpl fld="2" item="0"/>
          <tpl fld="1" item="0"/>
        </tpls>
      </n>
      <n v="2800" in="0">
        <tpls c="4">
          <tpl fld="0" item="98"/>
          <tpl hier="3" item="3"/>
          <tpl fld="2" item="0"/>
          <tpl fld="1" item="1"/>
        </tpls>
      </n>
      <m>
        <tpls c="4">
          <tpl fld="0" item="99"/>
          <tpl hier="3" item="3"/>
          <tpl fld="2" item="0"/>
          <tpl fld="1" item="0"/>
        </tpls>
      </m>
      <m>
        <tpls c="4">
          <tpl fld="0" item="99"/>
          <tpl hier="3" item="3"/>
          <tpl fld="2" item="0"/>
          <tpl fld="1" item="1"/>
        </tpls>
      </m>
      <m>
        <tpls c="4">
          <tpl fld="0" item="100"/>
          <tpl hier="3" item="3"/>
          <tpl fld="2" item="1"/>
          <tpl fld="1" item="0"/>
        </tpls>
      </m>
      <m>
        <tpls c="4">
          <tpl fld="0" item="100"/>
          <tpl hier="3" item="3"/>
          <tpl fld="2" item="1"/>
          <tpl fld="1" item="1"/>
        </tpls>
      </m>
      <m>
        <tpls c="4">
          <tpl fld="0" item="101"/>
          <tpl hier="3" item="3"/>
          <tpl fld="2" item="0"/>
          <tpl fld="1" item="0"/>
        </tpls>
      </m>
      <m>
        <tpls c="4">
          <tpl fld="0" item="101"/>
          <tpl hier="3" item="3"/>
          <tpl fld="2" item="0"/>
          <tpl fld="1" item="1"/>
        </tpls>
      </m>
      <m>
        <tpls c="4">
          <tpl fld="0" item="102"/>
          <tpl hier="3" item="3"/>
          <tpl fld="2" item="0"/>
          <tpl fld="1" item="0"/>
        </tpls>
      </m>
      <m>
        <tpls c="4">
          <tpl fld="0" item="102"/>
          <tpl hier="3" item="3"/>
          <tpl fld="2" item="0"/>
          <tpl fld="1" item="1"/>
        </tpls>
      </m>
      <m>
        <tpls c="4">
          <tpl fld="0" item="103"/>
          <tpl hier="3" item="3"/>
          <tpl fld="2" item="1"/>
          <tpl fld="1" item="0"/>
        </tpls>
      </m>
      <m>
        <tpls c="4">
          <tpl fld="0" item="103"/>
          <tpl hier="3" item="3"/>
          <tpl fld="2" item="1"/>
          <tpl fld="1" item="1"/>
        </tpls>
      </m>
      <m>
        <tpls c="4">
          <tpl fld="0" item="104"/>
          <tpl hier="3" item="3"/>
          <tpl fld="2" item="0"/>
          <tpl fld="1" item="0"/>
        </tpls>
      </m>
      <m>
        <tpls c="4">
          <tpl fld="0" item="104"/>
          <tpl hier="3" item="3"/>
          <tpl fld="2" item="0"/>
          <tpl fld="1" item="1"/>
        </tpls>
      </m>
      <m>
        <tpls c="4">
          <tpl fld="0" item="105"/>
          <tpl hier="3" item="3"/>
          <tpl fld="2" item="2"/>
          <tpl fld="1" item="0"/>
        </tpls>
      </m>
      <m>
        <tpls c="4">
          <tpl fld="0" item="105"/>
          <tpl hier="3" item="3"/>
          <tpl fld="2" item="2"/>
          <tpl fld="1" item="1"/>
        </tpls>
      </m>
      <m>
        <tpls c="4">
          <tpl fld="0" item="106"/>
          <tpl hier="3" item="3"/>
          <tpl fld="2" item="0"/>
          <tpl fld="1" item="0"/>
        </tpls>
      </m>
      <m>
        <tpls c="4">
          <tpl fld="0" item="106"/>
          <tpl hier="3" item="3"/>
          <tpl fld="2" item="0"/>
          <tpl fld="1" item="1"/>
        </tpls>
      </m>
      <n v="69951" in="0">
        <tpls c="4">
          <tpl fld="0" item="107"/>
          <tpl hier="3" item="3"/>
          <tpl fld="2" item="0"/>
          <tpl fld="1" item="0"/>
        </tpls>
      </n>
      <n v="2800" in="0">
        <tpls c="4">
          <tpl fld="0" item="107"/>
          <tpl hier="3" item="3"/>
          <tpl fld="2" item="0"/>
          <tpl fld="1" item="1"/>
        </tpls>
      </n>
      <m>
        <tpls c="4">
          <tpl fld="0" item="108"/>
          <tpl hier="3" item="3"/>
          <tpl fld="2" item="1"/>
          <tpl fld="1" item="0"/>
        </tpls>
      </m>
      <m>
        <tpls c="4">
          <tpl fld="0" item="108"/>
          <tpl hier="3" item="3"/>
          <tpl fld="2" item="1"/>
          <tpl fld="1" item="1"/>
        </tpls>
      </m>
      <n v="164050" in="0">
        <tpls c="4">
          <tpl fld="0" item="109"/>
          <tpl hier="3" item="3"/>
          <tpl fld="2" item="1"/>
          <tpl fld="1" item="0"/>
        </tpls>
      </n>
      <n v="6750" in="0">
        <tpls c="4">
          <tpl fld="0" item="109"/>
          <tpl hier="3" item="3"/>
          <tpl fld="2" item="1"/>
          <tpl fld="1" item="1"/>
        </tpls>
      </n>
      <m>
        <tpls c="4">
          <tpl fld="0" item="110"/>
          <tpl hier="3" item="3"/>
          <tpl fld="2" item="1"/>
          <tpl fld="1" item="0"/>
        </tpls>
      </m>
      <m>
        <tpls c="4">
          <tpl fld="0" item="110"/>
          <tpl hier="3" item="3"/>
          <tpl fld="2" item="1"/>
          <tpl fld="1" item="1"/>
        </tpls>
      </m>
      <m>
        <tpls c="4">
          <tpl fld="0" item="111"/>
          <tpl hier="3" item="3"/>
          <tpl fld="2" item="1"/>
          <tpl fld="1" item="0"/>
        </tpls>
      </m>
      <m>
        <tpls c="4">
          <tpl fld="0" item="111"/>
          <tpl hier="3" item="3"/>
          <tpl fld="2" item="1"/>
          <tpl fld="1" item="1"/>
        </tpls>
      </m>
      <m>
        <tpls c="4">
          <tpl fld="0" item="112"/>
          <tpl hier="3" item="3"/>
          <tpl fld="2" item="1"/>
          <tpl fld="1" item="0"/>
        </tpls>
      </m>
      <m>
        <tpls c="4">
          <tpl fld="0" item="112"/>
          <tpl hier="3" item="3"/>
          <tpl fld="2" item="1"/>
          <tpl fld="1" item="1"/>
        </tpls>
      </m>
      <m>
        <tpls c="4">
          <tpl fld="0" item="113"/>
          <tpl hier="3" item="3"/>
          <tpl fld="2" item="0"/>
          <tpl fld="1" item="0"/>
        </tpls>
      </m>
      <m>
        <tpls c="4">
          <tpl fld="0" item="113"/>
          <tpl hier="3" item="3"/>
          <tpl fld="2" item="0"/>
          <tpl fld="1" item="1"/>
        </tpls>
      </m>
      <n v="185684" in="0">
        <tpls c="4">
          <tpl fld="0" item="114"/>
          <tpl hier="3" item="3"/>
          <tpl fld="2" item="1"/>
          <tpl fld="1" item="0"/>
        </tpls>
      </n>
      <n v="9000" in="0">
        <tpls c="4">
          <tpl fld="0" item="114"/>
          <tpl hier="3" item="3"/>
          <tpl fld="2" item="1"/>
          <tpl fld="1" item="1"/>
        </tpls>
      </n>
      <m>
        <tpls c="4">
          <tpl fld="0" item="115"/>
          <tpl hier="3" item="3"/>
          <tpl fld="2" item="0"/>
          <tpl fld="1" item="0"/>
        </tpls>
      </m>
      <m>
        <tpls c="4">
          <tpl fld="0" item="115"/>
          <tpl hier="3" item="3"/>
          <tpl fld="2" item="0"/>
          <tpl fld="1" item="1"/>
        </tpls>
      </m>
      <n v="163898" in="0">
        <tpls c="4">
          <tpl fld="0" item="116"/>
          <tpl hier="3" item="3"/>
          <tpl fld="2" item="1"/>
          <tpl fld="1" item="0"/>
        </tpls>
      </n>
      <n v="9000" in="0">
        <tpls c="4">
          <tpl fld="0" item="116"/>
          <tpl hier="3" item="3"/>
          <tpl fld="2" item="1"/>
          <tpl fld="1" item="1"/>
        </tpls>
      </n>
      <m>
        <tpls c="4">
          <tpl fld="0" item="117"/>
          <tpl hier="3" item="3"/>
          <tpl fld="2" item="1"/>
          <tpl fld="1" item="0"/>
        </tpls>
      </m>
      <m>
        <tpls c="4">
          <tpl fld="0" item="117"/>
          <tpl hier="3" item="3"/>
          <tpl fld="2" item="1"/>
          <tpl fld="1" item="1"/>
        </tpls>
      </m>
      <m>
        <tpls c="4">
          <tpl fld="0" item="118"/>
          <tpl hier="3" item="3"/>
          <tpl fld="2" item="0"/>
          <tpl fld="1" item="0"/>
        </tpls>
      </m>
      <m>
        <tpls c="4">
          <tpl fld="0" item="118"/>
          <tpl hier="3" item="3"/>
          <tpl fld="2" item="0"/>
          <tpl fld="1" item="1"/>
        </tpls>
      </m>
      <m>
        <tpls c="4">
          <tpl fld="0" item="119"/>
          <tpl hier="3" item="3"/>
          <tpl fld="2" item="0"/>
          <tpl fld="1" item="0"/>
        </tpls>
      </m>
      <m>
        <tpls c="4">
          <tpl fld="0" item="119"/>
          <tpl hier="3" item="3"/>
          <tpl fld="2" item="0"/>
          <tpl fld="1" item="1"/>
        </tpls>
      </m>
      <m>
        <tpls c="4">
          <tpl fld="0" item="120"/>
          <tpl hier="3" item="3"/>
          <tpl fld="2" item="0"/>
          <tpl fld="1" item="0"/>
        </tpls>
      </m>
      <m>
        <tpls c="4">
          <tpl fld="0" item="120"/>
          <tpl hier="3" item="3"/>
          <tpl fld="2" item="0"/>
          <tpl fld="1" item="1"/>
        </tpls>
      </m>
      <m>
        <tpls c="4">
          <tpl fld="0" item="121"/>
          <tpl hier="3" item="3"/>
          <tpl fld="2" item="0"/>
          <tpl fld="1" item="0"/>
        </tpls>
      </m>
      <m>
        <tpls c="4">
          <tpl fld="0" item="121"/>
          <tpl hier="3" item="3"/>
          <tpl fld="2" item="0"/>
          <tpl fld="1" item="1"/>
        </tpls>
      </m>
      <n v="166295" in="0">
        <tpls c="4">
          <tpl fld="0" item="122"/>
          <tpl hier="3" item="3"/>
          <tpl fld="2" item="1"/>
          <tpl fld="1" item="0"/>
        </tpls>
      </n>
      <n v="9000" in="0">
        <tpls c="4">
          <tpl fld="0" item="122"/>
          <tpl hier="3" item="3"/>
          <tpl fld="2" item="1"/>
          <tpl fld="1" item="1"/>
        </tpls>
      </n>
      <m>
        <tpls c="4">
          <tpl fld="0" item="123"/>
          <tpl hier="3" item="3"/>
          <tpl fld="2" item="1"/>
          <tpl fld="1" item="0"/>
        </tpls>
      </m>
      <m>
        <tpls c="4">
          <tpl fld="0" item="123"/>
          <tpl hier="3" item="3"/>
          <tpl fld="2" item="1"/>
          <tpl fld="1" item="1"/>
        </tpls>
      </m>
      <m>
        <tpls c="4">
          <tpl fld="0" item="124"/>
          <tpl hier="3" item="3"/>
          <tpl fld="2" item="2"/>
          <tpl fld="1" item="0"/>
        </tpls>
      </m>
      <m>
        <tpls c="4">
          <tpl fld="0" item="124"/>
          <tpl hier="3" item="3"/>
          <tpl fld="2" item="2"/>
          <tpl fld="1" item="1"/>
        </tpls>
      </m>
      <m>
        <tpls c="4">
          <tpl fld="0" item="125"/>
          <tpl hier="3" item="3"/>
          <tpl fld="2" item="0"/>
          <tpl fld="1" item="0"/>
        </tpls>
      </m>
      <m>
        <tpls c="4">
          <tpl fld="0" item="125"/>
          <tpl hier="3" item="3"/>
          <tpl fld="2" item="0"/>
          <tpl fld="1" item="1"/>
        </tpls>
      </m>
      <m>
        <tpls c="4">
          <tpl fld="0" item="126"/>
          <tpl hier="3" item="3"/>
          <tpl fld="2" item="0"/>
          <tpl fld="1" item="0"/>
        </tpls>
      </m>
      <m>
        <tpls c="4">
          <tpl fld="0" item="126"/>
          <tpl hier="3" item="3"/>
          <tpl fld="2" item="0"/>
          <tpl fld="1" item="1"/>
        </tpls>
      </m>
      <m>
        <tpls c="4">
          <tpl fld="0" item="127"/>
          <tpl hier="3" item="3"/>
          <tpl fld="2" item="0"/>
          <tpl fld="1" item="0"/>
        </tpls>
      </m>
      <m>
        <tpls c="4">
          <tpl fld="0" item="127"/>
          <tpl hier="3" item="3"/>
          <tpl fld="2" item="0"/>
          <tpl fld="1" item="1"/>
        </tpls>
      </m>
      <m>
        <tpls c="4">
          <tpl fld="0" item="128"/>
          <tpl hier="3" item="3"/>
          <tpl fld="2" item="0"/>
          <tpl fld="1" item="0"/>
        </tpls>
      </m>
      <m>
        <tpls c="4">
          <tpl fld="0" item="128"/>
          <tpl hier="3" item="3"/>
          <tpl fld="2" item="0"/>
          <tpl fld="1" item="1"/>
        </tpls>
      </m>
      <n v="90307" in="0">
        <tpls c="4">
          <tpl fld="0" item="129"/>
          <tpl hier="3" item="3"/>
          <tpl fld="2" item="0"/>
          <tpl fld="1" item="0"/>
        </tpls>
      </n>
      <n v="4200" in="0">
        <tpls c="4">
          <tpl fld="0" item="129"/>
          <tpl hier="3" item="3"/>
          <tpl fld="2" item="0"/>
          <tpl fld="1" item="1"/>
        </tpls>
      </n>
      <m>
        <tpls c="4">
          <tpl fld="0" item="130"/>
          <tpl hier="3" item="3"/>
          <tpl fld="2" item="1"/>
          <tpl fld="1" item="0"/>
        </tpls>
      </m>
      <m>
        <tpls c="4">
          <tpl fld="0" item="130"/>
          <tpl hier="3" item="3"/>
          <tpl fld="2" item="1"/>
          <tpl fld="1" item="1"/>
        </tpls>
      </m>
      <m>
        <tpls c="4">
          <tpl fld="0" item="131"/>
          <tpl hier="3" item="3"/>
          <tpl fld="2" item="0"/>
          <tpl fld="1" item="0"/>
        </tpls>
      </m>
      <m>
        <tpls c="4">
          <tpl fld="0" item="131"/>
          <tpl hier="3" item="3"/>
          <tpl fld="2" item="0"/>
          <tpl fld="1" item="1"/>
        </tpls>
      </m>
      <m>
        <tpls c="4">
          <tpl fld="0" item="132"/>
          <tpl hier="3" item="3"/>
          <tpl fld="2" item="0"/>
          <tpl fld="1" item="0"/>
        </tpls>
      </m>
      <m>
        <tpls c="4">
          <tpl fld="0" item="132"/>
          <tpl hier="3" item="3"/>
          <tpl fld="2" item="0"/>
          <tpl fld="1" item="1"/>
        </tpls>
      </m>
      <n v="143071" in="0">
        <tpls c="4">
          <tpl fld="0" item="133"/>
          <tpl hier="3" item="3"/>
          <tpl fld="2" item="1"/>
          <tpl fld="1" item="0"/>
        </tpls>
      </n>
      <n v="9000" in="0">
        <tpls c="4">
          <tpl fld="0" item="133"/>
          <tpl hier="3" item="3"/>
          <tpl fld="2" item="1"/>
          <tpl fld="1" item="1"/>
        </tpls>
      </n>
      <m>
        <tpls c="4">
          <tpl fld="0" item="134"/>
          <tpl hier="3" item="3"/>
          <tpl fld="2" item="0"/>
          <tpl fld="1" item="0"/>
        </tpls>
      </m>
      <m>
        <tpls c="4">
          <tpl fld="0" item="134"/>
          <tpl hier="3" item="3"/>
          <tpl fld="2" item="0"/>
          <tpl fld="1" item="1"/>
        </tpls>
      </m>
      <n v="217039" in="0">
        <tpls c="4">
          <tpl fld="0" item="135"/>
          <tpl hier="3" item="3"/>
          <tpl fld="2" item="1"/>
          <tpl fld="1" item="0"/>
        </tpls>
      </n>
      <n v="6750" in="0">
        <tpls c="4">
          <tpl fld="0" item="135"/>
          <tpl hier="3" item="3"/>
          <tpl fld="2" item="1"/>
          <tpl fld="1" item="1"/>
        </tpls>
      </n>
      <m>
        <tpls c="4">
          <tpl fld="0" item="136"/>
          <tpl hier="3" item="3"/>
          <tpl fld="2" item="1"/>
          <tpl fld="1" item="0"/>
        </tpls>
      </m>
      <m>
        <tpls c="4">
          <tpl fld="0" item="136"/>
          <tpl hier="3" item="3"/>
          <tpl fld="2" item="1"/>
          <tpl fld="1" item="1"/>
        </tpls>
      </m>
      <m>
        <tpls c="4">
          <tpl fld="0" item="137"/>
          <tpl hier="3" item="3"/>
          <tpl fld="2" item="0"/>
          <tpl fld="1" item="0"/>
        </tpls>
      </m>
      <m>
        <tpls c="4">
          <tpl fld="0" item="137"/>
          <tpl hier="3" item="3"/>
          <tpl fld="2" item="0"/>
          <tpl fld="1" item="1"/>
        </tpls>
      </m>
      <m>
        <tpls c="4">
          <tpl fld="0" item="138"/>
          <tpl hier="3" item="3"/>
          <tpl fld="2" item="0"/>
          <tpl fld="1" item="0"/>
        </tpls>
      </m>
      <m>
        <tpls c="4">
          <tpl fld="0" item="138"/>
          <tpl hier="3" item="3"/>
          <tpl fld="2" item="0"/>
          <tpl fld="1" item="1"/>
        </tpls>
      </m>
      <m>
        <tpls c="4">
          <tpl fld="0" item="139"/>
          <tpl hier="3" item="3"/>
          <tpl fld="2" item="0"/>
          <tpl fld="1" item="0"/>
        </tpls>
      </m>
      <m>
        <tpls c="4">
          <tpl fld="0" item="139"/>
          <tpl hier="3" item="3"/>
          <tpl fld="2" item="0"/>
          <tpl fld="1" item="1"/>
        </tpls>
      </m>
      <m>
        <tpls c="4">
          <tpl fld="0" item="140"/>
          <tpl hier="3" item="3"/>
          <tpl fld="2" item="2"/>
          <tpl fld="1" item="0"/>
        </tpls>
      </m>
      <m>
        <tpls c="4">
          <tpl fld="0" item="140"/>
          <tpl hier="3" item="3"/>
          <tpl fld="2" item="2"/>
          <tpl fld="1" item="1"/>
        </tpls>
      </m>
      <m>
        <tpls c="4">
          <tpl fld="0" item="141"/>
          <tpl hier="3" item="3"/>
          <tpl fld="2" item="1"/>
          <tpl fld="1" item="0"/>
        </tpls>
      </m>
      <m>
        <tpls c="4">
          <tpl fld="0" item="141"/>
          <tpl hier="3" item="3"/>
          <tpl fld="2" item="1"/>
          <tpl fld="1" item="1"/>
        </tpls>
      </m>
      <m>
        <tpls c="4">
          <tpl fld="0" item="142"/>
          <tpl hier="3" item="3"/>
          <tpl fld="2" item="0"/>
          <tpl fld="1" item="0"/>
        </tpls>
      </m>
      <m>
        <tpls c="4">
          <tpl fld="0" item="142"/>
          <tpl hier="3" item="3"/>
          <tpl fld="2" item="0"/>
          <tpl fld="1" item="1"/>
        </tpls>
      </m>
      <m>
        <tpls c="4">
          <tpl fld="0" item="143"/>
          <tpl hier="3" item="3"/>
          <tpl fld="2" item="2"/>
          <tpl fld="1" item="0"/>
        </tpls>
      </m>
      <m>
        <tpls c="4">
          <tpl fld="0" item="143"/>
          <tpl hier="3" item="3"/>
          <tpl fld="2" item="2"/>
          <tpl fld="1" item="1"/>
        </tpls>
      </m>
      <n v="83350" in="0">
        <tpls c="4">
          <tpl fld="0" item="144"/>
          <tpl hier="3" item="3"/>
          <tpl fld="2" item="0"/>
          <tpl fld="1" item="0"/>
        </tpls>
      </n>
      <n v="2800" in="0">
        <tpls c="4">
          <tpl fld="0" item="144"/>
          <tpl hier="3" item="3"/>
          <tpl fld="2" item="0"/>
          <tpl fld="1" item="1"/>
        </tpls>
      </n>
      <m>
        <tpls c="4">
          <tpl fld="0" item="145"/>
          <tpl hier="3" item="3"/>
          <tpl fld="2" item="1"/>
          <tpl fld="1" item="0"/>
        </tpls>
      </m>
      <m>
        <tpls c="4">
          <tpl fld="0" item="145"/>
          <tpl hier="3" item="3"/>
          <tpl fld="2" item="1"/>
          <tpl fld="1" item="1"/>
        </tpls>
      </m>
      <m>
        <tpls c="4">
          <tpl fld="0" item="146"/>
          <tpl hier="3" item="3"/>
          <tpl fld="2" item="0"/>
          <tpl fld="1" item="0"/>
        </tpls>
      </m>
      <m>
        <tpls c="4">
          <tpl fld="0" item="146"/>
          <tpl hier="3" item="3"/>
          <tpl fld="2" item="0"/>
          <tpl fld="1" item="1"/>
        </tpls>
      </m>
      <m>
        <tpls c="4">
          <tpl fld="0" item="147"/>
          <tpl hier="3" item="3"/>
          <tpl fld="2" item="0"/>
          <tpl fld="1" item="0"/>
        </tpls>
      </m>
      <m>
        <tpls c="4">
          <tpl fld="0" item="147"/>
          <tpl hier="3" item="3"/>
          <tpl fld="2" item="0"/>
          <tpl fld="1" item="1"/>
        </tpls>
      </m>
      <m>
        <tpls c="4">
          <tpl fld="0" item="148"/>
          <tpl hier="3" item="3"/>
          <tpl fld="2" item="0"/>
          <tpl fld="1" item="0"/>
        </tpls>
      </m>
      <m>
        <tpls c="4">
          <tpl fld="0" item="148"/>
          <tpl hier="3" item="3"/>
          <tpl fld="2" item="0"/>
          <tpl fld="1" item="1"/>
        </tpls>
      </m>
      <m>
        <tpls c="4">
          <tpl fld="0" item="149"/>
          <tpl hier="3" item="3"/>
          <tpl fld="2" item="1"/>
          <tpl fld="1" item="0"/>
        </tpls>
      </m>
      <m>
        <tpls c="4">
          <tpl fld="0" item="149"/>
          <tpl hier="3" item="3"/>
          <tpl fld="2" item="1"/>
          <tpl fld="1" item="1"/>
        </tpls>
      </m>
      <m>
        <tpls c="4">
          <tpl fld="0" item="150"/>
          <tpl hier="3" item="3"/>
          <tpl fld="2" item="0"/>
          <tpl fld="1" item="0"/>
        </tpls>
      </m>
      <m>
        <tpls c="4">
          <tpl fld="0" item="150"/>
          <tpl hier="3" item="3"/>
          <tpl fld="2" item="0"/>
          <tpl fld="1" item="1"/>
        </tpls>
      </m>
      <n v="137648" in="0">
        <tpls c="4">
          <tpl fld="0" item="151"/>
          <tpl hier="3" item="3"/>
          <tpl fld="2" item="1"/>
          <tpl fld="1" item="0"/>
        </tpls>
      </n>
      <n v="9000" in="0">
        <tpls c="4">
          <tpl fld="0" item="151"/>
          <tpl hier="3" item="3"/>
          <tpl fld="2" item="1"/>
          <tpl fld="1" item="1"/>
        </tpls>
      </n>
      <m>
        <tpls c="4">
          <tpl fld="0" item="152"/>
          <tpl hier="3" item="3"/>
          <tpl fld="2" item="1"/>
          <tpl fld="1" item="0"/>
        </tpls>
      </m>
      <m>
        <tpls c="4">
          <tpl fld="0" item="152"/>
          <tpl hier="3" item="3"/>
          <tpl fld="2" item="1"/>
          <tpl fld="1" item="1"/>
        </tpls>
      </m>
      <m>
        <tpls c="4">
          <tpl fld="0" item="153"/>
          <tpl hier="3" item="3"/>
          <tpl fld="2" item="0"/>
          <tpl fld="1" item="0"/>
        </tpls>
      </m>
      <m>
        <tpls c="4">
          <tpl fld="0" item="153"/>
          <tpl hier="3" item="3"/>
          <tpl fld="2" item="0"/>
          <tpl fld="1" item="1"/>
        </tpls>
      </m>
      <m>
        <tpls c="4">
          <tpl fld="0" item="154"/>
          <tpl hier="3" item="3"/>
          <tpl fld="2" item="1"/>
          <tpl fld="1" item="0"/>
        </tpls>
      </m>
      <m>
        <tpls c="4">
          <tpl fld="0" item="154"/>
          <tpl hier="3" item="3"/>
          <tpl fld="2" item="1"/>
          <tpl fld="1" item="1"/>
        </tpls>
      </m>
      <n v="93986" in="0">
        <tpls c="4">
          <tpl fld="0" item="155"/>
          <tpl hier="3" item="3"/>
          <tpl fld="2" item="0"/>
          <tpl fld="1" item="0"/>
        </tpls>
      </n>
      <n v="2800" in="0">
        <tpls c="4">
          <tpl fld="0" item="155"/>
          <tpl hier="3" item="3"/>
          <tpl fld="2" item="0"/>
          <tpl fld="1" item="1"/>
        </tpls>
      </n>
      <n v="131020" in="0">
        <tpls c="4">
          <tpl fld="0" item="156"/>
          <tpl hier="3" item="3"/>
          <tpl fld="2" item="1"/>
          <tpl fld="1" item="0"/>
        </tpls>
      </n>
      <n v="9000" in="0">
        <tpls c="4">
          <tpl fld="0" item="156"/>
          <tpl hier="3" item="3"/>
          <tpl fld="2" item="1"/>
          <tpl fld="1" item="1"/>
        </tpls>
      </n>
      <m>
        <tpls c="4">
          <tpl fld="0" item="157"/>
          <tpl hier="3" item="3"/>
          <tpl fld="2" item="1"/>
          <tpl fld="1" item="0"/>
        </tpls>
      </m>
      <m>
        <tpls c="4">
          <tpl fld="0" item="157"/>
          <tpl hier="3" item="3"/>
          <tpl fld="2" item="1"/>
          <tpl fld="1" item="1"/>
        </tpls>
      </m>
      <m>
        <tpls c="4">
          <tpl fld="0" item="158"/>
          <tpl hier="3" item="3"/>
          <tpl fld="2" item="0"/>
          <tpl fld="1" item="0"/>
        </tpls>
      </m>
      <m>
        <tpls c="4">
          <tpl fld="0" item="158"/>
          <tpl hier="3" item="3"/>
          <tpl fld="2" item="0"/>
          <tpl fld="1" item="1"/>
        </tpls>
      </m>
      <m>
        <tpls c="4">
          <tpl fld="0" item="159"/>
          <tpl hier="3" item="3"/>
          <tpl fld="2" item="2"/>
          <tpl fld="1" item="0"/>
        </tpls>
      </m>
      <m>
        <tpls c="4">
          <tpl fld="0" item="159"/>
          <tpl hier="3" item="3"/>
          <tpl fld="2" item="2"/>
          <tpl fld="1" item="1"/>
        </tpls>
      </m>
      <m>
        <tpls c="4">
          <tpl fld="0" item="160"/>
          <tpl hier="3" item="3"/>
          <tpl fld="2" item="1"/>
          <tpl fld="1" item="0"/>
        </tpls>
      </m>
      <m>
        <tpls c="4">
          <tpl fld="0" item="160"/>
          <tpl hier="3" item="3"/>
          <tpl fld="2" item="1"/>
          <tpl fld="1" item="1"/>
        </tpls>
      </m>
      <m>
        <tpls c="4">
          <tpl fld="0" item="161"/>
          <tpl hier="3" item="3"/>
          <tpl fld="2" item="0"/>
          <tpl fld="1" item="0"/>
        </tpls>
      </m>
      <m>
        <tpls c="4">
          <tpl fld="0" item="161"/>
          <tpl hier="3" item="3"/>
          <tpl fld="2" item="0"/>
          <tpl fld="1" item="1"/>
        </tpls>
      </m>
      <n v="72971" in="0">
        <tpls c="4">
          <tpl fld="0" item="162"/>
          <tpl hier="3" item="3"/>
          <tpl fld="2" item="0"/>
          <tpl fld="1" item="0"/>
        </tpls>
      </n>
      <n v="2800" in="0">
        <tpls c="4">
          <tpl fld="0" item="162"/>
          <tpl hier="3" item="3"/>
          <tpl fld="2" item="0"/>
          <tpl fld="1" item="1"/>
        </tpls>
      </n>
      <m>
        <tpls c="4">
          <tpl fld="0" item="163"/>
          <tpl hier="3" item="3"/>
          <tpl fld="2" item="2"/>
          <tpl fld="1" item="0"/>
        </tpls>
      </m>
      <m>
        <tpls c="4">
          <tpl fld="0" item="163"/>
          <tpl hier="3" item="3"/>
          <tpl fld="2" item="2"/>
          <tpl fld="1" item="1"/>
        </tpls>
      </m>
      <m>
        <tpls c="4">
          <tpl fld="0" item="164"/>
          <tpl hier="3" item="3"/>
          <tpl fld="2" item="1"/>
          <tpl fld="1" item="0"/>
        </tpls>
      </m>
      <m>
        <tpls c="4">
          <tpl fld="0" item="164"/>
          <tpl hier="3" item="3"/>
          <tpl fld="2" item="1"/>
          <tpl fld="1" item="1"/>
        </tpls>
      </m>
      <m>
        <tpls c="4">
          <tpl fld="0" item="165"/>
          <tpl hier="3" item="3"/>
          <tpl fld="2" item="1"/>
          <tpl fld="1" item="0"/>
        </tpls>
      </m>
      <m>
        <tpls c="4">
          <tpl fld="0" item="165"/>
          <tpl hier="3" item="3"/>
          <tpl fld="2" item="1"/>
          <tpl fld="1" item="1"/>
        </tpls>
      </m>
      <m>
        <tpls c="4">
          <tpl fld="0" item="166"/>
          <tpl hier="3" item="3"/>
          <tpl fld="2" item="2"/>
          <tpl fld="1" item="0"/>
        </tpls>
      </m>
      <m>
        <tpls c="4">
          <tpl fld="0" item="166"/>
          <tpl hier="3" item="3"/>
          <tpl fld="2" item="2"/>
          <tpl fld="1" item="1"/>
        </tpls>
      </m>
      <n v="112943" in="0">
        <tpls c="4">
          <tpl fld="0" item="167"/>
          <tpl hier="3" item="3"/>
          <tpl fld="2" item="0"/>
          <tpl fld="1" item="0"/>
        </tpls>
      </n>
      <n v="2800" in="0">
        <tpls c="4">
          <tpl fld="0" item="167"/>
          <tpl hier="3" item="3"/>
          <tpl fld="2" item="0"/>
          <tpl fld="1" item="1"/>
        </tpls>
      </n>
      <n v="77431" in="0">
        <tpls c="4">
          <tpl fld="0" item="168"/>
          <tpl hier="3" item="3"/>
          <tpl fld="2" item="0"/>
          <tpl fld="1" item="0"/>
        </tpls>
      </n>
      <n v="2800" in="0">
        <tpls c="4">
          <tpl fld="0" item="168"/>
          <tpl hier="3" item="3"/>
          <tpl fld="2" item="0"/>
          <tpl fld="1" item="1"/>
        </tpls>
      </n>
      <m>
        <tpls c="4">
          <tpl fld="0" item="169"/>
          <tpl hier="3" item="3"/>
          <tpl fld="2" item="1"/>
          <tpl fld="1" item="0"/>
        </tpls>
      </m>
      <m>
        <tpls c="4">
          <tpl fld="0" item="169"/>
          <tpl hier="3" item="3"/>
          <tpl fld="2" item="1"/>
          <tpl fld="1" item="1"/>
        </tpls>
      </m>
      <m>
        <tpls c="4">
          <tpl fld="0" item="170"/>
          <tpl hier="3" item="3"/>
          <tpl fld="2" item="0"/>
          <tpl fld="1" item="0"/>
        </tpls>
      </m>
      <m>
        <tpls c="4">
          <tpl fld="0" item="170"/>
          <tpl hier="3" item="3"/>
          <tpl fld="2" item="0"/>
          <tpl fld="1" item="1"/>
        </tpls>
      </m>
      <m>
        <tpls c="4">
          <tpl fld="0" item="171"/>
          <tpl hier="3" item="3"/>
          <tpl fld="2" item="1"/>
          <tpl fld="1" item="0"/>
        </tpls>
      </m>
      <m>
        <tpls c="4">
          <tpl fld="0" item="171"/>
          <tpl hier="3" item="3"/>
          <tpl fld="2" item="1"/>
          <tpl fld="1" item="1"/>
        </tpls>
      </m>
      <n v="96342" in="0">
        <tpls c="4">
          <tpl fld="0" item="172"/>
          <tpl hier="3" item="3"/>
          <tpl fld="2" item="0"/>
          <tpl fld="1" item="0"/>
        </tpls>
      </n>
      <n v="4200" in="0">
        <tpls c="4">
          <tpl fld="0" item="172"/>
          <tpl hier="3" item="3"/>
          <tpl fld="2" item="0"/>
          <tpl fld="1" item="1"/>
        </tpls>
      </n>
      <m>
        <tpls c="4">
          <tpl fld="0" item="173"/>
          <tpl hier="3" item="3"/>
          <tpl fld="2" item="1"/>
          <tpl fld="1" item="0"/>
        </tpls>
      </m>
      <m>
        <tpls c="4">
          <tpl fld="0" item="173"/>
          <tpl hier="3" item="3"/>
          <tpl fld="2" item="1"/>
          <tpl fld="1" item="1"/>
        </tpls>
      </m>
      <m>
        <tpls c="4">
          <tpl fld="0" item="174"/>
          <tpl hier="3" item="3"/>
          <tpl fld="2" item="0"/>
          <tpl fld="1" item="0"/>
        </tpls>
      </m>
      <m>
        <tpls c="4">
          <tpl fld="0" item="174"/>
          <tpl hier="3" item="3"/>
          <tpl fld="2" item="0"/>
          <tpl fld="1" item="1"/>
        </tpls>
      </m>
      <m>
        <tpls c="4">
          <tpl fld="0" item="175"/>
          <tpl hier="3" item="3"/>
          <tpl fld="2" item="0"/>
          <tpl fld="1" item="0"/>
        </tpls>
      </m>
      <m>
        <tpls c="4">
          <tpl fld="0" item="175"/>
          <tpl hier="3" item="3"/>
          <tpl fld="2" item="0"/>
          <tpl fld="1" item="1"/>
        </tpls>
      </m>
      <n v="63516" in="0">
        <tpls c="4">
          <tpl fld="0" item="176"/>
          <tpl hier="3" item="3"/>
          <tpl fld="2" item="0"/>
          <tpl fld="1" item="0"/>
        </tpls>
      </n>
      <n v="4200" in="0">
        <tpls c="4">
          <tpl fld="0" item="176"/>
          <tpl hier="3" item="3"/>
          <tpl fld="2" item="0"/>
          <tpl fld="1" item="1"/>
        </tpls>
      </n>
      <n v="196154" in="0">
        <tpls c="4">
          <tpl fld="0" item="177"/>
          <tpl hier="3" item="3"/>
          <tpl fld="2" item="1"/>
          <tpl fld="1" item="0"/>
        </tpls>
      </n>
      <n v="6750" in="0">
        <tpls c="4">
          <tpl fld="0" item="177"/>
          <tpl hier="3" item="3"/>
          <tpl fld="2" item="1"/>
          <tpl fld="1" item="1"/>
        </tpls>
      </n>
      <m>
        <tpls c="4">
          <tpl fld="0" item="178"/>
          <tpl hier="3" item="3"/>
          <tpl fld="2" item="1"/>
          <tpl fld="1" item="0"/>
        </tpls>
      </m>
      <m>
        <tpls c="4">
          <tpl fld="0" item="178"/>
          <tpl hier="3" item="3"/>
          <tpl fld="2" item="1"/>
          <tpl fld="1" item="1"/>
        </tpls>
      </m>
      <m>
        <tpls c="4">
          <tpl fld="0" item="179"/>
          <tpl hier="3" item="3"/>
          <tpl fld="2" item="0"/>
          <tpl fld="1" item="0"/>
        </tpls>
      </m>
      <m>
        <tpls c="4">
          <tpl fld="0" item="179"/>
          <tpl hier="3" item="3"/>
          <tpl fld="2" item="0"/>
          <tpl fld="1" item="1"/>
        </tpls>
      </m>
      <m>
        <tpls c="4">
          <tpl fld="0" item="180"/>
          <tpl hier="3" item="3"/>
          <tpl fld="2" item="1"/>
          <tpl fld="1" item="0"/>
        </tpls>
      </m>
      <m>
        <tpls c="4">
          <tpl fld="0" item="180"/>
          <tpl hier="3" item="3"/>
          <tpl fld="2" item="1"/>
          <tpl fld="1" item="1"/>
        </tpls>
      </m>
      <m>
        <tpls c="4">
          <tpl fld="0" item="181"/>
          <tpl hier="3" item="3"/>
          <tpl fld="2" item="1"/>
          <tpl fld="1" item="0"/>
        </tpls>
      </m>
      <m>
        <tpls c="4">
          <tpl fld="0" item="181"/>
          <tpl hier="3" item="3"/>
          <tpl fld="2" item="1"/>
          <tpl fld="1" item="1"/>
        </tpls>
      </m>
      <m>
        <tpls c="4">
          <tpl fld="0" item="182"/>
          <tpl hier="3" item="3"/>
          <tpl fld="2" item="0"/>
          <tpl fld="1" item="0"/>
        </tpls>
      </m>
      <m>
        <tpls c="4">
          <tpl fld="0" item="182"/>
          <tpl hier="3" item="3"/>
          <tpl fld="2" item="0"/>
          <tpl fld="1" item="1"/>
        </tpls>
      </m>
      <n v="115432" in="0">
        <tpls c="4">
          <tpl fld="0" item="183"/>
          <tpl hier="3" item="3"/>
          <tpl fld="2" item="0"/>
          <tpl fld="1" item="0"/>
        </tpls>
      </n>
      <n v="4200" in="0">
        <tpls c="4">
          <tpl fld="0" item="183"/>
          <tpl hier="3" item="3"/>
          <tpl fld="2" item="0"/>
          <tpl fld="1" item="1"/>
        </tpls>
      </n>
      <m>
        <tpls c="4">
          <tpl fld="0" item="184"/>
          <tpl hier="3" item="3"/>
          <tpl fld="2" item="0"/>
          <tpl fld="1" item="0"/>
        </tpls>
      </m>
      <m>
        <tpls c="4">
          <tpl fld="0" item="184"/>
          <tpl hier="3" item="3"/>
          <tpl fld="2" item="0"/>
          <tpl fld="1" item="1"/>
        </tpls>
      </m>
      <m>
        <tpls c="4">
          <tpl fld="0" item="185"/>
          <tpl hier="3" item="3"/>
          <tpl fld="2" item="0"/>
          <tpl fld="1" item="0"/>
        </tpls>
      </m>
      <m>
        <tpls c="4">
          <tpl fld="0" item="185"/>
          <tpl hier="3" item="3"/>
          <tpl fld="2" item="0"/>
          <tpl fld="1" item="1"/>
        </tpls>
      </m>
      <m>
        <tpls c="4">
          <tpl fld="0" item="186"/>
          <tpl hier="3" item="3"/>
          <tpl fld="2" item="1"/>
          <tpl fld="1" item="0"/>
        </tpls>
      </m>
      <m>
        <tpls c="4">
          <tpl fld="0" item="186"/>
          <tpl hier="3" item="3"/>
          <tpl fld="2" item="1"/>
          <tpl fld="1" item="1"/>
        </tpls>
      </m>
      <m>
        <tpls c="4">
          <tpl fld="0" item="187"/>
          <tpl hier="3" item="3"/>
          <tpl fld="2" item="1"/>
          <tpl fld="1" item="0"/>
        </tpls>
      </m>
      <m>
        <tpls c="4">
          <tpl fld="0" item="187"/>
          <tpl hier="3" item="3"/>
          <tpl fld="2" item="1"/>
          <tpl fld="1" item="1"/>
        </tpls>
      </m>
      <m>
        <tpls c="4">
          <tpl fld="0" item="188"/>
          <tpl hier="3" item="3"/>
          <tpl fld="2" item="1"/>
          <tpl fld="1" item="0"/>
        </tpls>
      </m>
      <m>
        <tpls c="4">
          <tpl fld="0" item="188"/>
          <tpl hier="3" item="3"/>
          <tpl fld="2" item="1"/>
          <tpl fld="1" item="1"/>
        </tpls>
      </m>
      <m>
        <tpls c="4">
          <tpl fld="0" item="189"/>
          <tpl hier="3" item="3"/>
          <tpl fld="2" item="0"/>
          <tpl fld="1" item="0"/>
        </tpls>
      </m>
      <m>
        <tpls c="4">
          <tpl fld="0" item="189"/>
          <tpl hier="3" item="3"/>
          <tpl fld="2" item="0"/>
          <tpl fld="1" item="1"/>
        </tpls>
      </m>
      <m>
        <tpls c="4">
          <tpl fld="0" item="190"/>
          <tpl hier="3" item="3"/>
          <tpl fld="2" item="0"/>
          <tpl fld="1" item="0"/>
        </tpls>
      </m>
      <m>
        <tpls c="4">
          <tpl fld="0" item="190"/>
          <tpl hier="3" item="3"/>
          <tpl fld="2" item="0"/>
          <tpl fld="1" item="1"/>
        </tpls>
      </m>
      <m>
        <tpls c="4">
          <tpl fld="0" item="191"/>
          <tpl hier="3" item="3"/>
          <tpl fld="2" item="1"/>
          <tpl fld="1" item="0"/>
        </tpls>
      </m>
      <m>
        <tpls c="4">
          <tpl fld="0" item="191"/>
          <tpl hier="3" item="3"/>
          <tpl fld="2" item="1"/>
          <tpl fld="1" item="1"/>
        </tpls>
      </m>
      <m>
        <tpls c="4">
          <tpl fld="0" item="192"/>
          <tpl hier="3" item="3"/>
          <tpl fld="2" item="1"/>
          <tpl fld="1" item="0"/>
        </tpls>
      </m>
      <m>
        <tpls c="4">
          <tpl fld="0" item="192"/>
          <tpl hier="3" item="3"/>
          <tpl fld="2" item="1"/>
          <tpl fld="1" item="1"/>
        </tpls>
      </m>
      <m>
        <tpls c="4">
          <tpl fld="0" item="193"/>
          <tpl hier="3" item="3"/>
          <tpl fld="2" item="1"/>
          <tpl fld="1" item="0"/>
        </tpls>
      </m>
      <m>
        <tpls c="4">
          <tpl fld="0" item="193"/>
          <tpl hier="3" item="3"/>
          <tpl fld="2" item="1"/>
          <tpl fld="1" item="1"/>
        </tpls>
      </m>
      <m>
        <tpls c="4">
          <tpl fld="0" item="194"/>
          <tpl hier="3" item="3"/>
          <tpl fld="2" item="1"/>
          <tpl fld="1" item="0"/>
        </tpls>
      </m>
      <m>
        <tpls c="4">
          <tpl fld="0" item="194"/>
          <tpl hier="3" item="3"/>
          <tpl fld="2" item="1"/>
          <tpl fld="1" item="1"/>
        </tpls>
      </m>
      <m>
        <tpls c="4">
          <tpl fld="0" item="195"/>
          <tpl hier="3" item="3"/>
          <tpl fld="2" item="1"/>
          <tpl fld="1" item="0"/>
        </tpls>
      </m>
      <m>
        <tpls c="4">
          <tpl fld="0" item="195"/>
          <tpl hier="3" item="3"/>
          <tpl fld="2" item="1"/>
          <tpl fld="1" item="1"/>
        </tpls>
      </m>
      <n v="58861" in="0">
        <tpls c="4">
          <tpl fld="0" item="196"/>
          <tpl hier="3" item="3"/>
          <tpl fld="2" item="2"/>
          <tpl fld="1" item="0"/>
        </tpls>
      </n>
      <n v="1500" in="0">
        <tpls c="4">
          <tpl fld="0" item="196"/>
          <tpl hier="3" item="3"/>
          <tpl fld="2" item="2"/>
          <tpl fld="1" item="1"/>
        </tpls>
      </n>
      <n v="70001" in="0">
        <tpls c="4">
          <tpl fld="0" item="197"/>
          <tpl hier="3" item="3"/>
          <tpl fld="2" item="0"/>
          <tpl fld="1" item="0"/>
        </tpls>
      </n>
      <n v="2800" in="0">
        <tpls c="4">
          <tpl fld="0" item="197"/>
          <tpl hier="3" item="3"/>
          <tpl fld="2" item="0"/>
          <tpl fld="1" item="1"/>
        </tpls>
      </n>
      <m>
        <tpls c="4">
          <tpl fld="0" item="198"/>
          <tpl hier="3" item="3"/>
          <tpl fld="2" item="1"/>
          <tpl fld="1" item="0"/>
        </tpls>
      </m>
      <m>
        <tpls c="4">
          <tpl fld="0" item="198"/>
          <tpl hier="3" item="3"/>
          <tpl fld="2" item="1"/>
          <tpl fld="1" item="1"/>
        </tpls>
      </m>
      <m>
        <tpls c="4">
          <tpl fld="0" item="199"/>
          <tpl hier="3" item="3"/>
          <tpl fld="2" item="1"/>
          <tpl fld="1" item="0"/>
        </tpls>
      </m>
      <m>
        <tpls c="4">
          <tpl fld="0" item="199"/>
          <tpl hier="3" item="3"/>
          <tpl fld="2" item="1"/>
          <tpl fld="1" item="1"/>
        </tpls>
      </m>
      <m>
        <tpls c="4">
          <tpl fld="0" item="200"/>
          <tpl hier="3" item="3"/>
          <tpl fld="2" item="0"/>
          <tpl fld="1" item="0"/>
        </tpls>
      </m>
      <m>
        <tpls c="4">
          <tpl fld="0" item="200"/>
          <tpl hier="3" item="3"/>
          <tpl fld="2" item="0"/>
          <tpl fld="1" item="1"/>
        </tpls>
      </m>
      <n v="136179" in="0">
        <tpls c="4">
          <tpl fld="0" item="201"/>
          <tpl hier="3" item="3"/>
          <tpl fld="2" item="1"/>
          <tpl fld="1" item="0"/>
        </tpls>
      </n>
      <n v="9000" in="0">
        <tpls c="4">
          <tpl fld="0" item="201"/>
          <tpl hier="3" item="3"/>
          <tpl fld="2" item="1"/>
          <tpl fld="1" item="1"/>
        </tpls>
      </n>
      <m>
        <tpls c="4">
          <tpl fld="0" item="202"/>
          <tpl hier="3" item="3"/>
          <tpl fld="2" item="2"/>
          <tpl fld="1" item="0"/>
        </tpls>
      </m>
      <m>
        <tpls c="4">
          <tpl fld="0" item="202"/>
          <tpl hier="3" item="3"/>
          <tpl fld="2" item="2"/>
          <tpl fld="1" item="1"/>
        </tpls>
      </m>
      <m>
        <tpls c="4">
          <tpl fld="0" item="203"/>
          <tpl hier="3" item="3"/>
          <tpl fld="2" item="0"/>
          <tpl fld="1" item="0"/>
        </tpls>
      </m>
      <m>
        <tpls c="4">
          <tpl fld="0" item="203"/>
          <tpl hier="3" item="3"/>
          <tpl fld="2" item="0"/>
          <tpl fld="1" item="1"/>
        </tpls>
      </m>
      <m>
        <tpls c="4">
          <tpl fld="0" item="204"/>
          <tpl hier="3" item="3"/>
          <tpl fld="2" item="0"/>
          <tpl fld="1" item="0"/>
        </tpls>
      </m>
      <m>
        <tpls c="4">
          <tpl fld="0" item="204"/>
          <tpl hier="3" item="3"/>
          <tpl fld="2" item="0"/>
          <tpl fld="1" item="1"/>
        </tpls>
      </m>
      <m>
        <tpls c="4">
          <tpl fld="0" item="205"/>
          <tpl hier="3" item="3"/>
          <tpl fld="2" item="1"/>
          <tpl fld="1" item="0"/>
        </tpls>
      </m>
      <m>
        <tpls c="4">
          <tpl fld="0" item="205"/>
          <tpl hier="3" item="3"/>
          <tpl fld="2" item="1"/>
          <tpl fld="1" item="1"/>
        </tpls>
      </m>
      <m>
        <tpls c="4">
          <tpl fld="0" item="206"/>
          <tpl hier="3" item="3"/>
          <tpl fld="2" item="1"/>
          <tpl fld="1" item="0"/>
        </tpls>
      </m>
      <m>
        <tpls c="4">
          <tpl fld="0" item="206"/>
          <tpl hier="3" item="3"/>
          <tpl fld="2" item="1"/>
          <tpl fld="1" item="1"/>
        </tpls>
      </m>
      <m>
        <tpls c="4">
          <tpl fld="0" item="207"/>
          <tpl hier="3" item="3"/>
          <tpl fld="2" item="0"/>
          <tpl fld="1" item="0"/>
        </tpls>
      </m>
      <m>
        <tpls c="4">
          <tpl fld="0" item="207"/>
          <tpl hier="3" item="3"/>
          <tpl fld="2" item="0"/>
          <tpl fld="1" item="1"/>
        </tpls>
      </m>
      <m>
        <tpls c="4">
          <tpl fld="0" item="208"/>
          <tpl hier="3" item="3"/>
          <tpl fld="2" item="1"/>
          <tpl fld="1" item="0"/>
        </tpls>
      </m>
      <m>
        <tpls c="4">
          <tpl fld="0" item="208"/>
          <tpl hier="3" item="3"/>
          <tpl fld="2" item="1"/>
          <tpl fld="1" item="1"/>
        </tpls>
      </m>
      <m>
        <tpls c="4">
          <tpl fld="0" item="209"/>
          <tpl hier="3" item="3"/>
          <tpl fld="2" item="0"/>
          <tpl fld="1" item="0"/>
        </tpls>
      </m>
      <m>
        <tpls c="4">
          <tpl fld="0" item="209"/>
          <tpl hier="3" item="3"/>
          <tpl fld="2" item="0"/>
          <tpl fld="1" item="1"/>
        </tpls>
      </m>
      <m>
        <tpls c="4">
          <tpl fld="0" item="210"/>
          <tpl hier="3" item="3"/>
          <tpl fld="2" item="0"/>
          <tpl fld="1" item="0"/>
        </tpls>
      </m>
      <m>
        <tpls c="4">
          <tpl fld="0" item="210"/>
          <tpl hier="3" item="3"/>
          <tpl fld="2" item="0"/>
          <tpl fld="1" item="1"/>
        </tpls>
      </m>
      <n v="151206" in="0">
        <tpls c="4">
          <tpl fld="0" item="211"/>
          <tpl hier="3" item="3"/>
          <tpl fld="2" item="1"/>
          <tpl fld="1" item="0"/>
        </tpls>
      </n>
      <n v="9000" in="0">
        <tpls c="4">
          <tpl fld="0" item="211"/>
          <tpl hier="3" item="3"/>
          <tpl fld="2" item="1"/>
          <tpl fld="1" item="1"/>
        </tpls>
      </n>
      <m>
        <tpls c="4">
          <tpl fld="0" item="212"/>
          <tpl hier="3" item="3"/>
          <tpl fld="2" item="1"/>
          <tpl fld="1" item="0"/>
        </tpls>
      </m>
      <m>
        <tpls c="4">
          <tpl fld="0" item="212"/>
          <tpl hier="3" item="3"/>
          <tpl fld="2" item="1"/>
          <tpl fld="1" item="1"/>
        </tpls>
      </m>
      <m>
        <tpls c="4">
          <tpl fld="0" item="213"/>
          <tpl hier="3" item="3"/>
          <tpl fld="2" item="1"/>
          <tpl fld="1" item="0"/>
        </tpls>
      </m>
      <m>
        <tpls c="4">
          <tpl fld="0" item="213"/>
          <tpl hier="3" item="3"/>
          <tpl fld="2" item="1"/>
          <tpl fld="1" item="1"/>
        </tpls>
      </m>
      <m>
        <tpls c="4">
          <tpl fld="0" item="214"/>
          <tpl hier="3" item="3"/>
          <tpl fld="2" item="1"/>
          <tpl fld="1" item="0"/>
        </tpls>
      </m>
      <m>
        <tpls c="4">
          <tpl fld="0" item="214"/>
          <tpl hier="3" item="3"/>
          <tpl fld="2" item="1"/>
          <tpl fld="1" item="1"/>
        </tpls>
      </m>
      <n v="121080" in="0">
        <tpls c="4">
          <tpl fld="0" item="215"/>
          <tpl hier="3" item="3"/>
          <tpl fld="2" item="1"/>
          <tpl fld="1" item="0"/>
        </tpls>
      </n>
      <n v="9000" in="0">
        <tpls c="4">
          <tpl fld="0" item="215"/>
          <tpl hier="3" item="3"/>
          <tpl fld="2" item="1"/>
          <tpl fld="1" item="1"/>
        </tpls>
      </n>
      <m>
        <tpls c="4">
          <tpl fld="0" item="216"/>
          <tpl hier="3" item="3"/>
          <tpl fld="2" item="0"/>
          <tpl fld="1" item="0"/>
        </tpls>
      </m>
      <m>
        <tpls c="4">
          <tpl fld="0" item="216"/>
          <tpl hier="3" item="3"/>
          <tpl fld="2" item="0"/>
          <tpl fld="1" item="1"/>
        </tpls>
      </m>
      <m>
        <tpls c="4">
          <tpl fld="0" item="217"/>
          <tpl hier="3" item="3"/>
          <tpl fld="2" item="0"/>
          <tpl fld="1" item="0"/>
        </tpls>
      </m>
      <m>
        <tpls c="4">
          <tpl fld="0" item="217"/>
          <tpl hier="3" item="3"/>
          <tpl fld="2" item="0"/>
          <tpl fld="1" item="1"/>
        </tpls>
      </m>
      <m>
        <tpls c="4">
          <tpl fld="0" item="218"/>
          <tpl hier="3" item="3"/>
          <tpl fld="2" item="0"/>
          <tpl fld="1" item="0"/>
        </tpls>
      </m>
      <m>
        <tpls c="4">
          <tpl fld="0" item="218"/>
          <tpl hier="3" item="3"/>
          <tpl fld="2" item="0"/>
          <tpl fld="1" item="1"/>
        </tpls>
      </m>
      <n v="79394" in="0">
        <tpls c="4">
          <tpl fld="0" item="219"/>
          <tpl hier="3" item="3"/>
          <tpl fld="2" item="0"/>
          <tpl fld="1" item="0"/>
        </tpls>
      </n>
      <n v="2800" in="0">
        <tpls c="4">
          <tpl fld="0" item="219"/>
          <tpl hier="3" item="3"/>
          <tpl fld="2" item="0"/>
          <tpl fld="1" item="1"/>
        </tpls>
      </n>
      <m>
        <tpls c="4">
          <tpl fld="0" item="220"/>
          <tpl hier="3" item="3"/>
          <tpl fld="2" item="1"/>
          <tpl fld="1" item="0"/>
        </tpls>
      </m>
      <m>
        <tpls c="4">
          <tpl fld="0" item="220"/>
          <tpl hier="3" item="3"/>
          <tpl fld="2" item="1"/>
          <tpl fld="1" item="1"/>
        </tpls>
      </m>
      <n v="97141" in="0">
        <tpls c="4">
          <tpl fld="0" item="221"/>
          <tpl hier="3" item="3"/>
          <tpl fld="2" item="0"/>
          <tpl fld="1" item="0"/>
        </tpls>
      </n>
      <n v="4200" in="0">
        <tpls c="4">
          <tpl fld="0" item="221"/>
          <tpl hier="3" item="3"/>
          <tpl fld="2" item="0"/>
          <tpl fld="1" item="1"/>
        </tpls>
      </n>
      <m>
        <tpls c="4">
          <tpl fld="0" item="222"/>
          <tpl hier="3" item="3"/>
          <tpl fld="2" item="1"/>
          <tpl fld="1" item="0"/>
        </tpls>
      </m>
      <m>
        <tpls c="4">
          <tpl fld="0" item="222"/>
          <tpl hier="3" item="3"/>
          <tpl fld="2" item="1"/>
          <tpl fld="1" item="1"/>
        </tpls>
      </m>
      <m>
        <tpls c="4">
          <tpl fld="0" item="223"/>
          <tpl hier="3" item="3"/>
          <tpl fld="2" item="1"/>
          <tpl fld="1" item="0"/>
        </tpls>
      </m>
      <m>
        <tpls c="4">
          <tpl fld="0" item="223"/>
          <tpl hier="3" item="3"/>
          <tpl fld="2" item="1"/>
          <tpl fld="1" item="1"/>
        </tpls>
      </m>
      <m>
        <tpls c="4">
          <tpl fld="0" item="224"/>
          <tpl hier="3" item="3"/>
          <tpl fld="2" item="0"/>
          <tpl fld="1" item="0"/>
        </tpls>
      </m>
      <m>
        <tpls c="4">
          <tpl fld="0" item="224"/>
          <tpl hier="3" item="3"/>
          <tpl fld="2" item="0"/>
          <tpl fld="1" item="1"/>
        </tpls>
      </m>
      <m>
        <tpls c="4">
          <tpl fld="0" item="225"/>
          <tpl hier="3" item="3"/>
          <tpl fld="2" item="1"/>
          <tpl fld="1" item="0"/>
        </tpls>
      </m>
      <m>
        <tpls c="4">
          <tpl fld="0" item="225"/>
          <tpl hier="3" item="3"/>
          <tpl fld="2" item="1"/>
          <tpl fld="1" item="1"/>
        </tpls>
      </m>
      <m>
        <tpls c="4">
          <tpl fld="0" item="226"/>
          <tpl hier="3" item="3"/>
          <tpl fld="2" item="0"/>
          <tpl fld="1" item="0"/>
        </tpls>
      </m>
      <m>
        <tpls c="4">
          <tpl fld="0" item="226"/>
          <tpl hier="3" item="3"/>
          <tpl fld="2" item="0"/>
          <tpl fld="1" item="1"/>
        </tpls>
      </m>
      <m>
        <tpls c="4">
          <tpl fld="0" item="227"/>
          <tpl hier="3" item="3"/>
          <tpl fld="2" item="0"/>
          <tpl fld="1" item="0"/>
        </tpls>
      </m>
      <m>
        <tpls c="4">
          <tpl fld="0" item="227"/>
          <tpl hier="3" item="3"/>
          <tpl fld="2" item="0"/>
          <tpl fld="1" item="1"/>
        </tpls>
      </m>
      <m>
        <tpls c="4">
          <tpl fld="0" item="228"/>
          <tpl hier="3" item="3"/>
          <tpl fld="2" item="1"/>
          <tpl fld="1" item="0"/>
        </tpls>
      </m>
      <m>
        <tpls c="4">
          <tpl fld="0" item="228"/>
          <tpl hier="3" item="3"/>
          <tpl fld="2" item="1"/>
          <tpl fld="1" item="1"/>
        </tpls>
      </m>
      <m>
        <tpls c="4">
          <tpl fld="0" item="229"/>
          <tpl hier="3" item="3"/>
          <tpl fld="2" item="0"/>
          <tpl fld="1" item="0"/>
        </tpls>
      </m>
      <m>
        <tpls c="4">
          <tpl fld="0" item="229"/>
          <tpl hier="3" item="3"/>
          <tpl fld="2" item="0"/>
          <tpl fld="1" item="1"/>
        </tpls>
      </m>
      <m>
        <tpls c="4">
          <tpl fld="0" item="230"/>
          <tpl hier="3" item="3"/>
          <tpl fld="2" item="2"/>
          <tpl fld="1" item="0"/>
        </tpls>
      </m>
      <m>
        <tpls c="4">
          <tpl fld="0" item="230"/>
          <tpl hier="3" item="3"/>
          <tpl fld="2" item="2"/>
          <tpl fld="1" item="1"/>
        </tpls>
      </m>
      <m>
        <tpls c="4">
          <tpl fld="0" item="231"/>
          <tpl hier="3" item="3"/>
          <tpl fld="2" item="1"/>
          <tpl fld="1" item="0"/>
        </tpls>
      </m>
      <m>
        <tpls c="4">
          <tpl fld="0" item="231"/>
          <tpl hier="3" item="3"/>
          <tpl fld="2" item="1"/>
          <tpl fld="1" item="1"/>
        </tpls>
      </m>
      <m>
        <tpls c="4">
          <tpl fld="0" item="232"/>
          <tpl hier="3" item="3"/>
          <tpl fld="2" item="0"/>
          <tpl fld="1" item="0"/>
        </tpls>
      </m>
      <m>
        <tpls c="4">
          <tpl fld="0" item="232"/>
          <tpl hier="3" item="3"/>
          <tpl fld="2" item="0"/>
          <tpl fld="1" item="1"/>
        </tpls>
      </m>
      <m>
        <tpls c="4">
          <tpl fld="0" item="233"/>
          <tpl hier="3" item="3"/>
          <tpl fld="2" item="1"/>
          <tpl fld="1" item="0"/>
        </tpls>
      </m>
      <m>
        <tpls c="4">
          <tpl fld="0" item="233"/>
          <tpl hier="3" item="3"/>
          <tpl fld="2" item="1"/>
          <tpl fld="1" item="1"/>
        </tpls>
      </m>
      <m>
        <tpls c="4">
          <tpl fld="0" item="234"/>
          <tpl hier="3" item="3"/>
          <tpl fld="2" item="1"/>
          <tpl fld="1" item="0"/>
        </tpls>
      </m>
      <m>
        <tpls c="4">
          <tpl fld="0" item="234"/>
          <tpl hier="3" item="3"/>
          <tpl fld="2" item="1"/>
          <tpl fld="1" item="1"/>
        </tpls>
      </m>
      <m>
        <tpls c="4">
          <tpl fld="0" item="235"/>
          <tpl hier="3" item="3"/>
          <tpl fld="2" item="1"/>
          <tpl fld="1" item="0"/>
        </tpls>
      </m>
      <m>
        <tpls c="4">
          <tpl fld="0" item="235"/>
          <tpl hier="3" item="3"/>
          <tpl fld="2" item="1"/>
          <tpl fld="1" item="1"/>
        </tpls>
      </m>
      <m>
        <tpls c="4">
          <tpl fld="0" item="236"/>
          <tpl hier="3" item="3"/>
          <tpl fld="2" item="0"/>
          <tpl fld="1" item="0"/>
        </tpls>
      </m>
      <m>
        <tpls c="4">
          <tpl fld="0" item="236"/>
          <tpl hier="3" item="3"/>
          <tpl fld="2" item="0"/>
          <tpl fld="1" item="1"/>
        </tpls>
      </m>
      <m>
        <tpls c="4">
          <tpl fld="0" item="237"/>
          <tpl hier="3" item="3"/>
          <tpl fld="2" item="2"/>
          <tpl fld="1" item="0"/>
        </tpls>
      </m>
      <m>
        <tpls c="4">
          <tpl fld="0" item="237"/>
          <tpl hier="3" item="3"/>
          <tpl fld="2" item="2"/>
          <tpl fld="1" item="1"/>
        </tpls>
      </m>
      <m>
        <tpls c="4">
          <tpl fld="0" item="238"/>
          <tpl hier="3" item="3"/>
          <tpl fld="2" item="1"/>
          <tpl fld="1" item="0"/>
        </tpls>
      </m>
      <m>
        <tpls c="4">
          <tpl fld="0" item="238"/>
          <tpl hier="3" item="3"/>
          <tpl fld="2" item="1"/>
          <tpl fld="1" item="1"/>
        </tpls>
      </m>
      <m>
        <tpls c="4">
          <tpl fld="0" item="239"/>
          <tpl hier="3" item="3"/>
          <tpl fld="2" item="0"/>
          <tpl fld="1" item="0"/>
        </tpls>
      </m>
      <m>
        <tpls c="4">
          <tpl fld="0" item="239"/>
          <tpl hier="3" item="3"/>
          <tpl fld="2" item="0"/>
          <tpl fld="1" item="1"/>
        </tpls>
      </m>
      <m>
        <tpls c="4">
          <tpl fld="0" item="240"/>
          <tpl hier="3" item="3"/>
          <tpl fld="2" item="1"/>
          <tpl fld="1" item="0"/>
        </tpls>
      </m>
      <m>
        <tpls c="4">
          <tpl fld="0" item="240"/>
          <tpl hier="3" item="3"/>
          <tpl fld="2" item="1"/>
          <tpl fld="1" item="1"/>
        </tpls>
      </m>
      <m>
        <tpls c="4">
          <tpl fld="0" item="241"/>
          <tpl hier="3" item="3"/>
          <tpl fld="2" item="1"/>
          <tpl fld="1" item="0"/>
        </tpls>
      </m>
      <m>
        <tpls c="4">
          <tpl fld="0" item="241"/>
          <tpl hier="3" item="3"/>
          <tpl fld="2" item="1"/>
          <tpl fld="1" item="1"/>
        </tpls>
      </m>
      <n v="174772" in="0">
        <tpls c="4">
          <tpl fld="0" item="242"/>
          <tpl hier="3" item="3"/>
          <tpl fld="2" item="1"/>
          <tpl fld="1" item="0"/>
        </tpls>
      </n>
      <n v="6750" in="0">
        <tpls c="4">
          <tpl fld="0" item="242"/>
          <tpl hier="3" item="3"/>
          <tpl fld="2" item="1"/>
          <tpl fld="1" item="1"/>
        </tpls>
      </n>
      <m>
        <tpls c="4">
          <tpl fld="0" item="243"/>
          <tpl hier="3" item="3"/>
          <tpl fld="2" item="0"/>
          <tpl fld="1" item="0"/>
        </tpls>
      </m>
      <m>
        <tpls c="4">
          <tpl fld="0" item="243"/>
          <tpl hier="3" item="3"/>
          <tpl fld="2" item="0"/>
          <tpl fld="1" item="1"/>
        </tpls>
      </m>
      <n v="96137" in="0">
        <tpls c="4">
          <tpl fld="0" item="244"/>
          <tpl hier="3" item="3"/>
          <tpl fld="2" item="0"/>
          <tpl fld="1" item="0"/>
        </tpls>
      </n>
      <n v="2800" in="0">
        <tpls c="4">
          <tpl fld="0" item="244"/>
          <tpl hier="3" item="3"/>
          <tpl fld="2" item="0"/>
          <tpl fld="1" item="1"/>
        </tpls>
      </n>
      <m>
        <tpls c="4">
          <tpl fld="0" item="245"/>
          <tpl hier="3" item="3"/>
          <tpl fld="2" item="1"/>
          <tpl fld="1" item="0"/>
        </tpls>
      </m>
      <m>
        <tpls c="4">
          <tpl fld="0" item="245"/>
          <tpl hier="3" item="3"/>
          <tpl fld="2" item="1"/>
          <tpl fld="1" item="1"/>
        </tpls>
      </m>
      <m>
        <tpls c="4">
          <tpl fld="0" item="246"/>
          <tpl hier="3" item="3"/>
          <tpl fld="2" item="0"/>
          <tpl fld="1" item="0"/>
        </tpls>
      </m>
      <m>
        <tpls c="4">
          <tpl fld="0" item="246"/>
          <tpl hier="3" item="3"/>
          <tpl fld="2" item="0"/>
          <tpl fld="1" item="1"/>
        </tpls>
      </m>
      <m>
        <tpls c="4">
          <tpl fld="0" item="247"/>
          <tpl hier="3" item="3"/>
          <tpl fld="2" item="0"/>
          <tpl fld="1" item="0"/>
        </tpls>
      </m>
      <m>
        <tpls c="4">
          <tpl fld="0" item="247"/>
          <tpl hier="3" item="3"/>
          <tpl fld="2" item="0"/>
          <tpl fld="1" item="1"/>
        </tpls>
      </m>
      <m>
        <tpls c="4">
          <tpl fld="0" item="248"/>
          <tpl hier="3" item="3"/>
          <tpl fld="2" item="0"/>
          <tpl fld="1" item="0"/>
        </tpls>
      </m>
      <m>
        <tpls c="4">
          <tpl fld="0" item="248"/>
          <tpl hier="3" item="3"/>
          <tpl fld="2" item="0"/>
          <tpl fld="1" item="1"/>
        </tpls>
      </m>
      <n v="200421" in="0">
        <tpls c="4">
          <tpl fld="0" item="249"/>
          <tpl hier="3" item="3"/>
          <tpl fld="2" item="1"/>
          <tpl fld="1" item="0"/>
        </tpls>
      </n>
      <n v="6750" in="0">
        <tpls c="4">
          <tpl fld="0" item="249"/>
          <tpl hier="3" item="3"/>
          <tpl fld="2" item="1"/>
          <tpl fld="1" item="1"/>
        </tpls>
      </n>
      <m>
        <tpls c="4">
          <tpl fld="0" item="250"/>
          <tpl hier="3" item="3"/>
          <tpl fld="2" item="1"/>
          <tpl fld="1" item="0"/>
        </tpls>
      </m>
      <m>
        <tpls c="4">
          <tpl fld="0" item="250"/>
          <tpl hier="3" item="3"/>
          <tpl fld="2" item="1"/>
          <tpl fld="1" item="1"/>
        </tpls>
      </m>
      <n v="121342" in="0">
        <tpls c="4">
          <tpl fld="0" item="251"/>
          <tpl hier="3" item="3"/>
          <tpl fld="2" item="1"/>
          <tpl fld="1" item="0"/>
        </tpls>
      </n>
      <n v="9000" in="0">
        <tpls c="4">
          <tpl fld="0" item="251"/>
          <tpl hier="3" item="3"/>
          <tpl fld="2" item="1"/>
          <tpl fld="1" item="1"/>
        </tpls>
      </n>
      <m>
        <tpls c="4">
          <tpl fld="0" item="252"/>
          <tpl hier="3" item="3"/>
          <tpl fld="2" item="0"/>
          <tpl fld="1" item="0"/>
        </tpls>
      </m>
      <m>
        <tpls c="4">
          <tpl fld="0" item="252"/>
          <tpl hier="3" item="3"/>
          <tpl fld="2" item="0"/>
          <tpl fld="1" item="1"/>
        </tpls>
      </m>
      <m>
        <tpls c="4">
          <tpl fld="0" item="253"/>
          <tpl hier="3" item="3"/>
          <tpl fld="2" item="1"/>
          <tpl fld="1" item="0"/>
        </tpls>
      </m>
      <m>
        <tpls c="4">
          <tpl fld="0" item="253"/>
          <tpl hier="3" item="3"/>
          <tpl fld="2" item="1"/>
          <tpl fld="1" item="1"/>
        </tpls>
      </m>
      <n v="230431" in="0">
        <tpls c="4">
          <tpl fld="0" item="254"/>
          <tpl hier="3" item="3"/>
          <tpl fld="2" item="1"/>
          <tpl fld="1" item="0"/>
        </tpls>
      </n>
      <n v="6750" in="0">
        <tpls c="4">
          <tpl fld="0" item="254"/>
          <tpl hier="3" item="3"/>
          <tpl fld="2" item="1"/>
          <tpl fld="1" item="1"/>
        </tpls>
      </n>
      <m>
        <tpls c="4">
          <tpl fld="0" item="255"/>
          <tpl hier="3" item="3"/>
          <tpl fld="2" item="0"/>
          <tpl fld="1" item="0"/>
        </tpls>
      </m>
      <m>
        <tpls c="4">
          <tpl fld="0" item="255"/>
          <tpl hier="3" item="3"/>
          <tpl fld="2" item="0"/>
          <tpl fld="1" item="1"/>
        </tpls>
      </m>
      <m>
        <tpls c="4">
          <tpl fld="0" item="256"/>
          <tpl hier="3" item="3"/>
          <tpl fld="2" item="0"/>
          <tpl fld="1" item="0"/>
        </tpls>
      </m>
      <m>
        <tpls c="4">
          <tpl fld="0" item="256"/>
          <tpl hier="3" item="3"/>
          <tpl fld="2" item="0"/>
          <tpl fld="1" item="1"/>
        </tpls>
      </m>
      <m>
        <tpls c="4">
          <tpl fld="0" item="257"/>
          <tpl hier="3" item="3"/>
          <tpl fld="2" item="1"/>
          <tpl fld="1" item="0"/>
        </tpls>
      </m>
      <m>
        <tpls c="4">
          <tpl fld="0" item="257"/>
          <tpl hier="3" item="3"/>
          <tpl fld="2" item="1"/>
          <tpl fld="1" item="1"/>
        </tpls>
      </m>
      <m>
        <tpls c="4">
          <tpl fld="0" item="258"/>
          <tpl hier="3" item="3"/>
          <tpl fld="2" item="1"/>
          <tpl fld="1" item="0"/>
        </tpls>
      </m>
      <m>
        <tpls c="4">
          <tpl fld="0" item="258"/>
          <tpl hier="3" item="3"/>
          <tpl fld="2" item="1"/>
          <tpl fld="1" item="1"/>
        </tpls>
      </m>
      <m>
        <tpls c="4">
          <tpl fld="0" item="259"/>
          <tpl hier="3" item="3"/>
          <tpl fld="2" item="1"/>
          <tpl fld="1" item="0"/>
        </tpls>
      </m>
      <m>
        <tpls c="4">
          <tpl fld="0" item="259"/>
          <tpl hier="3" item="3"/>
          <tpl fld="2" item="1"/>
          <tpl fld="1" item="1"/>
        </tpls>
      </m>
      <m>
        <tpls c="4">
          <tpl fld="0" item="260"/>
          <tpl hier="3" item="3"/>
          <tpl fld="2" item="1"/>
          <tpl fld="1" item="0"/>
        </tpls>
      </m>
      <m>
        <tpls c="4">
          <tpl fld="0" item="260"/>
          <tpl hier="3" item="3"/>
          <tpl fld="2" item="1"/>
          <tpl fld="1" item="1"/>
        </tpls>
      </m>
      <m>
        <tpls c="4">
          <tpl fld="0" item="261"/>
          <tpl hier="3" item="3"/>
          <tpl fld="2" item="0"/>
          <tpl fld="1" item="0"/>
        </tpls>
      </m>
      <m>
        <tpls c="4">
          <tpl fld="0" item="261"/>
          <tpl hier="3" item="3"/>
          <tpl fld="2" item="0"/>
          <tpl fld="1" item="1"/>
        </tpls>
      </m>
      <m>
        <tpls c="4">
          <tpl fld="0" item="262"/>
          <tpl hier="3" item="3"/>
          <tpl fld="2" item="0"/>
          <tpl fld="1" item="0"/>
        </tpls>
      </m>
      <m>
        <tpls c="4">
          <tpl fld="0" item="262"/>
          <tpl hier="3" item="3"/>
          <tpl fld="2" item="0"/>
          <tpl fld="1" item="1"/>
        </tpls>
      </m>
      <m>
        <tpls c="4">
          <tpl fld="0" item="263"/>
          <tpl hier="3" item="3"/>
          <tpl fld="2" item="1"/>
          <tpl fld="1" item="0"/>
        </tpls>
      </m>
      <m>
        <tpls c="4">
          <tpl fld="0" item="263"/>
          <tpl hier="3" item="3"/>
          <tpl fld="2" item="1"/>
          <tpl fld="1" item="1"/>
        </tpls>
      </m>
      <n v="164497" in="0">
        <tpls c="4">
          <tpl fld="0" item="264"/>
          <tpl hier="3" item="3"/>
          <tpl fld="2" item="1"/>
          <tpl fld="1" item="0"/>
        </tpls>
      </n>
      <n v="6750" in="0">
        <tpls c="4">
          <tpl fld="0" item="264"/>
          <tpl hier="3" item="3"/>
          <tpl fld="2" item="1"/>
          <tpl fld="1" item="1"/>
        </tpls>
      </n>
      <m>
        <tpls c="4">
          <tpl fld="0" item="265"/>
          <tpl hier="3" item="3"/>
          <tpl fld="2" item="1"/>
          <tpl fld="1" item="0"/>
        </tpls>
      </m>
      <m>
        <tpls c="4">
          <tpl fld="0" item="265"/>
          <tpl hier="3" item="3"/>
          <tpl fld="2" item="1"/>
          <tpl fld="1" item="1"/>
        </tpls>
      </m>
      <m>
        <tpls c="4">
          <tpl fld="0" item="266"/>
          <tpl hier="3" item="3"/>
          <tpl fld="2" item="1"/>
          <tpl fld="1" item="0"/>
        </tpls>
      </m>
      <m>
        <tpls c="4">
          <tpl fld="0" item="266"/>
          <tpl hier="3" item="3"/>
          <tpl fld="2" item="1"/>
          <tpl fld="1" item="1"/>
        </tpls>
      </m>
      <m>
        <tpls c="4">
          <tpl fld="0" item="267"/>
          <tpl hier="3" item="3"/>
          <tpl fld="2" item="0"/>
          <tpl fld="1" item="0"/>
        </tpls>
      </m>
      <m>
        <tpls c="4">
          <tpl fld="0" item="267"/>
          <tpl hier="3" item="3"/>
          <tpl fld="2" item="0"/>
          <tpl fld="1" item="1"/>
        </tpls>
      </m>
      <m>
        <tpls c="4">
          <tpl fld="0" item="268"/>
          <tpl hier="3" item="3"/>
          <tpl fld="2" item="0"/>
          <tpl fld="1" item="0"/>
        </tpls>
      </m>
      <m>
        <tpls c="4">
          <tpl fld="0" item="268"/>
          <tpl hier="3" item="3"/>
          <tpl fld="2" item="0"/>
          <tpl fld="1" item="1"/>
        </tpls>
      </m>
      <n v="161877" in="0">
        <tpls c="4">
          <tpl fld="0" item="269"/>
          <tpl hier="3" item="3"/>
          <tpl fld="2" item="1"/>
          <tpl fld="1" item="0"/>
        </tpls>
      </n>
      <n v="9000" in="0">
        <tpls c="4">
          <tpl fld="0" item="269"/>
          <tpl hier="3" item="3"/>
          <tpl fld="2" item="1"/>
          <tpl fld="1" item="1"/>
        </tpls>
      </n>
      <m>
        <tpls c="4">
          <tpl fld="0" item="270"/>
          <tpl hier="3" item="3"/>
          <tpl fld="2" item="1"/>
          <tpl fld="1" item="0"/>
        </tpls>
      </m>
      <m>
        <tpls c="4">
          <tpl fld="0" item="270"/>
          <tpl hier="3" item="3"/>
          <tpl fld="2" item="1"/>
          <tpl fld="1" item="1"/>
        </tpls>
      </m>
      <m>
        <tpls c="4">
          <tpl fld="0" item="271"/>
          <tpl hier="3" item="3"/>
          <tpl fld="2" item="1"/>
          <tpl fld="1" item="0"/>
        </tpls>
      </m>
      <m>
        <tpls c="4">
          <tpl fld="0" item="271"/>
          <tpl hier="3" item="3"/>
          <tpl fld="2" item="1"/>
          <tpl fld="1" item="1"/>
        </tpls>
      </m>
      <m>
        <tpls c="4">
          <tpl fld="0" item="272"/>
          <tpl hier="3" item="3"/>
          <tpl fld="2" item="1"/>
          <tpl fld="1" item="0"/>
        </tpls>
      </m>
      <m>
        <tpls c="4">
          <tpl fld="0" item="272"/>
          <tpl hier="3" item="3"/>
          <tpl fld="2" item="1"/>
          <tpl fld="1" item="1"/>
        </tpls>
      </m>
      <m>
        <tpls c="4">
          <tpl fld="0" item="273"/>
          <tpl hier="3" item="3"/>
          <tpl fld="2" item="1"/>
          <tpl fld="1" item="0"/>
        </tpls>
      </m>
      <m>
        <tpls c="4">
          <tpl fld="0" item="273"/>
          <tpl hier="3" item="3"/>
          <tpl fld="2" item="1"/>
          <tpl fld="1" item="1"/>
        </tpls>
      </m>
      <m>
        <tpls c="4">
          <tpl fld="0" item="274"/>
          <tpl hier="3" item="3"/>
          <tpl fld="2" item="0"/>
          <tpl fld="1" item="0"/>
        </tpls>
      </m>
      <m>
        <tpls c="4">
          <tpl fld="0" item="274"/>
          <tpl hier="3" item="3"/>
          <tpl fld="2" item="0"/>
          <tpl fld="1" item="1"/>
        </tpls>
      </m>
      <m>
        <tpls c="4">
          <tpl fld="0" item="275"/>
          <tpl hier="3" item="3"/>
          <tpl fld="2" item="0"/>
          <tpl fld="1" item="0"/>
        </tpls>
      </m>
      <m>
        <tpls c="4">
          <tpl fld="0" item="275"/>
          <tpl hier="3" item="3"/>
          <tpl fld="2" item="0"/>
          <tpl fld="1" item="1"/>
        </tpls>
      </m>
      <m>
        <tpls c="4">
          <tpl fld="0" item="276"/>
          <tpl hier="3" item="3"/>
          <tpl fld="2" item="0"/>
          <tpl fld="1" item="0"/>
        </tpls>
      </m>
      <m>
        <tpls c="4">
          <tpl fld="0" item="276"/>
          <tpl hier="3" item="3"/>
          <tpl fld="2" item="0"/>
          <tpl fld="1" item="1"/>
        </tpls>
      </m>
      <m>
        <tpls c="4">
          <tpl fld="0" item="277"/>
          <tpl hier="3" item="3"/>
          <tpl fld="2" item="1"/>
          <tpl fld="1" item="0"/>
        </tpls>
      </m>
      <m>
        <tpls c="4">
          <tpl fld="0" item="277"/>
          <tpl hier="3" item="3"/>
          <tpl fld="2" item="1"/>
          <tpl fld="1" item="1"/>
        </tpls>
      </m>
      <m>
        <tpls c="4">
          <tpl fld="0" item="278"/>
          <tpl hier="3" item="3"/>
          <tpl fld="2" item="2"/>
          <tpl fld="1" item="0"/>
        </tpls>
      </m>
      <m>
        <tpls c="4">
          <tpl fld="0" item="278"/>
          <tpl hier="3" item="3"/>
          <tpl fld="2" item="2"/>
          <tpl fld="1" item="1"/>
        </tpls>
      </m>
      <m>
        <tpls c="4">
          <tpl fld="0" item="279"/>
          <tpl hier="3" item="3"/>
          <tpl fld="2" item="0"/>
          <tpl fld="1" item="0"/>
        </tpls>
      </m>
      <m>
        <tpls c="4">
          <tpl fld="0" item="279"/>
          <tpl hier="3" item="3"/>
          <tpl fld="2" item="0"/>
          <tpl fld="1" item="1"/>
        </tpls>
      </m>
      <m>
        <tpls c="4">
          <tpl fld="0" item="280"/>
          <tpl hier="3" item="3"/>
          <tpl fld="2" item="0"/>
          <tpl fld="1" item="0"/>
        </tpls>
      </m>
      <m>
        <tpls c="4">
          <tpl fld="0" item="280"/>
          <tpl hier="3" item="3"/>
          <tpl fld="2" item="0"/>
          <tpl fld="1" item="1"/>
        </tpls>
      </m>
      <n v="84264" in="0">
        <tpls c="4">
          <tpl fld="0" item="281"/>
          <tpl hier="3" item="3"/>
          <tpl fld="2" item="0"/>
          <tpl fld="1" item="0"/>
        </tpls>
      </n>
      <n v="2800" in="0">
        <tpls c="4">
          <tpl fld="0" item="281"/>
          <tpl hier="3" item="3"/>
          <tpl fld="2" item="0"/>
          <tpl fld="1" item="1"/>
        </tpls>
      </n>
      <m>
        <tpls c="4">
          <tpl fld="0" item="282"/>
          <tpl hier="3" item="3"/>
          <tpl fld="2" item="1"/>
          <tpl fld="1" item="0"/>
        </tpls>
      </m>
      <m>
        <tpls c="4">
          <tpl fld="0" item="282"/>
          <tpl hier="3" item="3"/>
          <tpl fld="2" item="1"/>
          <tpl fld="1" item="1"/>
        </tpls>
      </m>
      <n v="47376" in="0">
        <tpls c="4">
          <tpl fld="0" item="283"/>
          <tpl hier="3" item="3"/>
          <tpl fld="2" item="2"/>
          <tpl fld="1" item="0"/>
        </tpls>
      </n>
      <n v="1500" in="0">
        <tpls c="4">
          <tpl fld="0" item="283"/>
          <tpl hier="3" item="3"/>
          <tpl fld="2" item="2"/>
          <tpl fld="1" item="1"/>
        </tpls>
      </n>
      <m>
        <tpls c="4">
          <tpl fld="0" item="284"/>
          <tpl hier="3" item="3"/>
          <tpl fld="2" item="2"/>
          <tpl fld="1" item="0"/>
        </tpls>
      </m>
      <m>
        <tpls c="4">
          <tpl fld="0" item="284"/>
          <tpl hier="3" item="3"/>
          <tpl fld="2" item="2"/>
          <tpl fld="1" item="1"/>
        </tpls>
      </m>
      <m>
        <tpls c="4">
          <tpl fld="0" item="285"/>
          <tpl hier="3" item="3"/>
          <tpl fld="2" item="1"/>
          <tpl fld="1" item="0"/>
        </tpls>
      </m>
      <m>
        <tpls c="4">
          <tpl fld="0" item="285"/>
          <tpl hier="3" item="3"/>
          <tpl fld="2" item="1"/>
          <tpl fld="1" item="1"/>
        </tpls>
      </m>
      <m>
        <tpls c="4">
          <tpl fld="0" item="286"/>
          <tpl hier="3" item="3"/>
          <tpl fld="2" item="0"/>
          <tpl fld="1" item="0"/>
        </tpls>
      </m>
      <m>
        <tpls c="4">
          <tpl fld="0" item="286"/>
          <tpl hier="3" item="3"/>
          <tpl fld="2" item="0"/>
          <tpl fld="1" item="1"/>
        </tpls>
      </m>
      <m>
        <tpls c="4">
          <tpl fld="0" item="287"/>
          <tpl hier="3" item="3"/>
          <tpl fld="2" item="0"/>
          <tpl fld="1" item="0"/>
        </tpls>
      </m>
      <m>
        <tpls c="4">
          <tpl fld="0" item="287"/>
          <tpl hier="3" item="3"/>
          <tpl fld="2" item="0"/>
          <tpl fld="1" item="1"/>
        </tpls>
      </m>
      <m>
        <tpls c="4">
          <tpl fld="0" item="288"/>
          <tpl hier="3" item="3"/>
          <tpl fld="2" item="0"/>
          <tpl fld="1" item="0"/>
        </tpls>
      </m>
      <m>
        <tpls c="4">
          <tpl fld="0" item="288"/>
          <tpl hier="3" item="3"/>
          <tpl fld="2" item="0"/>
          <tpl fld="1" item="1"/>
        </tpls>
      </m>
      <m>
        <tpls c="4">
          <tpl fld="0" item="289"/>
          <tpl hier="3" item="3"/>
          <tpl fld="2" item="1"/>
          <tpl fld="1" item="0"/>
        </tpls>
      </m>
      <m>
        <tpls c="4">
          <tpl fld="0" item="289"/>
          <tpl hier="3" item="3"/>
          <tpl fld="2" item="1"/>
          <tpl fld="1" item="1"/>
        </tpls>
      </m>
      <n v="76244" in="0">
        <tpls c="4">
          <tpl fld="0" item="290"/>
          <tpl hier="3" item="3"/>
          <tpl fld="2" item="0"/>
          <tpl fld="1" item="0"/>
        </tpls>
      </n>
      <n v="4200" in="0">
        <tpls c="4">
          <tpl fld="0" item="290"/>
          <tpl hier="3" item="3"/>
          <tpl fld="2" item="0"/>
          <tpl fld="1" item="1"/>
        </tpls>
      </n>
      <m>
        <tpls c="4">
          <tpl fld="0" item="291"/>
          <tpl hier="3" item="3"/>
          <tpl fld="2" item="1"/>
          <tpl fld="1" item="0"/>
        </tpls>
      </m>
      <m>
        <tpls c="4">
          <tpl fld="0" item="291"/>
          <tpl hier="3" item="3"/>
          <tpl fld="2" item="1"/>
          <tpl fld="1" item="1"/>
        </tpls>
      </m>
      <n v="59067" in="0">
        <tpls c="4">
          <tpl fld="0" item="292"/>
          <tpl hier="3" item="3"/>
          <tpl fld="2" item="2"/>
          <tpl fld="1" item="0"/>
        </tpls>
      </n>
      <n v="1500" in="0">
        <tpls c="4">
          <tpl fld="0" item="292"/>
          <tpl hier="3" item="3"/>
          <tpl fld="2" item="2"/>
          <tpl fld="1" item="1"/>
        </tpls>
      </n>
      <m>
        <tpls c="4">
          <tpl fld="0" item="293"/>
          <tpl hier="3" item="3"/>
          <tpl fld="2" item="2"/>
          <tpl fld="1" item="0"/>
        </tpls>
      </m>
      <m>
        <tpls c="4">
          <tpl fld="0" item="293"/>
          <tpl hier="3" item="3"/>
          <tpl fld="2" item="2"/>
          <tpl fld="1" item="1"/>
        </tpls>
      </m>
      <m>
        <tpls c="4">
          <tpl fld="0" item="294"/>
          <tpl hier="3" item="3"/>
          <tpl fld="2" item="0"/>
          <tpl fld="1" item="0"/>
        </tpls>
      </m>
      <m>
        <tpls c="4">
          <tpl fld="0" item="294"/>
          <tpl hier="3" item="3"/>
          <tpl fld="2" item="0"/>
          <tpl fld="1" item="1"/>
        </tpls>
      </m>
      <m>
        <tpls c="4">
          <tpl fld="0" item="295"/>
          <tpl hier="3" item="3"/>
          <tpl fld="2" item="0"/>
          <tpl fld="1" item="0"/>
        </tpls>
      </m>
      <m>
        <tpls c="4">
          <tpl fld="0" item="295"/>
          <tpl hier="3" item="3"/>
          <tpl fld="2" item="0"/>
          <tpl fld="1" item="1"/>
        </tpls>
      </m>
      <n v="131852" in="0">
        <tpls c="4">
          <tpl fld="0" item="296"/>
          <tpl hier="3" item="3"/>
          <tpl fld="2" item="1"/>
          <tpl fld="1" item="0"/>
        </tpls>
      </n>
      <n v="6750" in="0">
        <tpls c="4">
          <tpl fld="0" item="296"/>
          <tpl hier="3" item="3"/>
          <tpl fld="2" item="1"/>
          <tpl fld="1" item="1"/>
        </tpls>
      </n>
      <m>
        <tpls c="4">
          <tpl fld="0" item="297"/>
          <tpl hier="3" item="3"/>
          <tpl fld="2" item="1"/>
          <tpl fld="1" item="0"/>
        </tpls>
      </m>
      <m>
        <tpls c="4">
          <tpl fld="0" item="297"/>
          <tpl hier="3" item="3"/>
          <tpl fld="2" item="1"/>
          <tpl fld="1" item="1"/>
        </tpls>
      </m>
      <m>
        <tpls c="4">
          <tpl fld="0" item="298"/>
          <tpl hier="3" item="3"/>
          <tpl fld="2" item="1"/>
          <tpl fld="1" item="0"/>
        </tpls>
      </m>
      <m>
        <tpls c="4">
          <tpl fld="0" item="298"/>
          <tpl hier="3" item="3"/>
          <tpl fld="2" item="1"/>
          <tpl fld="1" item="1"/>
        </tpls>
      </m>
      <m>
        <tpls c="4">
          <tpl fld="0" item="299"/>
          <tpl hier="3" item="3"/>
          <tpl fld="2" item="0"/>
          <tpl fld="1" item="0"/>
        </tpls>
      </m>
      <m>
        <tpls c="4">
          <tpl fld="0" item="299"/>
          <tpl hier="3" item="3"/>
          <tpl fld="2" item="0"/>
          <tpl fld="1" item="1"/>
        </tpls>
      </m>
      <n v="88549" in="0">
        <tpls c="4">
          <tpl fld="0" item="300"/>
          <tpl hier="3" item="3"/>
          <tpl fld="2" item="0"/>
          <tpl fld="1" item="0"/>
        </tpls>
      </n>
      <n v="2800" in="0">
        <tpls c="4">
          <tpl fld="0" item="300"/>
          <tpl hier="3" item="3"/>
          <tpl fld="2" item="0"/>
          <tpl fld="1" item="1"/>
        </tpls>
      </n>
      <m>
        <tpls c="4">
          <tpl fld="0" item="301"/>
          <tpl hier="3" item="3"/>
          <tpl fld="2" item="1"/>
          <tpl fld="1" item="0"/>
        </tpls>
      </m>
      <m>
        <tpls c="4">
          <tpl fld="0" item="301"/>
          <tpl hier="3" item="3"/>
          <tpl fld="2" item="1"/>
          <tpl fld="1" item="1"/>
        </tpls>
      </m>
      <m>
        <tpls c="4">
          <tpl fld="0" item="302"/>
          <tpl hier="3" item="3"/>
          <tpl fld="2" item="0"/>
          <tpl fld="1" item="0"/>
        </tpls>
      </m>
      <m>
        <tpls c="4">
          <tpl fld="0" item="302"/>
          <tpl hier="3" item="3"/>
          <tpl fld="2" item="0"/>
          <tpl fld="1" item="1"/>
        </tpls>
      </m>
      <m>
        <tpls c="4">
          <tpl fld="0" item="303"/>
          <tpl hier="3" item="3"/>
          <tpl fld="2" item="0"/>
          <tpl fld="1" item="0"/>
        </tpls>
      </m>
      <m>
        <tpls c="4">
          <tpl fld="0" item="303"/>
          <tpl hier="3" item="3"/>
          <tpl fld="2" item="0"/>
          <tpl fld="1" item="1"/>
        </tpls>
      </m>
      <m>
        <tpls c="4">
          <tpl fld="0" item="304"/>
          <tpl hier="3" item="3"/>
          <tpl fld="2" item="2"/>
          <tpl fld="1" item="0"/>
        </tpls>
      </m>
      <m>
        <tpls c="4">
          <tpl fld="0" item="304"/>
          <tpl hier="3" item="3"/>
          <tpl fld="2" item="2"/>
          <tpl fld="1" item="1"/>
        </tpls>
      </m>
      <m>
        <tpls c="4">
          <tpl fld="0" item="305"/>
          <tpl hier="3" item="3"/>
          <tpl fld="2" item="2"/>
          <tpl fld="1" item="0"/>
        </tpls>
      </m>
      <m>
        <tpls c="4">
          <tpl fld="0" item="305"/>
          <tpl hier="3" item="3"/>
          <tpl fld="2" item="2"/>
          <tpl fld="1" item="1"/>
        </tpls>
      </m>
      <m>
        <tpls c="4">
          <tpl fld="0" item="306"/>
          <tpl hier="3" item="3"/>
          <tpl fld="2" item="1"/>
          <tpl fld="1" item="0"/>
        </tpls>
      </m>
      <m>
        <tpls c="4">
          <tpl fld="0" item="306"/>
          <tpl hier="3" item="3"/>
          <tpl fld="2" item="1"/>
          <tpl fld="1" item="1"/>
        </tpls>
      </m>
      <m>
        <tpls c="4">
          <tpl fld="0" item="307"/>
          <tpl hier="3" item="3"/>
          <tpl fld="2" item="1"/>
          <tpl fld="1" item="0"/>
        </tpls>
      </m>
      <m>
        <tpls c="4">
          <tpl fld="0" item="307"/>
          <tpl hier="3" item="3"/>
          <tpl fld="2" item="1"/>
          <tpl fld="1" item="1"/>
        </tpls>
      </m>
      <n v="141810" in="0">
        <tpls c="4">
          <tpl fld="0" item="308"/>
          <tpl hier="3" item="3"/>
          <tpl fld="2" item="1"/>
          <tpl fld="1" item="0"/>
        </tpls>
      </n>
      <n v="9000" in="0">
        <tpls c="4">
          <tpl fld="0" item="308"/>
          <tpl hier="3" item="3"/>
          <tpl fld="2" item="1"/>
          <tpl fld="1" item="1"/>
        </tpls>
      </n>
      <m>
        <tpls c="4">
          <tpl fld="0" item="309"/>
          <tpl hier="3" item="3"/>
          <tpl fld="2" item="0"/>
          <tpl fld="1" item="0"/>
        </tpls>
      </m>
      <m>
        <tpls c="4">
          <tpl fld="0" item="309"/>
          <tpl hier="3" item="3"/>
          <tpl fld="2" item="0"/>
          <tpl fld="1" item="1"/>
        </tpls>
      </m>
      <m>
        <tpls c="4">
          <tpl fld="0" item="310"/>
          <tpl hier="3" item="3"/>
          <tpl fld="2" item="0"/>
          <tpl fld="1" item="0"/>
        </tpls>
      </m>
      <m>
        <tpls c="4">
          <tpl fld="0" item="310"/>
          <tpl hier="3" item="3"/>
          <tpl fld="2" item="0"/>
          <tpl fld="1" item="1"/>
        </tpls>
      </m>
      <m>
        <tpls c="4">
          <tpl fld="0" item="311"/>
          <tpl hier="3" item="3"/>
          <tpl fld="2" item="0"/>
          <tpl fld="1" item="0"/>
        </tpls>
      </m>
      <m>
        <tpls c="4">
          <tpl fld="0" item="311"/>
          <tpl hier="3" item="3"/>
          <tpl fld="2" item="0"/>
          <tpl fld="1" item="1"/>
        </tpls>
      </m>
      <m>
        <tpls c="4">
          <tpl fld="0" item="312"/>
          <tpl hier="3" item="3"/>
          <tpl fld="2" item="0"/>
          <tpl fld="1" item="0"/>
        </tpls>
      </m>
      <m>
        <tpls c="4">
          <tpl fld="0" item="312"/>
          <tpl hier="3" item="3"/>
          <tpl fld="2" item="0"/>
          <tpl fld="1" item="1"/>
        </tpls>
      </m>
      <m>
        <tpls c="4">
          <tpl fld="0" item="313"/>
          <tpl hier="3" item="3"/>
          <tpl fld="2" item="0"/>
          <tpl fld="1" item="0"/>
        </tpls>
      </m>
      <m>
        <tpls c="4">
          <tpl fld="0" item="313"/>
          <tpl hier="3" item="3"/>
          <tpl fld="2" item="0"/>
          <tpl fld="1" item="1"/>
        </tpls>
      </m>
      <m>
        <tpls c="4">
          <tpl fld="0" item="314"/>
          <tpl hier="3" item="3"/>
          <tpl fld="2" item="1"/>
          <tpl fld="1" item="0"/>
        </tpls>
      </m>
      <m>
        <tpls c="4">
          <tpl fld="0" item="314"/>
          <tpl hier="3" item="3"/>
          <tpl fld="2" item="1"/>
          <tpl fld="1" item="1"/>
        </tpls>
      </m>
      <m>
        <tpls c="4">
          <tpl fld="0" item="315"/>
          <tpl hier="3" item="3"/>
          <tpl fld="2" item="1"/>
          <tpl fld="1" item="0"/>
        </tpls>
      </m>
      <m>
        <tpls c="4">
          <tpl fld="0" item="315"/>
          <tpl hier="3" item="3"/>
          <tpl fld="2" item="1"/>
          <tpl fld="1" item="1"/>
        </tpls>
      </m>
      <m>
        <tpls c="4">
          <tpl fld="0" item="316"/>
          <tpl hier="3" item="3"/>
          <tpl fld="2" item="0"/>
          <tpl fld="1" item="0"/>
        </tpls>
      </m>
      <m>
        <tpls c="4">
          <tpl fld="0" item="316"/>
          <tpl hier="3" item="3"/>
          <tpl fld="2" item="0"/>
          <tpl fld="1" item="1"/>
        </tpls>
      </m>
      <m>
        <tpls c="4">
          <tpl fld="0" item="317"/>
          <tpl hier="3" item="3"/>
          <tpl fld="2" item="1"/>
          <tpl fld="1" item="0"/>
        </tpls>
      </m>
      <m>
        <tpls c="4">
          <tpl fld="0" item="317"/>
          <tpl hier="3" item="3"/>
          <tpl fld="2" item="1"/>
          <tpl fld="1" item="1"/>
        </tpls>
      </m>
      <n v="149546" in="0">
        <tpls c="4">
          <tpl fld="0" item="318"/>
          <tpl hier="3" item="3"/>
          <tpl fld="2" item="1"/>
          <tpl fld="1" item="0"/>
        </tpls>
      </n>
      <n v="9000" in="0">
        <tpls c="4">
          <tpl fld="0" item="318"/>
          <tpl hier="3" item="3"/>
          <tpl fld="2" item="1"/>
          <tpl fld="1" item="1"/>
        </tpls>
      </n>
      <m>
        <tpls c="4">
          <tpl fld="0" item="319"/>
          <tpl hier="3" item="3"/>
          <tpl fld="2" item="0"/>
          <tpl fld="1" item="0"/>
        </tpls>
      </m>
      <m>
        <tpls c="4">
          <tpl fld="0" item="319"/>
          <tpl hier="3" item="3"/>
          <tpl fld="2" item="0"/>
          <tpl fld="1" item="1"/>
        </tpls>
      </m>
      <n v="127734" in="0">
        <tpls c="4">
          <tpl fld="0" item="320"/>
          <tpl hier="3" item="3"/>
          <tpl fld="2" item="2"/>
          <tpl fld="1" item="0"/>
        </tpls>
      </n>
      <n v="9500" in="0">
        <tpls c="4">
          <tpl fld="0" item="320"/>
          <tpl hier="3" item="3"/>
          <tpl fld="2" item="2"/>
          <tpl fld="1" item="1"/>
        </tpls>
      </n>
      <n v="100516" in="0">
        <tpls c="4">
          <tpl fld="0" item="321"/>
          <tpl hier="3" item="3"/>
          <tpl fld="2" item="0"/>
          <tpl fld="1" item="0"/>
        </tpls>
      </n>
      <n v="2800" in="0">
        <tpls c="4">
          <tpl fld="0" item="321"/>
          <tpl hier="3" item="3"/>
          <tpl fld="2" item="0"/>
          <tpl fld="1" item="1"/>
        </tpls>
      </n>
      <m>
        <tpls c="4">
          <tpl fld="0" item="322"/>
          <tpl hier="3" item="3"/>
          <tpl fld="2" item="0"/>
          <tpl fld="1" item="0"/>
        </tpls>
      </m>
      <m>
        <tpls c="4">
          <tpl fld="0" item="322"/>
          <tpl hier="3" item="3"/>
          <tpl fld="2" item="0"/>
          <tpl fld="1" item="1"/>
        </tpls>
      </m>
      <m>
        <tpls c="4">
          <tpl fld="0" item="323"/>
          <tpl hier="3" item="3"/>
          <tpl fld="2" item="0"/>
          <tpl fld="1" item="0"/>
        </tpls>
      </m>
      <m>
        <tpls c="4">
          <tpl fld="0" item="323"/>
          <tpl hier="3" item="3"/>
          <tpl fld="2" item="0"/>
          <tpl fld="1" item="1"/>
        </tpls>
      </m>
      <m>
        <tpls c="4">
          <tpl fld="0" item="324"/>
          <tpl hier="3" item="3"/>
          <tpl fld="2" item="1"/>
          <tpl fld="1" item="0"/>
        </tpls>
      </m>
      <m>
        <tpls c="4">
          <tpl fld="0" item="324"/>
          <tpl hier="3" item="3"/>
          <tpl fld="2" item="1"/>
          <tpl fld="1" item="1"/>
        </tpls>
      </m>
      <m>
        <tpls c="4">
          <tpl fld="0" item="325"/>
          <tpl hier="3" item="3"/>
          <tpl fld="2" item="2"/>
          <tpl fld="1" item="0"/>
        </tpls>
      </m>
      <m>
        <tpls c="4">
          <tpl fld="0" item="325"/>
          <tpl hier="3" item="3"/>
          <tpl fld="2" item="2"/>
          <tpl fld="1" item="1"/>
        </tpls>
      </m>
      <m>
        <tpls c="4">
          <tpl fld="0" item="326"/>
          <tpl hier="3" item="3"/>
          <tpl fld="2" item="0"/>
          <tpl fld="1" item="0"/>
        </tpls>
      </m>
      <m>
        <tpls c="4">
          <tpl fld="0" item="326"/>
          <tpl hier="3" item="3"/>
          <tpl fld="2" item="0"/>
          <tpl fld="1" item="1"/>
        </tpls>
      </m>
      <m>
        <tpls c="4">
          <tpl fld="0" item="327"/>
          <tpl hier="3" item="3"/>
          <tpl fld="2" item="2"/>
          <tpl fld="1" item="0"/>
        </tpls>
      </m>
      <m>
        <tpls c="4">
          <tpl fld="0" item="327"/>
          <tpl hier="3" item="3"/>
          <tpl fld="2" item="2"/>
          <tpl fld="1" item="1"/>
        </tpls>
      </m>
      <m>
        <tpls c="4">
          <tpl fld="0" item="328"/>
          <tpl hier="3" item="3"/>
          <tpl fld="2" item="2"/>
          <tpl fld="1" item="0"/>
        </tpls>
      </m>
      <m>
        <tpls c="4">
          <tpl fld="0" item="328"/>
          <tpl hier="3" item="3"/>
          <tpl fld="2" item="2"/>
          <tpl fld="1" item="1"/>
        </tpls>
      </m>
      <m>
        <tpls c="4">
          <tpl fld="0" item="329"/>
          <tpl hier="3" item="3"/>
          <tpl fld="2" item="1"/>
          <tpl fld="1" item="0"/>
        </tpls>
      </m>
      <m>
        <tpls c="4">
          <tpl fld="0" item="329"/>
          <tpl hier="3" item="3"/>
          <tpl fld="2" item="1"/>
          <tpl fld="1" item="1"/>
        </tpls>
      </m>
      <m>
        <tpls c="4">
          <tpl fld="0" item="330"/>
          <tpl hier="3" item="3"/>
          <tpl fld="2" item="1"/>
          <tpl fld="1" item="0"/>
        </tpls>
      </m>
      <m>
        <tpls c="4">
          <tpl fld="0" item="330"/>
          <tpl hier="3" item="3"/>
          <tpl fld="2" item="1"/>
          <tpl fld="1" item="1"/>
        </tpls>
      </m>
      <m>
        <tpls c="4">
          <tpl fld="0" item="331"/>
          <tpl hier="3" item="3"/>
          <tpl fld="2" item="0"/>
          <tpl fld="1" item="0"/>
        </tpls>
      </m>
      <m>
        <tpls c="4">
          <tpl fld="0" item="331"/>
          <tpl hier="3" item="3"/>
          <tpl fld="2" item="0"/>
          <tpl fld="1" item="1"/>
        </tpls>
      </m>
      <m>
        <tpls c="4">
          <tpl fld="0" item="332"/>
          <tpl hier="3" item="3"/>
          <tpl fld="2" item="0"/>
          <tpl fld="1" item="0"/>
        </tpls>
      </m>
      <m>
        <tpls c="4">
          <tpl fld="0" item="332"/>
          <tpl hier="3" item="3"/>
          <tpl fld="2" item="0"/>
          <tpl fld="1" item="1"/>
        </tpls>
      </m>
      <m>
        <tpls c="4">
          <tpl fld="0" item="333"/>
          <tpl hier="3" item="3"/>
          <tpl fld="2" item="0"/>
          <tpl fld="1" item="0"/>
        </tpls>
      </m>
      <m>
        <tpls c="4">
          <tpl fld="0" item="333"/>
          <tpl hier="3" item="3"/>
          <tpl fld="2" item="0"/>
          <tpl fld="1" item="1"/>
        </tpls>
      </m>
      <n v="107622" in="0">
        <tpls c="4">
          <tpl fld="0" item="334"/>
          <tpl hier="3" item="3"/>
          <tpl fld="2" item="0"/>
          <tpl fld="1" item="0"/>
        </tpls>
      </n>
      <n v="2800" in="0">
        <tpls c="4">
          <tpl fld="0" item="334"/>
          <tpl hier="3" item="3"/>
          <tpl fld="2" item="0"/>
          <tpl fld="1" item="1"/>
        </tpls>
      </n>
      <m>
        <tpls c="4">
          <tpl fld="0" item="335"/>
          <tpl hier="3" item="3"/>
          <tpl fld="2" item="0"/>
          <tpl fld="1" item="0"/>
        </tpls>
      </m>
      <m>
        <tpls c="4">
          <tpl fld="0" item="335"/>
          <tpl hier="3" item="3"/>
          <tpl fld="2" item="0"/>
          <tpl fld="1" item="1"/>
        </tpls>
      </m>
      <m>
        <tpls c="4">
          <tpl fld="0" item="336"/>
          <tpl hier="3" item="3"/>
          <tpl fld="2" item="0"/>
          <tpl fld="1" item="0"/>
        </tpls>
      </m>
      <m>
        <tpls c="4">
          <tpl fld="0" item="336"/>
          <tpl hier="3" item="3"/>
          <tpl fld="2" item="0"/>
          <tpl fld="1" item="1"/>
        </tpls>
      </m>
      <m>
        <tpls c="4">
          <tpl fld="0" item="337"/>
          <tpl hier="3" item="3"/>
          <tpl fld="2" item="0"/>
          <tpl fld="1" item="0"/>
        </tpls>
      </m>
      <m>
        <tpls c="4">
          <tpl fld="0" item="337"/>
          <tpl hier="3" item="3"/>
          <tpl fld="2" item="0"/>
          <tpl fld="1" item="1"/>
        </tpls>
      </m>
      <m>
        <tpls c="4">
          <tpl fld="0" item="338"/>
          <tpl hier="3" item="3"/>
          <tpl fld="2" item="1"/>
          <tpl fld="1" item="0"/>
        </tpls>
      </m>
      <m>
        <tpls c="4">
          <tpl fld="0" item="338"/>
          <tpl hier="3" item="3"/>
          <tpl fld="2" item="1"/>
          <tpl fld="1" item="1"/>
        </tpls>
      </m>
      <m>
        <tpls c="4">
          <tpl fld="0" item="339"/>
          <tpl hier="3" item="3"/>
          <tpl fld="2" item="1"/>
          <tpl fld="1" item="0"/>
        </tpls>
      </m>
      <m>
        <tpls c="4">
          <tpl fld="0" item="339"/>
          <tpl hier="3" item="3"/>
          <tpl fld="2" item="1"/>
          <tpl fld="1" item="1"/>
        </tpls>
      </m>
      <n v="51178" in="0">
        <tpls c="4">
          <tpl fld="0" item="340"/>
          <tpl hier="3" item="3"/>
          <tpl fld="2" item="2"/>
          <tpl fld="1" item="0"/>
        </tpls>
      </n>
      <n v="1500" in="0">
        <tpls c="4">
          <tpl fld="0" item="340"/>
          <tpl hier="3" item="3"/>
          <tpl fld="2" item="2"/>
          <tpl fld="1" item="1"/>
        </tpls>
      </n>
      <m>
        <tpls c="4">
          <tpl fld="0" item="341"/>
          <tpl hier="3" item="3"/>
          <tpl fld="2" item="0"/>
          <tpl fld="1" item="0"/>
        </tpls>
      </m>
      <m>
        <tpls c="4">
          <tpl fld="0" item="341"/>
          <tpl hier="3" item="3"/>
          <tpl fld="2" item="0"/>
          <tpl fld="1" item="1"/>
        </tpls>
      </m>
      <m>
        <tpls c="4">
          <tpl fld="0" item="342"/>
          <tpl hier="3" item="3"/>
          <tpl fld="2" item="0"/>
          <tpl fld="1" item="0"/>
        </tpls>
      </m>
      <m>
        <tpls c="4">
          <tpl fld="0" item="342"/>
          <tpl hier="3" item="3"/>
          <tpl fld="2" item="0"/>
          <tpl fld="1" item="1"/>
        </tpls>
      </m>
      <m>
        <tpls c="4">
          <tpl fld="0" item="343"/>
          <tpl hier="3" item="3"/>
          <tpl fld="2" item="1"/>
          <tpl fld="1" item="0"/>
        </tpls>
      </m>
      <m>
        <tpls c="4">
          <tpl fld="0" item="343"/>
          <tpl hier="3" item="3"/>
          <tpl fld="2" item="1"/>
          <tpl fld="1" item="1"/>
        </tpls>
      </m>
      <n v="135368" in="0">
        <tpls c="4">
          <tpl fld="0" item="344"/>
          <tpl hier="3" item="3"/>
          <tpl fld="2" item="1"/>
          <tpl fld="1" item="0"/>
        </tpls>
      </n>
      <n v="9000" in="0">
        <tpls c="4">
          <tpl fld="0" item="344"/>
          <tpl hier="3" item="3"/>
          <tpl fld="2" item="1"/>
          <tpl fld="1" item="1"/>
        </tpls>
      </n>
      <m>
        <tpls c="4">
          <tpl fld="0" item="345"/>
          <tpl hier="3" item="3"/>
          <tpl fld="2" item="0"/>
          <tpl fld="1" item="0"/>
        </tpls>
      </m>
      <m>
        <tpls c="4">
          <tpl fld="0" item="345"/>
          <tpl hier="3" item="3"/>
          <tpl fld="2" item="0"/>
          <tpl fld="1" item="1"/>
        </tpls>
      </m>
      <m>
        <tpls c="4">
          <tpl fld="0" item="346"/>
          <tpl hier="3" item="3"/>
          <tpl fld="2" item="2"/>
          <tpl fld="1" item="0"/>
        </tpls>
      </m>
      <m>
        <tpls c="4">
          <tpl fld="0" item="346"/>
          <tpl hier="3" item="3"/>
          <tpl fld="2" item="2"/>
          <tpl fld="1" item="1"/>
        </tpls>
      </m>
      <m>
        <tpls c="4">
          <tpl fld="0" item="347"/>
          <tpl hier="3" item="3"/>
          <tpl fld="2" item="1"/>
          <tpl fld="1" item="0"/>
        </tpls>
      </m>
      <m>
        <tpls c="4">
          <tpl fld="0" item="347"/>
          <tpl hier="3" item="3"/>
          <tpl fld="2" item="1"/>
          <tpl fld="1" item="1"/>
        </tpls>
      </m>
      <m>
        <tpls c="4">
          <tpl fld="0" item="348"/>
          <tpl hier="3" item="3"/>
          <tpl fld="2" item="2"/>
          <tpl fld="1" item="0"/>
        </tpls>
      </m>
      <m>
        <tpls c="4">
          <tpl fld="0" item="348"/>
          <tpl hier="3" item="3"/>
          <tpl fld="2" item="2"/>
          <tpl fld="1" item="1"/>
        </tpls>
      </m>
      <m>
        <tpls c="4">
          <tpl fld="0" item="349"/>
          <tpl hier="3" item="3"/>
          <tpl fld="2" item="1"/>
          <tpl fld="1" item="0"/>
        </tpls>
      </m>
      <m>
        <tpls c="4">
          <tpl fld="0" item="349"/>
          <tpl hier="3" item="3"/>
          <tpl fld="2" item="1"/>
          <tpl fld="1" item="1"/>
        </tpls>
      </m>
      <m>
        <tpls c="4">
          <tpl fld="0" item="350"/>
          <tpl hier="3" item="3"/>
          <tpl fld="2" item="1"/>
          <tpl fld="1" item="0"/>
        </tpls>
      </m>
      <m>
        <tpls c="4">
          <tpl fld="0" item="350"/>
          <tpl hier="3" item="3"/>
          <tpl fld="2" item="1"/>
          <tpl fld="1" item="1"/>
        </tpls>
      </m>
      <n v="122155" in="0">
        <tpls c="4">
          <tpl fld="0" item="351"/>
          <tpl hier="3" item="3"/>
          <tpl fld="2" item="1"/>
          <tpl fld="1" item="0"/>
        </tpls>
      </n>
      <n v="9000" in="0">
        <tpls c="4">
          <tpl fld="0" item="351"/>
          <tpl hier="3" item="3"/>
          <tpl fld="2" item="1"/>
          <tpl fld="1" item="1"/>
        </tpls>
      </n>
      <n v="96522" in="0">
        <tpls c="4">
          <tpl fld="0" item="352"/>
          <tpl hier="3" item="3"/>
          <tpl fld="2" item="0"/>
          <tpl fld="1" item="0"/>
        </tpls>
      </n>
      <n v="4200" in="0">
        <tpls c="4">
          <tpl fld="0" item="352"/>
          <tpl hier="3" item="3"/>
          <tpl fld="2" item="0"/>
          <tpl fld="1" item="1"/>
        </tpls>
      </n>
      <m>
        <tpls c="4">
          <tpl fld="0" item="353"/>
          <tpl hier="3" item="3"/>
          <tpl fld="2" item="1"/>
          <tpl fld="1" item="0"/>
        </tpls>
      </m>
      <m>
        <tpls c="4">
          <tpl fld="0" item="353"/>
          <tpl hier="3" item="3"/>
          <tpl fld="2" item="1"/>
          <tpl fld="1" item="1"/>
        </tpls>
      </m>
      <n v="105579" in="0">
        <tpls c="4">
          <tpl fld="0" item="354"/>
          <tpl hier="3" item="3"/>
          <tpl fld="2" item="0"/>
          <tpl fld="1" item="0"/>
        </tpls>
      </n>
      <n v="4200" in="0">
        <tpls c="4">
          <tpl fld="0" item="354"/>
          <tpl hier="3" item="3"/>
          <tpl fld="2" item="0"/>
          <tpl fld="1" item="1"/>
        </tpls>
      </n>
      <m>
        <tpls c="4">
          <tpl fld="0" item="355"/>
          <tpl hier="3" item="3"/>
          <tpl fld="2" item="0"/>
          <tpl fld="1" item="0"/>
        </tpls>
      </m>
      <m>
        <tpls c="4">
          <tpl fld="0" item="355"/>
          <tpl hier="3" item="3"/>
          <tpl fld="2" item="0"/>
          <tpl fld="1" item="1"/>
        </tpls>
      </m>
      <m>
        <tpls c="4">
          <tpl fld="0" item="356"/>
          <tpl hier="3" item="3"/>
          <tpl fld="2" item="1"/>
          <tpl fld="1" item="0"/>
        </tpls>
      </m>
      <m>
        <tpls c="4">
          <tpl fld="0" item="356"/>
          <tpl hier="3" item="3"/>
          <tpl fld="2" item="1"/>
          <tpl fld="1" item="1"/>
        </tpls>
      </m>
      <m>
        <tpls c="4">
          <tpl fld="0" item="357"/>
          <tpl hier="3" item="3"/>
          <tpl fld="2" item="0"/>
          <tpl fld="1" item="0"/>
        </tpls>
      </m>
      <m>
        <tpls c="4">
          <tpl fld="0" item="357"/>
          <tpl hier="3" item="3"/>
          <tpl fld="2" item="0"/>
          <tpl fld="1" item="1"/>
        </tpls>
      </m>
      <m>
        <tpls c="4">
          <tpl fld="0" item="358"/>
          <tpl hier="3" item="3"/>
          <tpl fld="2" item="1"/>
          <tpl fld="1" item="0"/>
        </tpls>
      </m>
      <m>
        <tpls c="4">
          <tpl fld="0" item="358"/>
          <tpl hier="3" item="3"/>
          <tpl fld="2" item="1"/>
          <tpl fld="1" item="1"/>
        </tpls>
      </m>
      <m>
        <tpls c="4">
          <tpl fld="0" item="359"/>
          <tpl hier="3" item="3"/>
          <tpl fld="2" item="1"/>
          <tpl fld="1" item="0"/>
        </tpls>
      </m>
      <m>
        <tpls c="4">
          <tpl fld="0" item="359"/>
          <tpl hier="3" item="3"/>
          <tpl fld="2" item="1"/>
          <tpl fld="1" item="1"/>
        </tpls>
      </m>
      <m>
        <tpls c="4">
          <tpl fld="0" item="360"/>
          <tpl hier="3" item="3"/>
          <tpl fld="2" item="0"/>
          <tpl fld="1" item="0"/>
        </tpls>
      </m>
      <m>
        <tpls c="4">
          <tpl fld="0" item="360"/>
          <tpl hier="3" item="3"/>
          <tpl fld="2" item="0"/>
          <tpl fld="1" item="1"/>
        </tpls>
      </m>
      <m>
        <tpls c="4">
          <tpl fld="0" item="361"/>
          <tpl hier="3" item="3"/>
          <tpl fld="2" item="2"/>
          <tpl fld="1" item="0"/>
        </tpls>
      </m>
      <m>
        <tpls c="4">
          <tpl fld="0" item="361"/>
          <tpl hier="3" item="3"/>
          <tpl fld="2" item="2"/>
          <tpl fld="1" item="1"/>
        </tpls>
      </m>
      <m>
        <tpls c="4">
          <tpl fld="0" item="362"/>
          <tpl hier="3" item="3"/>
          <tpl fld="2" item="0"/>
          <tpl fld="1" item="0"/>
        </tpls>
      </m>
      <m>
        <tpls c="4">
          <tpl fld="0" item="362"/>
          <tpl hier="3" item="3"/>
          <tpl fld="2" item="0"/>
          <tpl fld="1" item="1"/>
        </tpls>
      </m>
      <m>
        <tpls c="4">
          <tpl fld="0" item="363"/>
          <tpl hier="3" item="3"/>
          <tpl fld="2" item="2"/>
          <tpl fld="1" item="0"/>
        </tpls>
      </m>
      <m>
        <tpls c="4">
          <tpl fld="0" item="363"/>
          <tpl hier="3" item="3"/>
          <tpl fld="2" item="2"/>
          <tpl fld="1" item="1"/>
        </tpls>
      </m>
      <m>
        <tpls c="4">
          <tpl fld="0" item="364"/>
          <tpl hier="3" item="3"/>
          <tpl fld="2" item="0"/>
          <tpl fld="1" item="0"/>
        </tpls>
      </m>
      <m>
        <tpls c="4">
          <tpl fld="0" item="364"/>
          <tpl hier="3" item="3"/>
          <tpl fld="2" item="0"/>
          <tpl fld="1" item="1"/>
        </tpls>
      </m>
      <m>
        <tpls c="4">
          <tpl fld="0" item="365"/>
          <tpl hier="3" item="3"/>
          <tpl fld="2" item="1"/>
          <tpl fld="1" item="0"/>
        </tpls>
      </m>
      <m>
        <tpls c="4">
          <tpl fld="0" item="365"/>
          <tpl hier="3" item="3"/>
          <tpl fld="2" item="1"/>
          <tpl fld="1" item="1"/>
        </tpls>
      </m>
      <m>
        <tpls c="4">
          <tpl fld="0" item="366"/>
          <tpl hier="3" item="3"/>
          <tpl fld="2" item="2"/>
          <tpl fld="1" item="0"/>
        </tpls>
      </m>
      <m>
        <tpls c="4">
          <tpl fld="0" item="366"/>
          <tpl hier="3" item="3"/>
          <tpl fld="2" item="2"/>
          <tpl fld="1" item="1"/>
        </tpls>
      </m>
      <m>
        <tpls c="4">
          <tpl fld="0" item="367"/>
          <tpl hier="3" item="3"/>
          <tpl fld="2" item="0"/>
          <tpl fld="1" item="0"/>
        </tpls>
      </m>
      <m>
        <tpls c="4">
          <tpl fld="0" item="367"/>
          <tpl hier="3" item="3"/>
          <tpl fld="2" item="0"/>
          <tpl fld="1" item="1"/>
        </tpls>
      </m>
      <m>
        <tpls c="4">
          <tpl fld="0" item="368"/>
          <tpl hier="3" item="3"/>
          <tpl fld="2" item="1"/>
          <tpl fld="1" item="0"/>
        </tpls>
      </m>
      <m>
        <tpls c="4">
          <tpl fld="0" item="368"/>
          <tpl hier="3" item="3"/>
          <tpl fld="2" item="1"/>
          <tpl fld="1" item="1"/>
        </tpls>
      </m>
      <n v="45178" in="0">
        <tpls c="4">
          <tpl fld="0" item="369"/>
          <tpl hier="3" item="3"/>
          <tpl fld="2" item="2"/>
          <tpl fld="1" item="0"/>
        </tpls>
      </n>
      <n v="1500" in="0">
        <tpls c="4">
          <tpl fld="0" item="369"/>
          <tpl hier="3" item="3"/>
          <tpl fld="2" item="2"/>
          <tpl fld="1" item="1"/>
        </tpls>
      </n>
      <m>
        <tpls c="4">
          <tpl fld="0" item="370"/>
          <tpl hier="3" item="3"/>
          <tpl fld="2" item="1"/>
          <tpl fld="1" item="0"/>
        </tpls>
      </m>
      <m>
        <tpls c="4">
          <tpl fld="0" item="370"/>
          <tpl hier="3" item="3"/>
          <tpl fld="2" item="1"/>
          <tpl fld="1" item="1"/>
        </tpls>
      </m>
      <m>
        <tpls c="4">
          <tpl fld="0" item="371"/>
          <tpl hier="3" item="3"/>
          <tpl fld="2" item="0"/>
          <tpl fld="1" item="0"/>
        </tpls>
      </m>
      <m>
        <tpls c="4">
          <tpl fld="0" item="371"/>
          <tpl hier="3" item="3"/>
          <tpl fld="2" item="0"/>
          <tpl fld="1" item="1"/>
        </tpls>
      </m>
      <m>
        <tpls c="4">
          <tpl fld="0" item="372"/>
          <tpl hier="3" item="3"/>
          <tpl fld="2" item="0"/>
          <tpl fld="1" item="0"/>
        </tpls>
      </m>
      <m>
        <tpls c="4">
          <tpl fld="0" item="372"/>
          <tpl hier="3" item="3"/>
          <tpl fld="2" item="0"/>
          <tpl fld="1" item="1"/>
        </tpls>
      </m>
      <m>
        <tpls c="4">
          <tpl fld="0" item="373"/>
          <tpl hier="3" item="3"/>
          <tpl fld="2" item="1"/>
          <tpl fld="1" item="0"/>
        </tpls>
      </m>
      <m>
        <tpls c="4">
          <tpl fld="0" item="373"/>
          <tpl hier="3" item="3"/>
          <tpl fld="2" item="1"/>
          <tpl fld="1" item="1"/>
        </tpls>
      </m>
      <n v="130477" in="0">
        <tpls c="4">
          <tpl fld="0" item="374"/>
          <tpl hier="3" item="3"/>
          <tpl fld="2" item="1"/>
          <tpl fld="1" item="0"/>
        </tpls>
      </n>
      <n v="6750" in="0">
        <tpls c="4">
          <tpl fld="0" item="374"/>
          <tpl hier="3" item="3"/>
          <tpl fld="2" item="1"/>
          <tpl fld="1" item="1"/>
        </tpls>
      </n>
      <m>
        <tpls c="4">
          <tpl fld="0" item="375"/>
          <tpl hier="3" item="3"/>
          <tpl fld="2" item="1"/>
          <tpl fld="1" item="0"/>
        </tpls>
      </m>
      <m>
        <tpls c="4">
          <tpl fld="0" item="375"/>
          <tpl hier="3" item="3"/>
          <tpl fld="2" item="1"/>
          <tpl fld="1" item="1"/>
        </tpls>
      </m>
      <n v="149006" in="0">
        <tpls c="4">
          <tpl fld="0" item="376"/>
          <tpl hier="3" item="3"/>
          <tpl fld="2" item="1"/>
          <tpl fld="1" item="0"/>
        </tpls>
      </n>
      <n v="9000" in="0">
        <tpls c="4">
          <tpl fld="0" item="376"/>
          <tpl hier="3" item="3"/>
          <tpl fld="2" item="1"/>
          <tpl fld="1" item="1"/>
        </tpls>
      </n>
      <m>
        <tpls c="4">
          <tpl fld="0" item="377"/>
          <tpl hier="3" item="3"/>
          <tpl fld="2" item="1"/>
          <tpl fld="1" item="0"/>
        </tpls>
      </m>
      <m>
        <tpls c="4">
          <tpl fld="0" item="377"/>
          <tpl hier="3" item="3"/>
          <tpl fld="2" item="1"/>
          <tpl fld="1" item="1"/>
        </tpls>
      </m>
      <m>
        <tpls c="4">
          <tpl fld="0" item="378"/>
          <tpl hier="3" item="3"/>
          <tpl fld="2" item="0"/>
          <tpl fld="1" item="0"/>
        </tpls>
      </m>
      <m>
        <tpls c="4">
          <tpl fld="0" item="378"/>
          <tpl hier="3" item="3"/>
          <tpl fld="2" item="0"/>
          <tpl fld="1" item="1"/>
        </tpls>
      </m>
      <m>
        <tpls c="4">
          <tpl fld="0" item="379"/>
          <tpl hier="3" item="3"/>
          <tpl fld="2" item="0"/>
          <tpl fld="1" item="0"/>
        </tpls>
      </m>
      <m>
        <tpls c="4">
          <tpl fld="0" item="379"/>
          <tpl hier="3" item="3"/>
          <tpl fld="2" item="0"/>
          <tpl fld="1" item="1"/>
        </tpls>
      </m>
      <m>
        <tpls c="4">
          <tpl fld="0" item="380"/>
          <tpl hier="3" item="3"/>
          <tpl fld="2" item="1"/>
          <tpl fld="1" item="0"/>
        </tpls>
      </m>
      <m>
        <tpls c="4">
          <tpl fld="0" item="380"/>
          <tpl hier="3" item="3"/>
          <tpl fld="2" item="1"/>
          <tpl fld="1" item="1"/>
        </tpls>
      </m>
      <n v="163762" in="0">
        <tpls c="4">
          <tpl fld="0" item="381"/>
          <tpl hier="3" item="3"/>
          <tpl fld="2" item="1"/>
          <tpl fld="1" item="0"/>
        </tpls>
      </n>
      <n v="6750" in="0">
        <tpls c="4">
          <tpl fld="0" item="381"/>
          <tpl hier="3" item="3"/>
          <tpl fld="2" item="1"/>
          <tpl fld="1" item="1"/>
        </tpls>
      </n>
      <m>
        <tpls c="4">
          <tpl fld="0" item="382"/>
          <tpl hier="3" item="3"/>
          <tpl fld="2" item="1"/>
          <tpl fld="1" item="0"/>
        </tpls>
      </m>
      <m>
        <tpls c="4">
          <tpl fld="0" item="382"/>
          <tpl hier="3" item="3"/>
          <tpl fld="2" item="1"/>
          <tpl fld="1" item="1"/>
        </tpls>
      </m>
      <m>
        <tpls c="4">
          <tpl fld="0" item="383"/>
          <tpl hier="3" item="3"/>
          <tpl fld="2" item="0"/>
          <tpl fld="1" item="0"/>
        </tpls>
      </m>
      <m>
        <tpls c="4">
          <tpl fld="0" item="383"/>
          <tpl hier="3" item="3"/>
          <tpl fld="2" item="0"/>
          <tpl fld="1" item="1"/>
        </tpls>
      </m>
      <m>
        <tpls c="4">
          <tpl fld="0" item="384"/>
          <tpl hier="3" item="3"/>
          <tpl fld="2" item="0"/>
          <tpl fld="1" item="0"/>
        </tpls>
      </m>
      <m>
        <tpls c="4">
          <tpl fld="0" item="384"/>
          <tpl hier="3" item="3"/>
          <tpl fld="2" item="0"/>
          <tpl fld="1" item="1"/>
        </tpls>
      </m>
      <m>
        <tpls c="4">
          <tpl fld="0" item="385"/>
          <tpl hier="3" item="3"/>
          <tpl fld="2" item="1"/>
          <tpl fld="1" item="0"/>
        </tpls>
      </m>
      <m>
        <tpls c="4">
          <tpl fld="0" item="385"/>
          <tpl hier="3" item="3"/>
          <tpl fld="2" item="1"/>
          <tpl fld="1" item="1"/>
        </tpls>
      </m>
      <m>
        <tpls c="4">
          <tpl fld="0" item="386"/>
          <tpl hier="3" item="3"/>
          <tpl fld="2" item="0"/>
          <tpl fld="1" item="0"/>
        </tpls>
      </m>
      <m>
        <tpls c="4">
          <tpl fld="0" item="386"/>
          <tpl hier="3" item="3"/>
          <tpl fld="2" item="0"/>
          <tpl fld="1" item="1"/>
        </tpls>
      </m>
      <m>
        <tpls c="4">
          <tpl fld="0" item="387"/>
          <tpl hier="3" item="3"/>
          <tpl fld="2" item="1"/>
          <tpl fld="1" item="0"/>
        </tpls>
      </m>
      <m>
        <tpls c="4">
          <tpl fld="0" item="387"/>
          <tpl hier="3" item="3"/>
          <tpl fld="2" item="1"/>
          <tpl fld="1" item="1"/>
        </tpls>
      </m>
      <m>
        <tpls c="4">
          <tpl fld="0" item="388"/>
          <tpl hier="3" item="3"/>
          <tpl fld="2" item="1"/>
          <tpl fld="1" item="0"/>
        </tpls>
      </m>
      <m>
        <tpls c="4">
          <tpl fld="0" item="388"/>
          <tpl hier="3" item="3"/>
          <tpl fld="2" item="1"/>
          <tpl fld="1" item="1"/>
        </tpls>
      </m>
      <m>
        <tpls c="4">
          <tpl fld="0" item="389"/>
          <tpl hier="3" item="3"/>
          <tpl fld="2" item="0"/>
          <tpl fld="1" item="0"/>
        </tpls>
      </m>
      <m>
        <tpls c="4">
          <tpl fld="0" item="389"/>
          <tpl hier="3" item="3"/>
          <tpl fld="2" item="0"/>
          <tpl fld="1" item="1"/>
        </tpls>
      </m>
      <m>
        <tpls c="4">
          <tpl fld="0" item="390"/>
          <tpl hier="3" item="3"/>
          <tpl fld="2" item="1"/>
          <tpl fld="1" item="0"/>
        </tpls>
      </m>
      <m>
        <tpls c="4">
          <tpl fld="0" item="390"/>
          <tpl hier="3" item="3"/>
          <tpl fld="2" item="1"/>
          <tpl fld="1" item="1"/>
        </tpls>
      </m>
      <m>
        <tpls c="4">
          <tpl fld="0" item="391"/>
          <tpl hier="3" item="3"/>
          <tpl fld="2" item="1"/>
          <tpl fld="1" item="0"/>
        </tpls>
      </m>
      <m>
        <tpls c="4">
          <tpl fld="0" item="391"/>
          <tpl hier="3" item="3"/>
          <tpl fld="2" item="1"/>
          <tpl fld="1" item="1"/>
        </tpls>
      </m>
      <m>
        <tpls c="4">
          <tpl fld="0" item="392"/>
          <tpl hier="3" item="3"/>
          <tpl fld="2" item="0"/>
          <tpl fld="1" item="0"/>
        </tpls>
      </m>
      <m>
        <tpls c="4">
          <tpl fld="0" item="392"/>
          <tpl hier="3" item="3"/>
          <tpl fld="2" item="0"/>
          <tpl fld="1" item="1"/>
        </tpls>
      </m>
      <n v="188748" in="0">
        <tpls c="4">
          <tpl fld="0" item="393"/>
          <tpl hier="3" item="3"/>
          <tpl fld="2" item="1"/>
          <tpl fld="1" item="0"/>
        </tpls>
      </n>
      <n v="6750" in="0">
        <tpls c="4">
          <tpl fld="0" item="393"/>
          <tpl hier="3" item="3"/>
          <tpl fld="2" item="1"/>
          <tpl fld="1" item="1"/>
        </tpls>
      </n>
      <m>
        <tpls c="4">
          <tpl fld="0" item="394"/>
          <tpl hier="3" item="3"/>
          <tpl fld="2" item="0"/>
          <tpl fld="1" item="0"/>
        </tpls>
      </m>
      <m>
        <tpls c="4">
          <tpl fld="0" item="394"/>
          <tpl hier="3" item="3"/>
          <tpl fld="2" item="0"/>
          <tpl fld="1" item="1"/>
        </tpls>
      </m>
      <m>
        <tpls c="4">
          <tpl fld="0" item="395"/>
          <tpl hier="3" item="3"/>
          <tpl fld="2" item="1"/>
          <tpl fld="1" item="0"/>
        </tpls>
      </m>
      <m>
        <tpls c="4">
          <tpl fld="0" item="395"/>
          <tpl hier="3" item="3"/>
          <tpl fld="2" item="1"/>
          <tpl fld="1" item="1"/>
        </tpls>
      </m>
      <m>
        <tpls c="4">
          <tpl fld="0" item="396"/>
          <tpl hier="3" item="3"/>
          <tpl fld="2" item="0"/>
          <tpl fld="1" item="0"/>
        </tpls>
      </m>
      <m>
        <tpls c="4">
          <tpl fld="0" item="396"/>
          <tpl hier="3" item="3"/>
          <tpl fld="2" item="0"/>
          <tpl fld="1" item="1"/>
        </tpls>
      </m>
      <m>
        <tpls c="4">
          <tpl fld="0" item="397"/>
          <tpl hier="3" item="3"/>
          <tpl fld="2" item="1"/>
          <tpl fld="1" item="0"/>
        </tpls>
      </m>
      <m>
        <tpls c="4">
          <tpl fld="0" item="397"/>
          <tpl hier="3" item="3"/>
          <tpl fld="2" item="1"/>
          <tpl fld="1" item="1"/>
        </tpls>
      </m>
      <m>
        <tpls c="4">
          <tpl fld="0" item="398"/>
          <tpl hier="3" item="3"/>
          <tpl fld="2" item="0"/>
          <tpl fld="1" item="0"/>
        </tpls>
      </m>
      <m>
        <tpls c="4">
          <tpl fld="0" item="398"/>
          <tpl hier="3" item="3"/>
          <tpl fld="2" item="0"/>
          <tpl fld="1" item="1"/>
        </tpls>
      </m>
      <m>
        <tpls c="4">
          <tpl fld="0" item="399"/>
          <tpl hier="3" item="3"/>
          <tpl fld="2" item="2"/>
          <tpl fld="1" item="0"/>
        </tpls>
      </m>
      <m>
        <tpls c="4">
          <tpl fld="0" item="399"/>
          <tpl hier="3" item="3"/>
          <tpl fld="2" item="2"/>
          <tpl fld="1" item="1"/>
        </tpls>
      </m>
      <m>
        <tpls c="4">
          <tpl fld="0" item="400"/>
          <tpl hier="3" item="3"/>
          <tpl fld="2" item="1"/>
          <tpl fld="1" item="0"/>
        </tpls>
      </m>
      <m>
        <tpls c="4">
          <tpl fld="0" item="400"/>
          <tpl hier="3" item="3"/>
          <tpl fld="2" item="1"/>
          <tpl fld="1" item="1"/>
        </tpls>
      </m>
      <m>
        <tpls c="4">
          <tpl fld="0" item="401"/>
          <tpl hier="3" item="3"/>
          <tpl fld="2" item="0"/>
          <tpl fld="1" item="0"/>
        </tpls>
      </m>
      <m>
        <tpls c="4">
          <tpl fld="0" item="401"/>
          <tpl hier="3" item="3"/>
          <tpl fld="2" item="0"/>
          <tpl fld="1" item="1"/>
        </tpls>
      </m>
      <m>
        <tpls c="4">
          <tpl fld="0" item="402"/>
          <tpl hier="3" item="3"/>
          <tpl fld="2" item="0"/>
          <tpl fld="1" item="0"/>
        </tpls>
      </m>
      <m>
        <tpls c="4">
          <tpl fld="0" item="402"/>
          <tpl hier="3" item="3"/>
          <tpl fld="2" item="0"/>
          <tpl fld="1" item="1"/>
        </tpls>
      </m>
      <n v="206152" in="0">
        <tpls c="4">
          <tpl fld="0" item="403"/>
          <tpl hier="3" item="3"/>
          <tpl fld="2" item="1"/>
          <tpl fld="1" item="0"/>
        </tpls>
      </n>
      <n v="6750" in="0">
        <tpls c="4">
          <tpl fld="0" item="403"/>
          <tpl hier="3" item="3"/>
          <tpl fld="2" item="1"/>
          <tpl fld="1" item="1"/>
        </tpls>
      </n>
      <m>
        <tpls c="4">
          <tpl fld="0" item="404"/>
          <tpl hier="3" item="3"/>
          <tpl fld="2" item="1"/>
          <tpl fld="1" item="0"/>
        </tpls>
      </m>
      <m>
        <tpls c="4">
          <tpl fld="0" item="404"/>
          <tpl hier="3" item="3"/>
          <tpl fld="2" item="1"/>
          <tpl fld="1" item="1"/>
        </tpls>
      </m>
      <m>
        <tpls c="4">
          <tpl fld="0" item="405"/>
          <tpl hier="3" item="3"/>
          <tpl fld="2" item="1"/>
          <tpl fld="1" item="0"/>
        </tpls>
      </m>
      <m>
        <tpls c="4">
          <tpl fld="0" item="405"/>
          <tpl hier="3" item="3"/>
          <tpl fld="2" item="1"/>
          <tpl fld="1" item="1"/>
        </tpls>
      </m>
      <m>
        <tpls c="4">
          <tpl fld="0" item="406"/>
          <tpl hier="3" item="3"/>
          <tpl fld="2" item="1"/>
          <tpl fld="1" item="0"/>
        </tpls>
      </m>
      <m>
        <tpls c="4">
          <tpl fld="0" item="406"/>
          <tpl hier="3" item="3"/>
          <tpl fld="2" item="1"/>
          <tpl fld="1" item="1"/>
        </tpls>
      </m>
      <m>
        <tpls c="4">
          <tpl fld="0" item="407"/>
          <tpl hier="3" item="3"/>
          <tpl fld="2" item="0"/>
          <tpl fld="1" item="0"/>
        </tpls>
      </m>
      <m>
        <tpls c="4">
          <tpl fld="0" item="407"/>
          <tpl hier="3" item="3"/>
          <tpl fld="2" item="0"/>
          <tpl fld="1" item="1"/>
        </tpls>
      </m>
      <m>
        <tpls c="4">
          <tpl fld="0" item="408"/>
          <tpl hier="3" item="3"/>
          <tpl fld="2" item="0"/>
          <tpl fld="1" item="0"/>
        </tpls>
      </m>
      <m>
        <tpls c="4">
          <tpl fld="0" item="408"/>
          <tpl hier="3" item="3"/>
          <tpl fld="2" item="0"/>
          <tpl fld="1" item="1"/>
        </tpls>
      </m>
      <n v="89231" in="0">
        <tpls c="4">
          <tpl fld="0" item="409"/>
          <tpl hier="3" item="3"/>
          <tpl fld="2" item="0"/>
          <tpl fld="1" item="0"/>
        </tpls>
      </n>
      <n v="4200" in="0">
        <tpls c="4">
          <tpl fld="0" item="409"/>
          <tpl hier="3" item="3"/>
          <tpl fld="2" item="0"/>
          <tpl fld="1" item="1"/>
        </tpls>
      </n>
      <m>
        <tpls c="4">
          <tpl fld="0" item="410"/>
          <tpl hier="3" item="3"/>
          <tpl fld="2" item="1"/>
          <tpl fld="1" item="0"/>
        </tpls>
      </m>
      <m>
        <tpls c="4">
          <tpl fld="0" item="410"/>
          <tpl hier="3" item="3"/>
          <tpl fld="2" item="1"/>
          <tpl fld="1" item="1"/>
        </tpls>
      </m>
      <m>
        <tpls c="4">
          <tpl fld="0" item="411"/>
          <tpl hier="3" item="3"/>
          <tpl fld="2" item="1"/>
          <tpl fld="1" item="0"/>
        </tpls>
      </m>
      <m>
        <tpls c="4">
          <tpl fld="0" item="411"/>
          <tpl hier="3" item="3"/>
          <tpl fld="2" item="1"/>
          <tpl fld="1" item="1"/>
        </tpls>
      </m>
      <n v="160422" in="0">
        <tpls c="4">
          <tpl fld="0" item="412"/>
          <tpl hier="3" item="3"/>
          <tpl fld="2" item="1"/>
          <tpl fld="1" item="0"/>
        </tpls>
      </n>
      <n v="9000" in="0">
        <tpls c="4">
          <tpl fld="0" item="412"/>
          <tpl hier="3" item="3"/>
          <tpl fld="2" item="1"/>
          <tpl fld="1" item="1"/>
        </tpls>
      </n>
      <m>
        <tpls c="4">
          <tpl fld="0" item="413"/>
          <tpl hier="3" item="3"/>
          <tpl fld="2" item="1"/>
          <tpl fld="1" item="0"/>
        </tpls>
      </m>
      <m>
        <tpls c="4">
          <tpl fld="0" item="413"/>
          <tpl hier="3" item="3"/>
          <tpl fld="2" item="1"/>
          <tpl fld="1" item="1"/>
        </tpls>
      </m>
      <n v="60048" in="0">
        <tpls c="4">
          <tpl fld="0" item="414"/>
          <tpl hier="3" item="3"/>
          <tpl fld="2" item="0"/>
          <tpl fld="1" item="0"/>
        </tpls>
      </n>
      <n v="2800" in="0">
        <tpls c="4">
          <tpl fld="0" item="414"/>
          <tpl hier="3" item="3"/>
          <tpl fld="2" item="0"/>
          <tpl fld="1" item="1"/>
        </tpls>
      </n>
      <m>
        <tpls c="4">
          <tpl fld="0" item="415"/>
          <tpl hier="3" item="3"/>
          <tpl fld="2" item="0"/>
          <tpl fld="1" item="0"/>
        </tpls>
      </m>
      <m>
        <tpls c="4">
          <tpl fld="0" item="415"/>
          <tpl hier="3" item="3"/>
          <tpl fld="2" item="0"/>
          <tpl fld="1" item="1"/>
        </tpls>
      </m>
      <m>
        <tpls c="4">
          <tpl fld="0" item="416"/>
          <tpl hier="3" item="3"/>
          <tpl fld="2" item="2"/>
          <tpl fld="1" item="0"/>
        </tpls>
      </m>
      <m>
        <tpls c="4">
          <tpl fld="0" item="416"/>
          <tpl hier="3" item="3"/>
          <tpl fld="2" item="2"/>
          <tpl fld="1" item="1"/>
        </tpls>
      </m>
      <m>
        <tpls c="4">
          <tpl fld="0" item="417"/>
          <tpl hier="3" item="3"/>
          <tpl fld="2" item="0"/>
          <tpl fld="1" item="0"/>
        </tpls>
      </m>
      <m>
        <tpls c="4">
          <tpl fld="0" item="417"/>
          <tpl hier="3" item="3"/>
          <tpl fld="2" item="0"/>
          <tpl fld="1" item="1"/>
        </tpls>
      </m>
      <m>
        <tpls c="4">
          <tpl fld="0" item="418"/>
          <tpl hier="3" item="3"/>
          <tpl fld="2" item="0"/>
          <tpl fld="1" item="0"/>
        </tpls>
      </m>
      <m>
        <tpls c="4">
          <tpl fld="0" item="418"/>
          <tpl hier="3" item="3"/>
          <tpl fld="2" item="0"/>
          <tpl fld="1" item="1"/>
        </tpls>
      </m>
      <n v="184247" in="0">
        <tpls c="4">
          <tpl fld="0" item="419"/>
          <tpl hier="3" item="3"/>
          <tpl fld="2" item="1"/>
          <tpl fld="1" item="0"/>
        </tpls>
      </n>
      <n v="9000" in="0">
        <tpls c="4">
          <tpl fld="0" item="419"/>
          <tpl hier="3" item="3"/>
          <tpl fld="2" item="1"/>
          <tpl fld="1" item="1"/>
        </tpls>
      </n>
      <m>
        <tpls c="4">
          <tpl fld="0" item="420"/>
          <tpl hier="3" item="3"/>
          <tpl fld="2" item="0"/>
          <tpl fld="1" item="0"/>
        </tpls>
      </m>
      <m>
        <tpls c="4">
          <tpl fld="0" item="420"/>
          <tpl hier="3" item="3"/>
          <tpl fld="2" item="0"/>
          <tpl fld="1" item="1"/>
        </tpls>
      </m>
      <m>
        <tpls c="4">
          <tpl fld="0" item="421"/>
          <tpl hier="3" item="3"/>
          <tpl fld="2" item="0"/>
          <tpl fld="1" item="0"/>
        </tpls>
      </m>
      <m>
        <tpls c="4">
          <tpl fld="0" item="421"/>
          <tpl hier="3" item="3"/>
          <tpl fld="2" item="0"/>
          <tpl fld="1" item="1"/>
        </tpls>
      </m>
      <m>
        <tpls c="4">
          <tpl fld="0" item="422"/>
          <tpl hier="3" item="3"/>
          <tpl fld="2" item="0"/>
          <tpl fld="1" item="0"/>
        </tpls>
      </m>
      <m>
        <tpls c="4">
          <tpl fld="0" item="422"/>
          <tpl hier="3" item="3"/>
          <tpl fld="2" item="0"/>
          <tpl fld="1" item="1"/>
        </tpls>
      </m>
      <m>
        <tpls c="4">
          <tpl fld="0" item="423"/>
          <tpl hier="3" item="3"/>
          <tpl fld="2" item="1"/>
          <tpl fld="1" item="0"/>
        </tpls>
      </m>
      <m>
        <tpls c="4">
          <tpl fld="0" item="423"/>
          <tpl hier="3" item="3"/>
          <tpl fld="2" item="1"/>
          <tpl fld="1" item="1"/>
        </tpls>
      </m>
      <n v="128762" in="0">
        <tpls c="4">
          <tpl fld="0" item="424"/>
          <tpl hier="3" item="3"/>
          <tpl fld="2" item="1"/>
          <tpl fld="1" item="0"/>
        </tpls>
      </n>
      <n v="6750" in="0">
        <tpls c="4">
          <tpl fld="0" item="424"/>
          <tpl hier="3" item="3"/>
          <tpl fld="2" item="1"/>
          <tpl fld="1" item="1"/>
        </tpls>
      </n>
      <m>
        <tpls c="4">
          <tpl fld="0" item="425"/>
          <tpl hier="3" item="3"/>
          <tpl fld="2" item="0"/>
          <tpl fld="1" item="0"/>
        </tpls>
      </m>
      <m>
        <tpls c="4">
          <tpl fld="0" item="425"/>
          <tpl hier="3" item="3"/>
          <tpl fld="2" item="0"/>
          <tpl fld="1" item="1"/>
        </tpls>
      </m>
      <m>
        <tpls c="4">
          <tpl fld="0" item="426"/>
          <tpl hier="3" item="3"/>
          <tpl fld="2" item="2"/>
          <tpl fld="1" item="0"/>
        </tpls>
      </m>
      <m>
        <tpls c="4">
          <tpl fld="0" item="426"/>
          <tpl hier="3" item="3"/>
          <tpl fld="2" item="2"/>
          <tpl fld="1" item="1"/>
        </tpls>
      </m>
      <m>
        <tpls c="4">
          <tpl fld="0" item="427"/>
          <tpl hier="3" item="3"/>
          <tpl fld="2" item="1"/>
          <tpl fld="1" item="0"/>
        </tpls>
      </m>
      <m>
        <tpls c="4">
          <tpl fld="0" item="427"/>
          <tpl hier="3" item="3"/>
          <tpl fld="2" item="1"/>
          <tpl fld="1" item="1"/>
        </tpls>
      </m>
      <m>
        <tpls c="4">
          <tpl fld="0" item="428"/>
          <tpl hier="3" item="3"/>
          <tpl fld="2" item="2"/>
          <tpl fld="1" item="0"/>
        </tpls>
      </m>
      <m>
        <tpls c="4">
          <tpl fld="0" item="428"/>
          <tpl hier="3" item="3"/>
          <tpl fld="2" item="2"/>
          <tpl fld="1" item="1"/>
        </tpls>
      </m>
      <m>
        <tpls c="4">
          <tpl fld="0" item="429"/>
          <tpl hier="3" item="3"/>
          <tpl fld="2" item="1"/>
          <tpl fld="1" item="0"/>
        </tpls>
      </m>
      <m>
        <tpls c="4">
          <tpl fld="0" item="429"/>
          <tpl hier="3" item="3"/>
          <tpl fld="2" item="1"/>
          <tpl fld="1" item="1"/>
        </tpls>
      </m>
      <m>
        <tpls c="4">
          <tpl fld="0" item="430"/>
          <tpl hier="3" item="3"/>
          <tpl fld="2" item="1"/>
          <tpl fld="1" item="0"/>
        </tpls>
      </m>
      <m>
        <tpls c="4">
          <tpl fld="0" item="430"/>
          <tpl hier="3" item="3"/>
          <tpl fld="2" item="1"/>
          <tpl fld="1" item="1"/>
        </tpls>
      </m>
      <m>
        <tpls c="4">
          <tpl fld="0" item="431"/>
          <tpl hier="3" item="3"/>
          <tpl fld="2" item="2"/>
          <tpl fld="1" item="0"/>
        </tpls>
      </m>
      <m>
        <tpls c="4">
          <tpl fld="0" item="431"/>
          <tpl hier="3" item="3"/>
          <tpl fld="2" item="2"/>
          <tpl fld="1" item="1"/>
        </tpls>
      </m>
      <m>
        <tpls c="4">
          <tpl fld="0" item="432"/>
          <tpl hier="3" item="3"/>
          <tpl fld="2" item="2"/>
          <tpl fld="1" item="0"/>
        </tpls>
      </m>
      <m>
        <tpls c="4">
          <tpl fld="0" item="432"/>
          <tpl hier="3" item="3"/>
          <tpl fld="2" item="2"/>
          <tpl fld="1" item="1"/>
        </tpls>
      </m>
      <n v="227320" in="0">
        <tpls c="4">
          <tpl fld="0" item="433"/>
          <tpl hier="3" item="3"/>
          <tpl fld="2" item="1"/>
          <tpl fld="1" item="0"/>
        </tpls>
      </n>
      <n v="6750" in="0">
        <tpls c="4">
          <tpl fld="0" item="433"/>
          <tpl hier="3" item="3"/>
          <tpl fld="2" item="1"/>
          <tpl fld="1" item="1"/>
        </tpls>
      </n>
      <m>
        <tpls c="4">
          <tpl fld="0" item="434"/>
          <tpl hier="3" item="3"/>
          <tpl fld="2" item="0"/>
          <tpl fld="1" item="0"/>
        </tpls>
      </m>
      <m>
        <tpls c="4">
          <tpl fld="0" item="434"/>
          <tpl hier="3" item="3"/>
          <tpl fld="2" item="0"/>
          <tpl fld="1" item="1"/>
        </tpls>
      </m>
      <m>
        <tpls c="4">
          <tpl fld="0" item="435"/>
          <tpl hier="3" item="3"/>
          <tpl fld="2" item="0"/>
          <tpl fld="1" item="0"/>
        </tpls>
      </m>
      <m>
        <tpls c="4">
          <tpl fld="0" item="435"/>
          <tpl hier="3" item="3"/>
          <tpl fld="2" item="0"/>
          <tpl fld="1" item="1"/>
        </tpls>
      </m>
      <m>
        <tpls c="4">
          <tpl fld="0" item="436"/>
          <tpl hier="3" item="3"/>
          <tpl fld="2" item="1"/>
          <tpl fld="1" item="0"/>
        </tpls>
      </m>
      <m>
        <tpls c="4">
          <tpl fld="0" item="436"/>
          <tpl hier="3" item="3"/>
          <tpl fld="2" item="1"/>
          <tpl fld="1" item="1"/>
        </tpls>
      </m>
      <m>
        <tpls c="4">
          <tpl fld="0" item="437"/>
          <tpl hier="3" item="3"/>
          <tpl fld="2" item="1"/>
          <tpl fld="1" item="0"/>
        </tpls>
      </m>
      <m>
        <tpls c="4">
          <tpl fld="0" item="437"/>
          <tpl hier="3" item="3"/>
          <tpl fld="2" item="1"/>
          <tpl fld="1" item="1"/>
        </tpls>
      </m>
      <m>
        <tpls c="4">
          <tpl fld="0" item="438"/>
          <tpl hier="3" item="3"/>
          <tpl fld="2" item="1"/>
          <tpl fld="1" item="0"/>
        </tpls>
      </m>
      <m>
        <tpls c="4">
          <tpl fld="0" item="438"/>
          <tpl hier="3" item="3"/>
          <tpl fld="2" item="1"/>
          <tpl fld="1" item="1"/>
        </tpls>
      </m>
      <m>
        <tpls c="4">
          <tpl fld="0" item="439"/>
          <tpl hier="3" item="3"/>
          <tpl fld="2" item="1"/>
          <tpl fld="1" item="0"/>
        </tpls>
      </m>
      <m>
        <tpls c="4">
          <tpl fld="0" item="439"/>
          <tpl hier="3" item="3"/>
          <tpl fld="2" item="1"/>
          <tpl fld="1" item="1"/>
        </tpls>
      </m>
      <m>
        <tpls c="4">
          <tpl fld="0" item="440"/>
          <tpl hier="3" item="3"/>
          <tpl fld="2" item="0"/>
          <tpl fld="1" item="0"/>
        </tpls>
      </m>
      <m>
        <tpls c="4">
          <tpl fld="0" item="440"/>
          <tpl hier="3" item="3"/>
          <tpl fld="2" item="0"/>
          <tpl fld="1" item="1"/>
        </tpls>
      </m>
      <n v="58751" in="0">
        <tpls c="4">
          <tpl fld="0" item="441"/>
          <tpl hier="3" item="3"/>
          <tpl fld="2" item="2"/>
          <tpl fld="1" item="0"/>
        </tpls>
      </n>
      <n v="1500" in="0">
        <tpls c="4">
          <tpl fld="0" item="441"/>
          <tpl hier="3" item="3"/>
          <tpl fld="2" item="2"/>
          <tpl fld="1" item="1"/>
        </tpls>
      </n>
      <m>
        <tpls c="4">
          <tpl fld="0" item="442"/>
          <tpl hier="3" item="3"/>
          <tpl fld="2" item="1"/>
          <tpl fld="1" item="0"/>
        </tpls>
      </m>
      <m>
        <tpls c="4">
          <tpl fld="0" item="442"/>
          <tpl hier="3" item="3"/>
          <tpl fld="2" item="1"/>
          <tpl fld="1" item="1"/>
        </tpls>
      </m>
      <m>
        <tpls c="4">
          <tpl fld="0" item="443"/>
          <tpl hier="3" item="3"/>
          <tpl fld="2" item="0"/>
          <tpl fld="1" item="0"/>
        </tpls>
      </m>
      <m>
        <tpls c="4">
          <tpl fld="0" item="443"/>
          <tpl hier="3" item="3"/>
          <tpl fld="2" item="0"/>
          <tpl fld="1" item="1"/>
        </tpls>
      </m>
      <m>
        <tpls c="4">
          <tpl fld="0" item="444"/>
          <tpl hier="3" item="3"/>
          <tpl fld="2" item="0"/>
          <tpl fld="1" item="0"/>
        </tpls>
      </m>
      <m>
        <tpls c="4">
          <tpl fld="0" item="444"/>
          <tpl hier="3" item="3"/>
          <tpl fld="2" item="0"/>
          <tpl fld="1" item="1"/>
        </tpls>
      </m>
      <m>
        <tpls c="4">
          <tpl fld="0" item="445"/>
          <tpl hier="3" item="3"/>
          <tpl fld="2" item="1"/>
          <tpl fld="1" item="0"/>
        </tpls>
      </m>
      <m>
        <tpls c="4">
          <tpl fld="0" item="445"/>
          <tpl hier="3" item="3"/>
          <tpl fld="2" item="1"/>
          <tpl fld="1" item="1"/>
        </tpls>
      </m>
      <m>
        <tpls c="4">
          <tpl fld="0" item="446"/>
          <tpl hier="3" item="3"/>
          <tpl fld="2" item="0"/>
          <tpl fld="1" item="0"/>
        </tpls>
      </m>
      <m>
        <tpls c="4">
          <tpl fld="0" item="446"/>
          <tpl hier="3" item="3"/>
          <tpl fld="2" item="0"/>
          <tpl fld="1" item="1"/>
        </tpls>
      </m>
      <n v="110236" in="0">
        <tpls c="4">
          <tpl fld="0" item="447"/>
          <tpl hier="3" item="3"/>
          <tpl fld="2" item="0"/>
          <tpl fld="1" item="0"/>
        </tpls>
      </n>
      <n v="4200" in="0">
        <tpls c="4">
          <tpl fld="0" item="447"/>
          <tpl hier="3" item="3"/>
          <tpl fld="2" item="0"/>
          <tpl fld="1" item="1"/>
        </tpls>
      </n>
      <n v="40601" in="0">
        <tpls c="4">
          <tpl fld="0" item="448"/>
          <tpl hier="3" item="3"/>
          <tpl fld="2" item="2"/>
          <tpl fld="1" item="0"/>
        </tpls>
      </n>
      <n v="1500" in="0">
        <tpls c="4">
          <tpl fld="0" item="448"/>
          <tpl hier="3" item="3"/>
          <tpl fld="2" item="2"/>
          <tpl fld="1" item="1"/>
        </tpls>
      </n>
      <m>
        <tpls c="4">
          <tpl fld="0" item="449"/>
          <tpl hier="3" item="3"/>
          <tpl fld="2" item="0"/>
          <tpl fld="1" item="0"/>
        </tpls>
      </m>
      <m>
        <tpls c="4">
          <tpl fld="0" item="449"/>
          <tpl hier="3" item="3"/>
          <tpl fld="2" item="0"/>
          <tpl fld="1" item="1"/>
        </tpls>
      </m>
      <m>
        <tpls c="4">
          <tpl fld="0" item="450"/>
          <tpl hier="3" item="3"/>
          <tpl fld="2" item="2"/>
          <tpl fld="1" item="0"/>
        </tpls>
      </m>
      <m>
        <tpls c="4">
          <tpl fld="0" item="450"/>
          <tpl hier="3" item="3"/>
          <tpl fld="2" item="2"/>
          <tpl fld="1" item="1"/>
        </tpls>
      </m>
      <n v="64297" in="0">
        <tpls c="4">
          <tpl fld="0" item="451"/>
          <tpl hier="3" item="3"/>
          <tpl fld="2" item="0"/>
          <tpl fld="1" item="0"/>
        </tpls>
      </n>
      <n v="4200" in="0">
        <tpls c="4">
          <tpl fld="0" item="451"/>
          <tpl hier="3" item="3"/>
          <tpl fld="2" item="0"/>
          <tpl fld="1" item="1"/>
        </tpls>
      </n>
      <m>
        <tpls c="4">
          <tpl fld="0" item="452"/>
          <tpl hier="3" item="3"/>
          <tpl fld="2" item="0"/>
          <tpl fld="1" item="0"/>
        </tpls>
      </m>
      <m>
        <tpls c="4">
          <tpl fld="0" item="452"/>
          <tpl hier="3" item="3"/>
          <tpl fld="2" item="0"/>
          <tpl fld="1" item="1"/>
        </tpls>
      </m>
      <n v="133787" in="0">
        <tpls c="4">
          <tpl fld="0" item="453"/>
          <tpl hier="3" item="3"/>
          <tpl fld="2" item="1"/>
          <tpl fld="1" item="0"/>
        </tpls>
      </n>
      <n v="9000" in="0">
        <tpls c="4">
          <tpl fld="0" item="453"/>
          <tpl hier="3" item="3"/>
          <tpl fld="2" item="1"/>
          <tpl fld="1" item="1"/>
        </tpls>
      </n>
      <m>
        <tpls c="4">
          <tpl fld="0" item="454"/>
          <tpl hier="3" item="3"/>
          <tpl fld="2" item="2"/>
          <tpl fld="1" item="0"/>
        </tpls>
      </m>
      <m>
        <tpls c="4">
          <tpl fld="0" item="454"/>
          <tpl hier="3" item="3"/>
          <tpl fld="2" item="2"/>
          <tpl fld="1" item="1"/>
        </tpls>
      </m>
      <n v="123349" in="0">
        <tpls c="4">
          <tpl fld="0" item="455"/>
          <tpl hier="3" item="3"/>
          <tpl fld="2" item="1"/>
          <tpl fld="1" item="0"/>
        </tpls>
      </n>
      <n v="9000" in="0">
        <tpls c="4">
          <tpl fld="0" item="455"/>
          <tpl hier="3" item="3"/>
          <tpl fld="2" item="1"/>
          <tpl fld="1" item="1"/>
        </tpls>
      </n>
      <m>
        <tpls c="4">
          <tpl fld="0" item="456"/>
          <tpl hier="3" item="3"/>
          <tpl fld="2" item="1"/>
          <tpl fld="1" item="0"/>
        </tpls>
      </m>
      <m>
        <tpls c="4">
          <tpl fld="0" item="456"/>
          <tpl hier="3" item="3"/>
          <tpl fld="2" item="1"/>
          <tpl fld="1" item="1"/>
        </tpls>
      </m>
      <m>
        <tpls c="4">
          <tpl fld="0" item="457"/>
          <tpl hier="3" item="3"/>
          <tpl fld="2" item="0"/>
          <tpl fld="1" item="0"/>
        </tpls>
      </m>
      <m>
        <tpls c="4">
          <tpl fld="0" item="457"/>
          <tpl hier="3" item="3"/>
          <tpl fld="2" item="0"/>
          <tpl fld="1" item="1"/>
        </tpls>
      </m>
      <m>
        <tpls c="4">
          <tpl fld="0" item="458"/>
          <tpl hier="3" item="3"/>
          <tpl fld="2" item="0"/>
          <tpl fld="1" item="0"/>
        </tpls>
      </m>
      <m>
        <tpls c="4">
          <tpl fld="0" item="458"/>
          <tpl hier="3" item="3"/>
          <tpl fld="2" item="0"/>
          <tpl fld="1" item="1"/>
        </tpls>
      </m>
      <m>
        <tpls c="4">
          <tpl fld="0" item="459"/>
          <tpl hier="3" item="3"/>
          <tpl fld="2" item="1"/>
          <tpl fld="1" item="0"/>
        </tpls>
      </m>
      <m>
        <tpls c="4">
          <tpl fld="0" item="459"/>
          <tpl hier="3" item="3"/>
          <tpl fld="2" item="1"/>
          <tpl fld="1" item="1"/>
        </tpls>
      </m>
      <m>
        <tpls c="4">
          <tpl fld="0" item="460"/>
          <tpl hier="3" item="3"/>
          <tpl fld="2" item="0"/>
          <tpl fld="1" item="0"/>
        </tpls>
      </m>
      <m>
        <tpls c="4">
          <tpl fld="0" item="460"/>
          <tpl hier="3" item="3"/>
          <tpl fld="2" item="0"/>
          <tpl fld="1" item="1"/>
        </tpls>
      </m>
      <m>
        <tpls c="4">
          <tpl fld="0" item="461"/>
          <tpl hier="3" item="3"/>
          <tpl fld="2" item="1"/>
          <tpl fld="1" item="0"/>
        </tpls>
      </m>
      <m>
        <tpls c="4">
          <tpl fld="0" item="461"/>
          <tpl hier="3" item="3"/>
          <tpl fld="2" item="1"/>
          <tpl fld="1" item="1"/>
        </tpls>
      </m>
      <m>
        <tpls c="4">
          <tpl fld="0" item="462"/>
          <tpl hier="3" item="3"/>
          <tpl fld="2" item="2"/>
          <tpl fld="1" item="0"/>
        </tpls>
      </m>
      <m>
        <tpls c="4">
          <tpl fld="0" item="462"/>
          <tpl hier="3" item="3"/>
          <tpl fld="2" item="2"/>
          <tpl fld="1" item="1"/>
        </tpls>
      </m>
      <m>
        <tpls c="4">
          <tpl fld="0" item="463"/>
          <tpl hier="3" item="3"/>
          <tpl fld="2" item="1"/>
          <tpl fld="1" item="0"/>
        </tpls>
      </m>
      <m>
        <tpls c="4">
          <tpl fld="0" item="463"/>
          <tpl hier="3" item="3"/>
          <tpl fld="2" item="1"/>
          <tpl fld="1" item="1"/>
        </tpls>
      </m>
      <m>
        <tpls c="4">
          <tpl fld="0" item="464"/>
          <tpl hier="3" item="3"/>
          <tpl fld="2" item="2"/>
          <tpl fld="1" item="0"/>
        </tpls>
      </m>
      <m>
        <tpls c="4">
          <tpl fld="0" item="464"/>
          <tpl hier="3" item="3"/>
          <tpl fld="2" item="2"/>
          <tpl fld="1" item="1"/>
        </tpls>
      </m>
      <m>
        <tpls c="4">
          <tpl fld="0" item="465"/>
          <tpl hier="3" item="3"/>
          <tpl fld="2" item="1"/>
          <tpl fld="1" item="0"/>
        </tpls>
      </m>
      <m>
        <tpls c="4">
          <tpl fld="0" item="465"/>
          <tpl hier="3" item="3"/>
          <tpl fld="2" item="1"/>
          <tpl fld="1" item="1"/>
        </tpls>
      </m>
      <m>
        <tpls c="4">
          <tpl fld="0" item="466"/>
          <tpl hier="3" item="3"/>
          <tpl fld="2" item="0"/>
          <tpl fld="1" item="0"/>
        </tpls>
      </m>
      <m>
        <tpls c="4">
          <tpl fld="0" item="466"/>
          <tpl hier="3" item="3"/>
          <tpl fld="2" item="0"/>
          <tpl fld="1" item="1"/>
        </tpls>
      </m>
      <m>
        <tpls c="4">
          <tpl fld="0" item="467"/>
          <tpl hier="3" item="3"/>
          <tpl fld="2" item="1"/>
          <tpl fld="1" item="0"/>
        </tpls>
      </m>
      <m>
        <tpls c="4">
          <tpl fld="0" item="467"/>
          <tpl hier="3" item="3"/>
          <tpl fld="2" item="1"/>
          <tpl fld="1" item="1"/>
        </tpls>
      </m>
      <m>
        <tpls c="4">
          <tpl fld="0" item="468"/>
          <tpl hier="3" item="3"/>
          <tpl fld="2" item="2"/>
          <tpl fld="1" item="0"/>
        </tpls>
      </m>
      <m>
        <tpls c="4">
          <tpl fld="0" item="468"/>
          <tpl hier="3" item="3"/>
          <tpl fld="2" item="2"/>
          <tpl fld="1" item="1"/>
        </tpls>
      </m>
      <n v="118940" in="0">
        <tpls c="4">
          <tpl fld="0" item="469"/>
          <tpl hier="3" item="3"/>
          <tpl fld="2" item="0"/>
          <tpl fld="1" item="0"/>
        </tpls>
      </n>
      <n v="2800" in="0">
        <tpls c="4">
          <tpl fld="0" item="469"/>
          <tpl hier="3" item="3"/>
          <tpl fld="2" item="0"/>
          <tpl fld="1" item="1"/>
        </tpls>
      </n>
      <m>
        <tpls c="4">
          <tpl fld="0" item="470"/>
          <tpl hier="3" item="3"/>
          <tpl fld="2" item="1"/>
          <tpl fld="1" item="0"/>
        </tpls>
      </m>
      <m>
        <tpls c="4">
          <tpl fld="0" item="470"/>
          <tpl hier="3" item="3"/>
          <tpl fld="2" item="1"/>
          <tpl fld="1" item="1"/>
        </tpls>
      </m>
      <m>
        <tpls c="4">
          <tpl fld="0" item="471"/>
          <tpl hier="3" item="3"/>
          <tpl fld="2" item="0"/>
          <tpl fld="1" item="0"/>
        </tpls>
      </m>
      <m>
        <tpls c="4">
          <tpl fld="0" item="471"/>
          <tpl hier="3" item="3"/>
          <tpl fld="2" item="0"/>
          <tpl fld="1" item="1"/>
        </tpls>
      </m>
      <m>
        <tpls c="4">
          <tpl fld="0" item="472"/>
          <tpl hier="3" item="3"/>
          <tpl fld="2" item="1"/>
          <tpl fld="1" item="0"/>
        </tpls>
      </m>
      <m>
        <tpls c="4">
          <tpl fld="0" item="472"/>
          <tpl hier="3" item="3"/>
          <tpl fld="2" item="1"/>
          <tpl fld="1" item="1"/>
        </tpls>
      </m>
      <m>
        <tpls c="4">
          <tpl fld="0" item="473"/>
          <tpl hier="3" item="3"/>
          <tpl fld="2" item="1"/>
          <tpl fld="1" item="0"/>
        </tpls>
      </m>
      <m>
        <tpls c="4">
          <tpl fld="0" item="473"/>
          <tpl hier="3" item="3"/>
          <tpl fld="2" item="1"/>
          <tpl fld="1" item="1"/>
        </tpls>
      </m>
      <n v="105085" in="0">
        <tpls c="4">
          <tpl fld="0" item="474"/>
          <tpl hier="3" item="3"/>
          <tpl fld="2" item="0"/>
          <tpl fld="1" item="0"/>
        </tpls>
      </n>
      <n v="4200" in="0">
        <tpls c="4">
          <tpl fld="0" item="474"/>
          <tpl hier="3" item="3"/>
          <tpl fld="2" item="0"/>
          <tpl fld="1" item="1"/>
        </tpls>
      </n>
      <n v="130254" in="0">
        <tpls c="4">
          <tpl fld="0" item="475"/>
          <tpl hier="3" item="3"/>
          <tpl fld="2" item="1"/>
          <tpl fld="1" item="0"/>
        </tpls>
      </n>
      <n v="9000" in="0">
        <tpls c="4">
          <tpl fld="0" item="475"/>
          <tpl hier="3" item="3"/>
          <tpl fld="2" item="1"/>
          <tpl fld="1" item="1"/>
        </tpls>
      </n>
      <n v="123493" in="0">
        <tpls c="4">
          <tpl fld="0" item="476"/>
          <tpl hier="3" item="3"/>
          <tpl fld="2" item="1"/>
          <tpl fld="1" item="0"/>
        </tpls>
      </n>
      <n v="9000" in="0">
        <tpls c="4">
          <tpl fld="0" item="476"/>
          <tpl hier="3" item="3"/>
          <tpl fld="2" item="1"/>
          <tpl fld="1" item="1"/>
        </tpls>
      </n>
      <m>
        <tpls c="4">
          <tpl fld="0" item="477"/>
          <tpl hier="3" item="3"/>
          <tpl fld="2" item="1"/>
          <tpl fld="1" item="0"/>
        </tpls>
      </m>
      <m>
        <tpls c="4">
          <tpl fld="0" item="477"/>
          <tpl hier="3" item="3"/>
          <tpl fld="2" item="1"/>
          <tpl fld="1" item="1"/>
        </tpls>
      </m>
      <m>
        <tpls c="4">
          <tpl fld="0" item="478"/>
          <tpl hier="3" item="3"/>
          <tpl fld="2" item="2"/>
          <tpl fld="1" item="0"/>
        </tpls>
      </m>
      <m>
        <tpls c="4">
          <tpl fld="0" item="478"/>
          <tpl hier="3" item="3"/>
          <tpl fld="2" item="2"/>
          <tpl fld="1" item="1"/>
        </tpls>
      </m>
      <n v="83618" in="0">
        <tpls c="4">
          <tpl fld="0" item="479"/>
          <tpl hier="3" item="3"/>
          <tpl fld="2" item="0"/>
          <tpl fld="1" item="0"/>
        </tpls>
      </n>
      <n v="2800" in="0">
        <tpls c="4">
          <tpl fld="0" item="479"/>
          <tpl hier="3" item="3"/>
          <tpl fld="2" item="0"/>
          <tpl fld="1" item="1"/>
        </tpls>
      </n>
      <n v="206306" in="0">
        <tpls c="4">
          <tpl fld="0" item="480"/>
          <tpl hier="3" item="3"/>
          <tpl fld="2" item="1"/>
          <tpl fld="1" item="0"/>
        </tpls>
      </n>
      <n v="6750" in="0">
        <tpls c="4">
          <tpl fld="0" item="480"/>
          <tpl hier="3" item="3"/>
          <tpl fld="2" item="1"/>
          <tpl fld="1" item="1"/>
        </tpls>
      </n>
      <m>
        <tpls c="4">
          <tpl fld="0" item="481"/>
          <tpl hier="3" item="3"/>
          <tpl fld="2" item="1"/>
          <tpl fld="1" item="0"/>
        </tpls>
      </m>
      <m>
        <tpls c="4">
          <tpl fld="0" item="481"/>
          <tpl hier="3" item="3"/>
          <tpl fld="2" item="1"/>
          <tpl fld="1" item="1"/>
        </tpls>
      </m>
      <m>
        <tpls c="4">
          <tpl fld="0" item="482"/>
          <tpl hier="3" item="3"/>
          <tpl fld="2" item="0"/>
          <tpl fld="1" item="0"/>
        </tpls>
      </m>
      <m>
        <tpls c="4">
          <tpl fld="0" item="482"/>
          <tpl hier="3" item="3"/>
          <tpl fld="2" item="0"/>
          <tpl fld="1" item="1"/>
        </tpls>
      </m>
      <n v="129066" in="0">
        <tpls c="4">
          <tpl fld="0" item="483"/>
          <tpl hier="3" item="3"/>
          <tpl fld="2" item="1"/>
          <tpl fld="1" item="0"/>
        </tpls>
      </n>
      <n v="6750" in="0">
        <tpls c="4">
          <tpl fld="0" item="483"/>
          <tpl hier="3" item="3"/>
          <tpl fld="2" item="1"/>
          <tpl fld="1" item="1"/>
        </tpls>
      </n>
      <n v="83204" in="0">
        <tpls c="4">
          <tpl fld="0" item="484"/>
          <tpl hier="3" item="3"/>
          <tpl fld="2" item="0"/>
          <tpl fld="1" item="0"/>
        </tpls>
      </n>
      <n v="2800" in="0">
        <tpls c="4">
          <tpl fld="0" item="484"/>
          <tpl hier="3" item="3"/>
          <tpl fld="2" item="0"/>
          <tpl fld="1" item="1"/>
        </tpls>
      </n>
      <m>
        <tpls c="4">
          <tpl fld="0" item="485"/>
          <tpl hier="3" item="3"/>
          <tpl fld="2" item="0"/>
          <tpl fld="1" item="0"/>
        </tpls>
      </m>
      <m>
        <tpls c="4">
          <tpl fld="0" item="485"/>
          <tpl hier="3" item="3"/>
          <tpl fld="2" item="0"/>
          <tpl fld="1" item="1"/>
        </tpls>
      </m>
      <m>
        <tpls c="4">
          <tpl fld="0" item="486"/>
          <tpl hier="3" item="3"/>
          <tpl fld="2" item="0"/>
          <tpl fld="1" item="0"/>
        </tpls>
      </m>
      <m>
        <tpls c="4">
          <tpl fld="0" item="486"/>
          <tpl hier="3" item="3"/>
          <tpl fld="2" item="0"/>
          <tpl fld="1" item="1"/>
        </tpls>
      </m>
      <m>
        <tpls c="4">
          <tpl fld="0" item="487"/>
          <tpl hier="3" item="3"/>
          <tpl fld="2" item="0"/>
          <tpl fld="1" item="0"/>
        </tpls>
      </m>
      <m>
        <tpls c="4">
          <tpl fld="0" item="487"/>
          <tpl hier="3" item="3"/>
          <tpl fld="2" item="0"/>
          <tpl fld="1" item="1"/>
        </tpls>
      </m>
      <n v="123393" in="0">
        <tpls c="4">
          <tpl fld="0" item="488"/>
          <tpl hier="3" item="3"/>
          <tpl fld="2" item="1"/>
          <tpl fld="1" item="0"/>
        </tpls>
      </n>
      <n v="6750" in="0">
        <tpls c="4">
          <tpl fld="0" item="488"/>
          <tpl hier="3" item="3"/>
          <tpl fld="2" item="1"/>
          <tpl fld="1" item="1"/>
        </tpls>
      </n>
      <m>
        <tpls c="4">
          <tpl fld="0" item="489"/>
          <tpl hier="3" item="3"/>
          <tpl fld="2" item="2"/>
          <tpl fld="1" item="0"/>
        </tpls>
      </m>
      <m>
        <tpls c="4">
          <tpl fld="0" item="489"/>
          <tpl hier="3" item="3"/>
          <tpl fld="2" item="2"/>
          <tpl fld="1" item="1"/>
        </tpls>
      </m>
      <m>
        <tpls c="4">
          <tpl fld="0" item="490"/>
          <tpl hier="3" item="3"/>
          <tpl fld="2" item="1"/>
          <tpl fld="1" item="0"/>
        </tpls>
      </m>
      <m>
        <tpls c="4">
          <tpl fld="0" item="490"/>
          <tpl hier="3" item="3"/>
          <tpl fld="2" item="1"/>
          <tpl fld="1" item="1"/>
        </tpls>
      </m>
      <m>
        <tpls c="4">
          <tpl fld="0" item="491"/>
          <tpl hier="3" item="3"/>
          <tpl fld="2" item="1"/>
          <tpl fld="1" item="0"/>
        </tpls>
      </m>
      <m>
        <tpls c="4">
          <tpl fld="0" item="491"/>
          <tpl hier="3" item="3"/>
          <tpl fld="2" item="1"/>
          <tpl fld="1" item="1"/>
        </tpls>
      </m>
    </entries>
    <sets count="4">
      <set count="1" maxRank="1" setDefinition="{[Indian_Employee_Data].[Department].[All]}">
        <tpls c="1">
          <tpl hier="3" item="4294967295"/>
        </tpls>
      </set>
      <set count="1" maxRank="1" setDefinition="{[Indian_Employee_Data].[Department].&amp;[Tech]}">
        <tpls c="1">
          <tpl fld="3" item="0"/>
        </tpls>
      </set>
      <set count="1" maxRank="1" setDefinition="{[Indian_Employee_Data].[Department].&amp;[HR]}">
        <tpls c="1">
          <tpl fld="3" item="1"/>
        </tpls>
      </set>
      <set count="1" maxRank="1" setDefinition="{[Indian_Employee_Data].[Department].&amp;[Finance]}">
        <tpls c="1">
          <tpl fld="3" item="2"/>
        </tpls>
      </set>
    </sets>
    <queryCache count="497">
      <query mdx="[Indian_Employee_Data].[Employee ID].&amp;[Emp1010]">
        <tpls c="1">
          <tpl fld="0" item="0"/>
        </tpls>
      </query>
      <query mdx="[Indian_Employee_Data].[Employee ID].&amp;[Emp1011]">
        <tpls c="1">
          <tpl fld="0" item="1"/>
        </tpls>
      </query>
      <query mdx="[Measures].[Sum of Monthly Base Salary (INR)]">
        <tpls c="1">
          <tpl fld="1" item="0"/>
        </tpls>
      </query>
      <query mdx="[Measures].[Sum of Monthly Premiums]">
        <tpls c="1">
          <tpl fld="1" item="1"/>
        </tpls>
      </query>
      <query mdx="[Indian_Employee_Data].[Employee ID].&amp;[Emp1000]">
        <tpls c="1">
          <tpl fld="0" item="2"/>
        </tpls>
      </query>
      <query mdx="[Indian_Employee_Data].[Insurance tier].&amp;[Silver]">
        <tpls c="1">
          <tpl fld="2" item="0"/>
        </tpls>
      </query>
      <query mdx="[Indian_Employee_Data].[Employee ID].&amp;[Emp1001]">
        <tpls c="1">
          <tpl fld="0" item="3"/>
        </tpls>
      </query>
      <query mdx="[Indian_Employee_Data].[Insurance tier].&amp;[Gold]">
        <tpls c="1">
          <tpl fld="2" item="1"/>
        </tpls>
      </query>
      <query mdx="[Indian_Employee_Data].[Employee ID].&amp;[Emp1002]">
        <tpls c="1">
          <tpl fld="0" item="4"/>
        </tpls>
      </query>
      <query mdx="[Indian_Employee_Data].[Employee ID].&amp;[Emp1003]">
        <tpls c="1">
          <tpl fld="0" item="5"/>
        </tpls>
      </query>
      <query mdx="[Indian_Employee_Data].[Employee ID].&amp;[Emp1004]">
        <tpls c="1">
          <tpl fld="0" item="6"/>
        </tpls>
      </query>
      <query mdx="[Indian_Employee_Data].[Employee ID].&amp;[Emp1005]">
        <tpls c="1">
          <tpl fld="0" item="7"/>
        </tpls>
      </query>
      <query mdx="[Indian_Employee_Data].[Employee ID].&amp;[Emp1006]">
        <tpls c="1">
          <tpl fld="0" item="8"/>
        </tpls>
      </query>
      <query mdx="[Indian_Employee_Data].[Insurance tier].&amp;[Bronze]">
        <tpls c="1">
          <tpl fld="2" item="2"/>
        </tpls>
      </query>
      <query mdx="[Indian_Employee_Data].[Employee ID].&amp;[Emp1007]">
        <tpls c="1">
          <tpl fld="0" item="9"/>
        </tpls>
      </query>
      <query mdx="[Indian_Employee_Data].[Employee ID].&amp;[Emp1008]">
        <tpls c="1">
          <tpl fld="0" item="10"/>
        </tpls>
      </query>
      <query mdx="[Indian_Employee_Data].[Employee ID].&amp;[Emp1009]">
        <tpls c="1">
          <tpl fld="0" item="11"/>
        </tpls>
      </query>
      <query mdx="[Indian_Employee_Data].[Employee ID].&amp;[Emp1012]">
        <tpls c="1">
          <tpl fld="0" item="12"/>
        </tpls>
      </query>
      <query mdx="[Indian_Employee_Data].[Employee ID].&amp;[Emp1013]">
        <tpls c="1">
          <tpl fld="0" item="13"/>
        </tpls>
      </query>
      <query mdx="[Indian_Employee_Data].[Employee ID].&amp;[Emp1014]">
        <tpls c="1">
          <tpl fld="0" item="14"/>
        </tpls>
      </query>
      <query mdx="[Indian_Employee_Data].[Employee ID].&amp;[Emp1015]">
        <tpls c="1">
          <tpl fld="0" item="15"/>
        </tpls>
      </query>
      <query mdx="[Indian_Employee_Data].[Employee ID].&amp;[Emp1016]">
        <tpls c="1">
          <tpl fld="0" item="16"/>
        </tpls>
      </query>
      <query mdx="[Indian_Employee_Data].[Employee ID].&amp;[Emp1017]">
        <tpls c="1">
          <tpl fld="0" item="17"/>
        </tpls>
      </query>
      <query mdx="[Indian_Employee_Data].[Employee ID].&amp;[Emp1018]">
        <tpls c="1">
          <tpl fld="0" item="18"/>
        </tpls>
      </query>
      <query mdx="[Indian_Employee_Data].[Employee ID].&amp;[Emp1019]">
        <tpls c="1">
          <tpl fld="0" item="19"/>
        </tpls>
      </query>
      <query mdx="[Indian_Employee_Data].[Employee ID].&amp;[Emp1020]">
        <tpls c="1">
          <tpl fld="0" item="20"/>
        </tpls>
      </query>
      <query mdx="[Indian_Employee_Data].[Employee ID].&amp;[Emp1021]">
        <tpls c="1">
          <tpl fld="0" item="21"/>
        </tpls>
      </query>
      <query mdx="[Indian_Employee_Data].[Employee ID].&amp;[Emp1022]">
        <tpls c="1">
          <tpl fld="0" item="22"/>
        </tpls>
      </query>
      <query mdx="[Indian_Employee_Data].[Employee ID].&amp;[Emp1023]">
        <tpls c="1">
          <tpl fld="0" item="23"/>
        </tpls>
      </query>
      <query mdx="[Indian_Employee_Data].[Employee ID].&amp;[Emp1024]">
        <tpls c="1">
          <tpl fld="0" item="24"/>
        </tpls>
      </query>
      <query mdx="[Indian_Employee_Data].[Employee ID].&amp;[Emp1025]">
        <tpls c="1">
          <tpl fld="0" item="25"/>
        </tpls>
      </query>
      <query mdx="[Indian_Employee_Data].[Employee ID].&amp;[Emp1026]">
        <tpls c="1">
          <tpl fld="0" item="26"/>
        </tpls>
      </query>
      <query mdx="[Indian_Employee_Data].[Employee ID].&amp;[Emp1027]">
        <tpls c="1">
          <tpl fld="0" item="27"/>
        </tpls>
      </query>
      <query mdx="[Indian_Employee_Data].[Employee ID].&amp;[Emp1028]">
        <tpls c="1">
          <tpl fld="0" item="28"/>
        </tpls>
      </query>
      <query mdx="[Indian_Employee_Data].[Employee ID].&amp;[Emp1029]">
        <tpls c="1">
          <tpl fld="0" item="29"/>
        </tpls>
      </query>
      <query mdx="[Indian_Employee_Data].[Employee ID].&amp;[Emp1030]">
        <tpls c="1">
          <tpl fld="0" item="30"/>
        </tpls>
      </query>
      <query mdx="[Indian_Employee_Data].[Employee ID].&amp;[Emp1031]">
        <tpls c="1">
          <tpl fld="0" item="31"/>
        </tpls>
      </query>
      <query mdx="[Indian_Employee_Data].[Employee ID].&amp;[Emp1032]">
        <tpls c="1">
          <tpl fld="0" item="32"/>
        </tpls>
      </query>
      <query mdx="[Indian_Employee_Data].[Employee ID].&amp;[Emp1033]">
        <tpls c="1">
          <tpl fld="0" item="33"/>
        </tpls>
      </query>
      <query mdx="[Indian_Employee_Data].[Employee ID].&amp;[Emp1034]">
        <tpls c="1">
          <tpl fld="0" item="34"/>
        </tpls>
      </query>
      <query mdx="[Indian_Employee_Data].[Employee ID].&amp;[Emp1035]">
        <tpls c="1">
          <tpl fld="0" item="35"/>
        </tpls>
      </query>
      <query mdx="[Indian_Employee_Data].[Employee ID].&amp;[Emp1036]">
        <tpls c="1">
          <tpl fld="0" item="36"/>
        </tpls>
      </query>
      <query mdx="[Indian_Employee_Data].[Employee ID].&amp;[Emp1037]">
        <tpls c="1">
          <tpl fld="0" item="37"/>
        </tpls>
      </query>
      <query mdx="[Indian_Employee_Data].[Employee ID].&amp;[Emp1038]">
        <tpls c="1">
          <tpl fld="0" item="38"/>
        </tpls>
      </query>
      <query mdx="[Indian_Employee_Data].[Employee ID].&amp;[Emp1039]">
        <tpls c="1">
          <tpl fld="0" item="39"/>
        </tpls>
      </query>
      <query mdx="[Indian_Employee_Data].[Employee ID].&amp;[Emp1040]">
        <tpls c="1">
          <tpl fld="0" item="40"/>
        </tpls>
      </query>
      <query mdx="[Indian_Employee_Data].[Employee ID].&amp;[Emp1041]">
        <tpls c="1">
          <tpl fld="0" item="41"/>
        </tpls>
      </query>
      <query mdx="[Indian_Employee_Data].[Employee ID].&amp;[Emp1042]">
        <tpls c="1">
          <tpl fld="0" item="42"/>
        </tpls>
      </query>
      <query mdx="[Indian_Employee_Data].[Employee ID].&amp;[Emp1043]">
        <tpls c="1">
          <tpl fld="0" item="43"/>
        </tpls>
      </query>
      <query mdx="[Indian_Employee_Data].[Employee ID].&amp;[Emp1044]">
        <tpls c="1">
          <tpl fld="0" item="44"/>
        </tpls>
      </query>
      <query mdx="[Indian_Employee_Data].[Employee ID].&amp;[Emp1045]">
        <tpls c="1">
          <tpl fld="0" item="45"/>
        </tpls>
      </query>
      <query mdx="[Indian_Employee_Data].[Employee ID].&amp;[Emp1046]">
        <tpls c="1">
          <tpl fld="0" item="46"/>
        </tpls>
      </query>
      <query mdx="[Indian_Employee_Data].[Employee ID].&amp;[Emp1048]">
        <tpls c="1">
          <tpl fld="0" item="47"/>
        </tpls>
      </query>
      <query mdx="[Indian_Employee_Data].[Employee ID].&amp;[Emp1049]">
        <tpls c="1">
          <tpl fld="0" item="48"/>
        </tpls>
      </query>
      <query mdx="[Indian_Employee_Data].[Employee ID].&amp;[Emp1050]">
        <tpls c="1">
          <tpl fld="0" item="49"/>
        </tpls>
      </query>
      <query mdx="[Indian_Employee_Data].[Employee ID].&amp;[Emp1051]">
        <tpls c="1">
          <tpl fld="0" item="50"/>
        </tpls>
      </query>
      <query mdx="[Indian_Employee_Data].[Employee ID].&amp;[Emp1052]">
        <tpls c="1">
          <tpl fld="0" item="51"/>
        </tpls>
      </query>
      <query mdx="[Indian_Employee_Data].[Employee ID].&amp;[Emp1053]">
        <tpls c="1">
          <tpl fld="0" item="52"/>
        </tpls>
      </query>
      <query mdx="[Indian_Employee_Data].[Employee ID].&amp;[Emp1054]">
        <tpls c="1">
          <tpl fld="0" item="53"/>
        </tpls>
      </query>
      <query mdx="[Indian_Employee_Data].[Employee ID].&amp;[Emp1055]">
        <tpls c="1">
          <tpl fld="0" item="54"/>
        </tpls>
      </query>
      <query mdx="[Indian_Employee_Data].[Employee ID].&amp;[Emp1056]">
        <tpls c="1">
          <tpl fld="0" item="55"/>
        </tpls>
      </query>
      <query mdx="[Indian_Employee_Data].[Employee ID].&amp;[Emp1057]">
        <tpls c="1">
          <tpl fld="0" item="56"/>
        </tpls>
      </query>
      <query mdx="[Indian_Employee_Data].[Employee ID].&amp;[Emp1058]">
        <tpls c="1">
          <tpl fld="0" item="57"/>
        </tpls>
      </query>
      <query mdx="[Indian_Employee_Data].[Employee ID].&amp;[Emp1059]">
        <tpls c="1">
          <tpl fld="0" item="58"/>
        </tpls>
      </query>
      <query mdx="[Indian_Employee_Data].[Employee ID].&amp;[Emp1060]">
        <tpls c="1">
          <tpl fld="0" item="59"/>
        </tpls>
      </query>
      <query mdx="[Indian_Employee_Data].[Employee ID].&amp;[Emp1061]">
        <tpls c="1">
          <tpl fld="0" item="60"/>
        </tpls>
      </query>
      <query mdx="[Indian_Employee_Data].[Employee ID].&amp;[Emp1062]">
        <tpls c="1">
          <tpl fld="0" item="61"/>
        </tpls>
      </query>
      <query mdx="[Indian_Employee_Data].[Employee ID].&amp;[Emp1063]">
        <tpls c="1">
          <tpl fld="0" item="62"/>
        </tpls>
      </query>
      <query mdx="[Indian_Employee_Data].[Employee ID].&amp;[Emp1064]">
        <tpls c="1">
          <tpl fld="0" item="63"/>
        </tpls>
      </query>
      <query mdx="[Indian_Employee_Data].[Employee ID].&amp;[Emp1065]">
        <tpls c="1">
          <tpl fld="0" item="64"/>
        </tpls>
      </query>
      <query mdx="[Indian_Employee_Data].[Employee ID].&amp;[Emp1066]">
        <tpls c="1">
          <tpl fld="0" item="65"/>
        </tpls>
      </query>
      <query mdx="[Indian_Employee_Data].[Employee ID].&amp;[Emp1067]">
        <tpls c="1">
          <tpl fld="0" item="66"/>
        </tpls>
      </query>
      <query mdx="[Indian_Employee_Data].[Employee ID].&amp;[Emp1068]">
        <tpls c="1">
          <tpl fld="0" item="67"/>
        </tpls>
      </query>
      <query mdx="[Indian_Employee_Data].[Employee ID].&amp;[Emp1069]">
        <tpls c="1">
          <tpl fld="0" item="68"/>
        </tpls>
      </query>
      <query mdx="[Indian_Employee_Data].[Employee ID].&amp;[Emp1070]">
        <tpls c="1">
          <tpl fld="0" item="69"/>
        </tpls>
      </query>
      <query mdx="[Indian_Employee_Data].[Employee ID].&amp;[Emp1071]">
        <tpls c="1">
          <tpl fld="0" item="70"/>
        </tpls>
      </query>
      <query mdx="[Indian_Employee_Data].[Employee ID].&amp;[Emp1072]">
        <tpls c="1">
          <tpl fld="0" item="71"/>
        </tpls>
      </query>
      <query mdx="[Indian_Employee_Data].[Employee ID].&amp;[Emp1073]">
        <tpls c="1">
          <tpl fld="0" item="72"/>
        </tpls>
      </query>
      <query mdx="[Indian_Employee_Data].[Employee ID].&amp;[Emp1074]">
        <tpls c="1">
          <tpl fld="0" item="73"/>
        </tpls>
      </query>
      <query mdx="[Indian_Employee_Data].[Employee ID].&amp;[Emp1075]">
        <tpls c="1">
          <tpl fld="0" item="74"/>
        </tpls>
      </query>
      <query mdx="[Indian_Employee_Data].[Employee ID].&amp;[Emp1076]">
        <tpls c="1">
          <tpl fld="0" item="75"/>
        </tpls>
      </query>
      <query mdx="[Indian_Employee_Data].[Employee ID].&amp;[Emp1078]">
        <tpls c="1">
          <tpl fld="0" item="76"/>
        </tpls>
      </query>
      <query mdx="[Indian_Employee_Data].[Employee ID].&amp;[Emp1079]">
        <tpls c="1">
          <tpl fld="0" item="77"/>
        </tpls>
      </query>
      <query mdx="[Indian_Employee_Data].[Employee ID].&amp;[Emp1080]">
        <tpls c="1">
          <tpl fld="0" item="78"/>
        </tpls>
      </query>
      <query mdx="[Indian_Employee_Data].[Employee ID].&amp;[Emp1081]">
        <tpls c="1">
          <tpl fld="0" item="79"/>
        </tpls>
      </query>
      <query mdx="[Indian_Employee_Data].[Employee ID].&amp;[Emp1082]">
        <tpls c="1">
          <tpl fld="0" item="80"/>
        </tpls>
      </query>
      <query mdx="[Indian_Employee_Data].[Employee ID].&amp;[Emp1083]">
        <tpls c="1">
          <tpl fld="0" item="81"/>
        </tpls>
      </query>
      <query mdx="[Indian_Employee_Data].[Employee ID].&amp;[Emp1084]">
        <tpls c="1">
          <tpl fld="0" item="82"/>
        </tpls>
      </query>
      <query mdx="[Indian_Employee_Data].[Employee ID].&amp;[Emp1085]">
        <tpls c="1">
          <tpl fld="0" item="83"/>
        </tpls>
      </query>
      <query mdx="[Indian_Employee_Data].[Employee ID].&amp;[Emp1086]">
        <tpls c="1">
          <tpl fld="0" item="84"/>
        </tpls>
      </query>
      <query mdx="[Indian_Employee_Data].[Employee ID].&amp;[Emp1087]">
        <tpls c="1">
          <tpl fld="0" item="85"/>
        </tpls>
      </query>
      <query mdx="[Indian_Employee_Data].[Employee ID].&amp;[Emp1088]">
        <tpls c="1">
          <tpl fld="0" item="86"/>
        </tpls>
      </query>
      <query mdx="[Indian_Employee_Data].[Employee ID].&amp;[Emp1090]">
        <tpls c="1">
          <tpl fld="0" item="87"/>
        </tpls>
      </query>
      <query mdx="[Indian_Employee_Data].[Employee ID].&amp;[Emp1091]">
        <tpls c="1">
          <tpl fld="0" item="88"/>
        </tpls>
      </query>
      <query mdx="[Indian_Employee_Data].[Employee ID].&amp;[Emp1093]">
        <tpls c="1">
          <tpl fld="0" item="89"/>
        </tpls>
      </query>
      <query mdx="[Indian_Employee_Data].[Employee ID].&amp;[Emp1094]">
        <tpls c="1">
          <tpl fld="0" item="90"/>
        </tpls>
      </query>
      <query mdx="[Indian_Employee_Data].[Employee ID].&amp;[Emp1095]">
        <tpls c="1">
          <tpl fld="0" item="91"/>
        </tpls>
      </query>
      <query mdx="[Indian_Employee_Data].[Employee ID].&amp;[Emp1096]">
        <tpls c="1">
          <tpl fld="0" item="92"/>
        </tpls>
      </query>
      <query mdx="[Indian_Employee_Data].[Employee ID].&amp;[Emp1097]">
        <tpls c="1">
          <tpl fld="0" item="93"/>
        </tpls>
      </query>
      <query mdx="[Indian_Employee_Data].[Employee ID].&amp;[Emp1098]">
        <tpls c="1">
          <tpl fld="0" item="94"/>
        </tpls>
      </query>
      <query mdx="[Indian_Employee_Data].[Employee ID].&amp;[Emp1099]">
        <tpls c="1">
          <tpl fld="0" item="95"/>
        </tpls>
      </query>
      <query mdx="[Indian_Employee_Data].[Employee ID].&amp;[Emp1100]">
        <tpls c="1">
          <tpl fld="0" item="96"/>
        </tpls>
      </query>
      <query mdx="[Indian_Employee_Data].[Employee ID].&amp;[Emp1101]">
        <tpls c="1">
          <tpl fld="0" item="97"/>
        </tpls>
      </query>
      <query mdx="[Indian_Employee_Data].[Employee ID].&amp;[Emp1102]">
        <tpls c="1">
          <tpl fld="0" item="98"/>
        </tpls>
      </query>
      <query mdx="[Indian_Employee_Data].[Employee ID].&amp;[Emp1103]">
        <tpls c="1">
          <tpl fld="0" item="99"/>
        </tpls>
      </query>
      <query mdx="[Indian_Employee_Data].[Employee ID].&amp;[Emp1104]">
        <tpls c="1">
          <tpl fld="0" item="100"/>
        </tpls>
      </query>
      <query mdx="[Indian_Employee_Data].[Employee ID].&amp;[Emp1105]">
        <tpls c="1">
          <tpl fld="0" item="101"/>
        </tpls>
      </query>
      <query mdx="[Indian_Employee_Data].[Employee ID].&amp;[Emp1106]">
        <tpls c="1">
          <tpl fld="0" item="102"/>
        </tpls>
      </query>
      <query mdx="[Indian_Employee_Data].[Employee ID].&amp;[Emp1107]">
        <tpls c="1">
          <tpl fld="0" item="103"/>
        </tpls>
      </query>
      <query mdx="[Indian_Employee_Data].[Employee ID].&amp;[Emp1108]">
        <tpls c="1">
          <tpl fld="0" item="104"/>
        </tpls>
      </query>
      <query mdx="[Indian_Employee_Data].[Employee ID].&amp;[Emp1109]">
        <tpls c="1">
          <tpl fld="0" item="105"/>
        </tpls>
      </query>
      <query mdx="[Indian_Employee_Data].[Employee ID].&amp;[Emp1110]">
        <tpls c="1">
          <tpl fld="0" item="106"/>
        </tpls>
      </query>
      <query mdx="[Indian_Employee_Data].[Employee ID].&amp;[Emp1111]">
        <tpls c="1">
          <tpl fld="0" item="107"/>
        </tpls>
      </query>
      <query mdx="[Indian_Employee_Data].[Employee ID].&amp;[Emp1112]">
        <tpls c="1">
          <tpl fld="0" item="108"/>
        </tpls>
      </query>
      <query mdx="[Indian_Employee_Data].[Employee ID].&amp;[Emp1113]">
        <tpls c="1">
          <tpl fld="0" item="109"/>
        </tpls>
      </query>
      <query mdx="[Indian_Employee_Data].[Employee ID].&amp;[Emp1114]">
        <tpls c="1">
          <tpl fld="0" item="110"/>
        </tpls>
      </query>
      <query mdx="[Indian_Employee_Data].[Employee ID].&amp;[Emp1115]">
        <tpls c="1">
          <tpl fld="0" item="111"/>
        </tpls>
      </query>
      <query mdx="[Indian_Employee_Data].[Employee ID].&amp;[Emp1116]">
        <tpls c="1">
          <tpl fld="0" item="112"/>
        </tpls>
      </query>
      <query mdx="[Indian_Employee_Data].[Employee ID].&amp;[Emp1117]">
        <tpls c="1">
          <tpl fld="0" item="113"/>
        </tpls>
      </query>
      <query mdx="[Indian_Employee_Data].[Employee ID].&amp;[Emp1118]">
        <tpls c="1">
          <tpl fld="0" item="114"/>
        </tpls>
      </query>
      <query mdx="[Indian_Employee_Data].[Employee ID].&amp;[Emp1119]">
        <tpls c="1">
          <tpl fld="0" item="115"/>
        </tpls>
      </query>
      <query mdx="[Indian_Employee_Data].[Employee ID].&amp;[Emp1120]">
        <tpls c="1">
          <tpl fld="0" item="116"/>
        </tpls>
      </query>
      <query mdx="[Indian_Employee_Data].[Employee ID].&amp;[Emp1121]">
        <tpls c="1">
          <tpl fld="0" item="117"/>
        </tpls>
      </query>
      <query mdx="[Indian_Employee_Data].[Employee ID].&amp;[Emp1122]">
        <tpls c="1">
          <tpl fld="0" item="118"/>
        </tpls>
      </query>
      <query mdx="[Indian_Employee_Data].[Employee ID].&amp;[Emp1123]">
        <tpls c="1">
          <tpl fld="0" item="119"/>
        </tpls>
      </query>
      <query mdx="[Indian_Employee_Data].[Employee ID].&amp;[Emp1124]">
        <tpls c="1">
          <tpl fld="0" item="120"/>
        </tpls>
      </query>
      <query mdx="[Indian_Employee_Data].[Employee ID].&amp;[Emp1125]">
        <tpls c="1">
          <tpl fld="0" item="121"/>
        </tpls>
      </query>
      <query mdx="[Indian_Employee_Data].[Employee ID].&amp;[Emp1126]">
        <tpls c="1">
          <tpl fld="0" item="122"/>
        </tpls>
      </query>
      <query mdx="[Indian_Employee_Data].[Employee ID].&amp;[Emp1127]">
        <tpls c="1">
          <tpl fld="0" item="123"/>
        </tpls>
      </query>
      <query mdx="[Indian_Employee_Data].[Employee ID].&amp;[Emp1128]">
        <tpls c="1">
          <tpl fld="0" item="124"/>
        </tpls>
      </query>
      <query mdx="[Indian_Employee_Data].[Employee ID].&amp;[Emp1129]">
        <tpls c="1">
          <tpl fld="0" item="125"/>
        </tpls>
      </query>
      <query mdx="[Indian_Employee_Data].[Employee ID].&amp;[Emp1130]">
        <tpls c="1">
          <tpl fld="0" item="126"/>
        </tpls>
      </query>
      <query mdx="[Indian_Employee_Data].[Employee ID].&amp;[Emp1131]">
        <tpls c="1">
          <tpl fld="0" item="127"/>
        </tpls>
      </query>
      <query mdx="[Indian_Employee_Data].[Employee ID].&amp;[Emp1132]">
        <tpls c="1">
          <tpl fld="0" item="128"/>
        </tpls>
      </query>
      <query mdx="[Indian_Employee_Data].[Employee ID].&amp;[Emp1133]">
        <tpls c="1">
          <tpl fld="0" item="129"/>
        </tpls>
      </query>
      <query mdx="[Indian_Employee_Data].[Employee ID].&amp;[Emp1134]">
        <tpls c="1">
          <tpl fld="0" item="130"/>
        </tpls>
      </query>
      <query mdx="[Indian_Employee_Data].[Employee ID].&amp;[Emp1135]">
        <tpls c="1">
          <tpl fld="0" item="131"/>
        </tpls>
      </query>
      <query mdx="[Indian_Employee_Data].[Employee ID].&amp;[Emp1136]">
        <tpls c="1">
          <tpl fld="0" item="132"/>
        </tpls>
      </query>
      <query mdx="[Indian_Employee_Data].[Employee ID].&amp;[Emp1137]">
        <tpls c="1">
          <tpl fld="0" item="133"/>
        </tpls>
      </query>
      <query mdx="[Indian_Employee_Data].[Employee ID].&amp;[Emp1138]">
        <tpls c="1">
          <tpl fld="0" item="134"/>
        </tpls>
      </query>
      <query mdx="[Indian_Employee_Data].[Employee ID].&amp;[Emp1139]">
        <tpls c="1">
          <tpl fld="0" item="135"/>
        </tpls>
      </query>
      <query mdx="[Indian_Employee_Data].[Employee ID].&amp;[Emp1140]">
        <tpls c="1">
          <tpl fld="0" item="136"/>
        </tpls>
      </query>
      <query mdx="[Indian_Employee_Data].[Employee ID].&amp;[Emp1141]">
        <tpls c="1">
          <tpl fld="0" item="137"/>
        </tpls>
      </query>
      <query mdx="[Indian_Employee_Data].[Employee ID].&amp;[Emp1142]">
        <tpls c="1">
          <tpl fld="0" item="138"/>
        </tpls>
      </query>
      <query mdx="[Indian_Employee_Data].[Employee ID].&amp;[Emp1143]">
        <tpls c="1">
          <tpl fld="0" item="139"/>
        </tpls>
      </query>
      <query mdx="[Indian_Employee_Data].[Employee ID].&amp;[Emp1145]">
        <tpls c="1">
          <tpl fld="0" item="140"/>
        </tpls>
      </query>
      <query mdx="[Indian_Employee_Data].[Employee ID].&amp;[Emp1146]">
        <tpls c="1">
          <tpl fld="0" item="141"/>
        </tpls>
      </query>
      <query mdx="[Indian_Employee_Data].[Employee ID].&amp;[Emp1147]">
        <tpls c="1">
          <tpl fld="0" item="142"/>
        </tpls>
      </query>
      <query mdx="[Indian_Employee_Data].[Employee ID].&amp;[Emp1148]">
        <tpls c="1">
          <tpl fld="0" item="143"/>
        </tpls>
      </query>
      <query mdx="[Indian_Employee_Data].[Employee ID].&amp;[Emp1149]">
        <tpls c="1">
          <tpl fld="0" item="144"/>
        </tpls>
      </query>
      <query mdx="[Indian_Employee_Data].[Employee ID].&amp;[Emp1150]">
        <tpls c="1">
          <tpl fld="0" item="145"/>
        </tpls>
      </query>
      <query mdx="[Indian_Employee_Data].[Employee ID].&amp;[Emp1151]">
        <tpls c="1">
          <tpl fld="0" item="146"/>
        </tpls>
      </query>
      <query mdx="[Indian_Employee_Data].[Employee ID].&amp;[Emp1152]">
        <tpls c="1">
          <tpl fld="0" item="147"/>
        </tpls>
      </query>
      <query mdx="[Indian_Employee_Data].[Employee ID].&amp;[Emp1153]">
        <tpls c="1">
          <tpl fld="0" item="148"/>
        </tpls>
      </query>
      <query mdx="[Indian_Employee_Data].[Employee ID].&amp;[Emp1154]">
        <tpls c="1">
          <tpl fld="0" item="149"/>
        </tpls>
      </query>
      <query mdx="[Indian_Employee_Data].[Employee ID].&amp;[Emp1155]">
        <tpls c="1">
          <tpl fld="0" item="150"/>
        </tpls>
      </query>
      <query mdx="[Indian_Employee_Data].[Employee ID].&amp;[Emp1156]">
        <tpls c="1">
          <tpl fld="0" item="151"/>
        </tpls>
      </query>
      <query mdx="[Indian_Employee_Data].[Employee ID].&amp;[Emp1157]">
        <tpls c="1">
          <tpl fld="0" item="152"/>
        </tpls>
      </query>
      <query mdx="[Indian_Employee_Data].[Employee ID].&amp;[Emp1158]">
        <tpls c="1">
          <tpl fld="0" item="153"/>
        </tpls>
      </query>
      <query mdx="[Indian_Employee_Data].[Employee ID].&amp;[Emp1159]">
        <tpls c="1">
          <tpl fld="0" item="154"/>
        </tpls>
      </query>
      <query mdx="[Indian_Employee_Data].[Employee ID].&amp;[Emp1160]">
        <tpls c="1">
          <tpl fld="0" item="155"/>
        </tpls>
      </query>
      <query mdx="[Indian_Employee_Data].[Employee ID].&amp;[Emp1161]">
        <tpls c="1">
          <tpl fld="0" item="156"/>
        </tpls>
      </query>
      <query mdx="[Indian_Employee_Data].[Employee ID].&amp;[Emp1162]">
        <tpls c="1">
          <tpl fld="0" item="157"/>
        </tpls>
      </query>
      <query mdx="[Indian_Employee_Data].[Employee ID].&amp;[Emp1163]">
        <tpls c="1">
          <tpl fld="0" item="158"/>
        </tpls>
      </query>
      <query mdx="[Indian_Employee_Data].[Employee ID].&amp;[Emp1164]">
        <tpls c="1">
          <tpl fld="0" item="159"/>
        </tpls>
      </query>
      <query mdx="[Indian_Employee_Data].[Employee ID].&amp;[Emp1165]">
        <tpls c="1">
          <tpl fld="0" item="160"/>
        </tpls>
      </query>
      <query mdx="[Indian_Employee_Data].[Employee ID].&amp;[Emp1166]">
        <tpls c="1">
          <tpl fld="0" item="161"/>
        </tpls>
      </query>
      <query mdx="[Indian_Employee_Data].[Employee ID].&amp;[Emp1167]">
        <tpls c="1">
          <tpl fld="0" item="162"/>
        </tpls>
      </query>
      <query mdx="[Indian_Employee_Data].[Employee ID].&amp;[Emp1168]">
        <tpls c="1">
          <tpl fld="0" item="163"/>
        </tpls>
      </query>
      <query mdx="[Indian_Employee_Data].[Employee ID].&amp;[Emp1169]">
        <tpls c="1">
          <tpl fld="0" item="164"/>
        </tpls>
      </query>
      <query mdx="[Indian_Employee_Data].[Employee ID].&amp;[Emp1170]">
        <tpls c="1">
          <tpl fld="0" item="165"/>
        </tpls>
      </query>
      <query mdx="[Indian_Employee_Data].[Employee ID].&amp;[Emp1171]">
        <tpls c="1">
          <tpl fld="0" item="166"/>
        </tpls>
      </query>
      <query mdx="[Indian_Employee_Data].[Employee ID].&amp;[Emp1172]">
        <tpls c="1">
          <tpl fld="0" item="167"/>
        </tpls>
      </query>
      <query mdx="[Indian_Employee_Data].[Employee ID].&amp;[Emp1173]">
        <tpls c="1">
          <tpl fld="0" item="168"/>
        </tpls>
      </query>
      <query mdx="[Indian_Employee_Data].[Employee ID].&amp;[Emp1174]">
        <tpls c="1">
          <tpl fld="0" item="169"/>
        </tpls>
      </query>
      <query mdx="[Indian_Employee_Data].[Employee ID].&amp;[Emp1175]">
        <tpls c="1">
          <tpl fld="0" item="170"/>
        </tpls>
      </query>
      <query mdx="[Indian_Employee_Data].[Employee ID].&amp;[Emp1176]">
        <tpls c="1">
          <tpl fld="0" item="171"/>
        </tpls>
      </query>
      <query mdx="[Indian_Employee_Data].[Employee ID].&amp;[Emp1177]">
        <tpls c="1">
          <tpl fld="0" item="172"/>
        </tpls>
      </query>
      <query mdx="[Indian_Employee_Data].[Employee ID].&amp;[Emp1178]">
        <tpls c="1">
          <tpl fld="0" item="173"/>
        </tpls>
      </query>
      <query mdx="[Indian_Employee_Data].[Employee ID].&amp;[Emp1179]">
        <tpls c="1">
          <tpl fld="0" item="174"/>
        </tpls>
      </query>
      <query mdx="[Indian_Employee_Data].[Employee ID].&amp;[Emp1180]">
        <tpls c="1">
          <tpl fld="0" item="175"/>
        </tpls>
      </query>
      <query mdx="[Indian_Employee_Data].[Employee ID].&amp;[Emp1181]">
        <tpls c="1">
          <tpl fld="0" item="176"/>
        </tpls>
      </query>
      <query mdx="[Indian_Employee_Data].[Employee ID].&amp;[Emp1182]">
        <tpls c="1">
          <tpl fld="0" item="177"/>
        </tpls>
      </query>
      <query mdx="[Indian_Employee_Data].[Employee ID].&amp;[Emp1183]">
        <tpls c="1">
          <tpl fld="0" item="178"/>
        </tpls>
      </query>
      <query mdx="[Indian_Employee_Data].[Employee ID].&amp;[Emp1184]">
        <tpls c="1">
          <tpl fld="0" item="179"/>
        </tpls>
      </query>
      <query mdx="[Indian_Employee_Data].[Employee ID].&amp;[Emp1185]">
        <tpls c="1">
          <tpl fld="0" item="180"/>
        </tpls>
      </query>
      <query mdx="[Indian_Employee_Data].[Employee ID].&amp;[Emp1186]">
        <tpls c="1">
          <tpl fld="0" item="181"/>
        </tpls>
      </query>
      <query mdx="[Indian_Employee_Data].[Employee ID].&amp;[Emp1187]">
        <tpls c="1">
          <tpl fld="0" item="182"/>
        </tpls>
      </query>
      <query mdx="[Indian_Employee_Data].[Employee ID].&amp;[Emp1188]">
        <tpls c="1">
          <tpl fld="0" item="183"/>
        </tpls>
      </query>
      <query mdx="[Indian_Employee_Data].[Employee ID].&amp;[Emp1189]">
        <tpls c="1">
          <tpl fld="0" item="184"/>
        </tpls>
      </query>
      <query mdx="[Indian_Employee_Data].[Employee ID].&amp;[Emp1190]">
        <tpls c="1">
          <tpl fld="0" item="185"/>
        </tpls>
      </query>
      <query mdx="[Indian_Employee_Data].[Employee ID].&amp;[Emp1191]">
        <tpls c="1">
          <tpl fld="0" item="186"/>
        </tpls>
      </query>
      <query mdx="[Indian_Employee_Data].[Employee ID].&amp;[Emp1192]">
        <tpls c="1">
          <tpl fld="0" item="187"/>
        </tpls>
      </query>
      <query mdx="[Indian_Employee_Data].[Employee ID].&amp;[Emp1193]">
        <tpls c="1">
          <tpl fld="0" item="188"/>
        </tpls>
      </query>
      <query mdx="[Indian_Employee_Data].[Employee ID].&amp;[Emp1194]">
        <tpls c="1">
          <tpl fld="0" item="189"/>
        </tpls>
      </query>
      <query mdx="[Indian_Employee_Data].[Employee ID].&amp;[Emp1195]">
        <tpls c="1">
          <tpl fld="0" item="190"/>
        </tpls>
      </query>
      <query mdx="[Indian_Employee_Data].[Employee ID].&amp;[Emp1196]">
        <tpls c="1">
          <tpl fld="0" item="191"/>
        </tpls>
      </query>
      <query mdx="[Indian_Employee_Data].[Employee ID].&amp;[Emp1197]">
        <tpls c="1">
          <tpl fld="0" item="192"/>
        </tpls>
      </query>
      <query mdx="[Indian_Employee_Data].[Employee ID].&amp;[Emp1198]">
        <tpls c="1">
          <tpl fld="0" item="193"/>
        </tpls>
      </query>
      <query mdx="[Indian_Employee_Data].[Employee ID].&amp;[Emp1199]">
        <tpls c="1">
          <tpl fld="0" item="194"/>
        </tpls>
      </query>
      <query mdx="[Indian_Employee_Data].[Employee ID].&amp;[Emp1200]">
        <tpls c="1">
          <tpl fld="0" item="195"/>
        </tpls>
      </query>
      <query mdx="[Indian_Employee_Data].[Employee ID].&amp;[Emp1201]">
        <tpls c="1">
          <tpl fld="0" item="196"/>
        </tpls>
      </query>
      <query mdx="[Indian_Employee_Data].[Employee ID].&amp;[Emp1202]">
        <tpls c="1">
          <tpl fld="0" item="197"/>
        </tpls>
      </query>
      <query mdx="[Indian_Employee_Data].[Employee ID].&amp;[Emp1203]">
        <tpls c="1">
          <tpl fld="0" item="198"/>
        </tpls>
      </query>
      <query mdx="[Indian_Employee_Data].[Employee ID].&amp;[Emp1204]">
        <tpls c="1">
          <tpl fld="0" item="199"/>
        </tpls>
      </query>
      <query mdx="[Indian_Employee_Data].[Employee ID].&amp;[Emp1206]">
        <tpls c="1">
          <tpl fld="0" item="200"/>
        </tpls>
      </query>
      <query mdx="[Indian_Employee_Data].[Employee ID].&amp;[Emp1207]">
        <tpls c="1">
          <tpl fld="0" item="201"/>
        </tpls>
      </query>
      <query mdx="[Indian_Employee_Data].[Employee ID].&amp;[Emp1208]">
        <tpls c="1">
          <tpl fld="0" item="202"/>
        </tpls>
      </query>
      <query mdx="[Indian_Employee_Data].[Employee ID].&amp;[Emp1209]">
        <tpls c="1">
          <tpl fld="0" item="203"/>
        </tpls>
      </query>
      <query mdx="[Indian_Employee_Data].[Employee ID].&amp;[Emp1210]">
        <tpls c="1">
          <tpl fld="0" item="204"/>
        </tpls>
      </query>
      <query mdx="[Indian_Employee_Data].[Employee ID].&amp;[Emp1211]">
        <tpls c="1">
          <tpl fld="0" item="205"/>
        </tpls>
      </query>
      <query mdx="[Indian_Employee_Data].[Employee ID].&amp;[Emp1212]">
        <tpls c="1">
          <tpl fld="0" item="206"/>
        </tpls>
      </query>
      <query mdx="[Indian_Employee_Data].[Employee ID].&amp;[Emp1213]">
        <tpls c="1">
          <tpl fld="0" item="207"/>
        </tpls>
      </query>
      <query mdx="[Indian_Employee_Data].[Employee ID].&amp;[Emp1214]">
        <tpls c="1">
          <tpl fld="0" item="208"/>
        </tpls>
      </query>
      <query mdx="[Indian_Employee_Data].[Employee ID].&amp;[Emp1215]">
        <tpls c="1">
          <tpl fld="0" item="209"/>
        </tpls>
      </query>
      <query mdx="[Indian_Employee_Data].[Employee ID].&amp;[Emp1216]">
        <tpls c="1">
          <tpl fld="0" item="210"/>
        </tpls>
      </query>
      <query mdx="[Indian_Employee_Data].[Employee ID].&amp;[Emp1217]">
        <tpls c="1">
          <tpl fld="0" item="211"/>
        </tpls>
      </query>
      <query mdx="[Indian_Employee_Data].[Employee ID].&amp;[Emp1218]">
        <tpls c="1">
          <tpl fld="0" item="212"/>
        </tpls>
      </query>
      <query mdx="[Indian_Employee_Data].[Employee ID].&amp;[Emp1219]">
        <tpls c="1">
          <tpl fld="0" item="213"/>
        </tpls>
      </query>
      <query mdx="[Indian_Employee_Data].[Employee ID].&amp;[Emp1220]">
        <tpls c="1">
          <tpl fld="0" item="214"/>
        </tpls>
      </query>
      <query mdx="[Indian_Employee_Data].[Employee ID].&amp;[Emp1221]">
        <tpls c="1">
          <tpl fld="0" item="215"/>
        </tpls>
      </query>
      <query mdx="[Indian_Employee_Data].[Employee ID].&amp;[Emp1222]">
        <tpls c="1">
          <tpl fld="0" item="216"/>
        </tpls>
      </query>
      <query mdx="[Indian_Employee_Data].[Employee ID].&amp;[Emp1223]">
        <tpls c="1">
          <tpl fld="0" item="217"/>
        </tpls>
      </query>
      <query mdx="[Indian_Employee_Data].[Employee ID].&amp;[Emp1224]">
        <tpls c="1">
          <tpl fld="0" item="218"/>
        </tpls>
      </query>
      <query mdx="[Indian_Employee_Data].[Employee ID].&amp;[Emp1225]">
        <tpls c="1">
          <tpl fld="0" item="219"/>
        </tpls>
      </query>
      <query mdx="[Indian_Employee_Data].[Employee ID].&amp;[Emp1226]">
        <tpls c="1">
          <tpl fld="0" item="220"/>
        </tpls>
      </query>
      <query mdx="[Indian_Employee_Data].[Employee ID].&amp;[Emp1227]">
        <tpls c="1">
          <tpl fld="0" item="221"/>
        </tpls>
      </query>
      <query mdx="[Indian_Employee_Data].[Employee ID].&amp;[Emp1228]">
        <tpls c="1">
          <tpl fld="0" item="222"/>
        </tpls>
      </query>
      <query mdx="[Indian_Employee_Data].[Employee ID].&amp;[Emp1230]">
        <tpls c="1">
          <tpl fld="0" item="223"/>
        </tpls>
      </query>
      <query mdx="[Indian_Employee_Data].[Employee ID].&amp;[Emp1231]">
        <tpls c="1">
          <tpl fld="0" item="224"/>
        </tpls>
      </query>
      <query mdx="[Indian_Employee_Data].[Employee ID].&amp;[Emp1232]">
        <tpls c="1">
          <tpl fld="0" item="225"/>
        </tpls>
      </query>
      <query mdx="[Indian_Employee_Data].[Employee ID].&amp;[Emp1233]">
        <tpls c="1">
          <tpl fld="0" item="226"/>
        </tpls>
      </query>
      <query mdx="[Indian_Employee_Data].[Employee ID].&amp;[Emp1234]">
        <tpls c="1">
          <tpl fld="0" item="227"/>
        </tpls>
      </query>
      <query mdx="[Indian_Employee_Data].[Employee ID].&amp;[Emp1235]">
        <tpls c="1">
          <tpl fld="0" item="228"/>
        </tpls>
      </query>
      <query mdx="[Indian_Employee_Data].[Employee ID].&amp;[Emp1236]">
        <tpls c="1">
          <tpl fld="0" item="229"/>
        </tpls>
      </query>
      <query mdx="[Indian_Employee_Data].[Employee ID].&amp;[Emp1237]">
        <tpls c="1">
          <tpl fld="0" item="230"/>
        </tpls>
      </query>
      <query mdx="[Indian_Employee_Data].[Employee ID].&amp;[Emp1238]">
        <tpls c="1">
          <tpl fld="0" item="231"/>
        </tpls>
      </query>
      <query mdx="[Indian_Employee_Data].[Employee ID].&amp;[Emp1239]">
        <tpls c="1">
          <tpl fld="0" item="232"/>
        </tpls>
      </query>
      <query mdx="[Indian_Employee_Data].[Employee ID].&amp;[Emp1240]">
        <tpls c="1">
          <tpl fld="0" item="233"/>
        </tpls>
      </query>
      <query mdx="[Indian_Employee_Data].[Employee ID].&amp;[Emp1241]">
        <tpls c="1">
          <tpl fld="0" item="234"/>
        </tpls>
      </query>
      <query mdx="[Indian_Employee_Data].[Employee ID].&amp;[Emp1242]">
        <tpls c="1">
          <tpl fld="0" item="235"/>
        </tpls>
      </query>
      <query mdx="[Indian_Employee_Data].[Employee ID].&amp;[Emp1243]">
        <tpls c="1">
          <tpl fld="0" item="236"/>
        </tpls>
      </query>
      <query mdx="[Indian_Employee_Data].[Employee ID].&amp;[Emp1244]">
        <tpls c="1">
          <tpl fld="0" item="237"/>
        </tpls>
      </query>
      <query mdx="[Indian_Employee_Data].[Employee ID].&amp;[Emp1245]">
        <tpls c="1">
          <tpl fld="0" item="238"/>
        </tpls>
      </query>
      <query mdx="[Indian_Employee_Data].[Employee ID].&amp;[Emp1246]">
        <tpls c="1">
          <tpl fld="0" item="239"/>
        </tpls>
      </query>
      <query mdx="[Indian_Employee_Data].[Employee ID].&amp;[Emp1247]">
        <tpls c="1">
          <tpl fld="0" item="240"/>
        </tpls>
      </query>
      <query mdx="[Indian_Employee_Data].[Employee ID].&amp;[Emp1248]">
        <tpls c="1">
          <tpl fld="0" item="241"/>
        </tpls>
      </query>
      <query mdx="[Indian_Employee_Data].[Employee ID].&amp;[Emp1249]">
        <tpls c="1">
          <tpl fld="0" item="242"/>
        </tpls>
      </query>
      <query mdx="[Indian_Employee_Data].[Employee ID].&amp;[Emp1250]">
        <tpls c="1">
          <tpl fld="0" item="243"/>
        </tpls>
      </query>
      <query mdx="[Indian_Employee_Data].[Employee ID].&amp;[Emp1251]">
        <tpls c="1">
          <tpl fld="0" item="244"/>
        </tpls>
      </query>
      <query mdx="[Indian_Employee_Data].[Employee ID].&amp;[Emp1252]">
        <tpls c="1">
          <tpl fld="0" item="245"/>
        </tpls>
      </query>
      <query mdx="[Indian_Employee_Data].[Employee ID].&amp;[Emp1253]">
        <tpls c="1">
          <tpl fld="0" item="246"/>
        </tpls>
      </query>
      <query mdx="[Indian_Employee_Data].[Employee ID].&amp;[Emp1254]">
        <tpls c="1">
          <tpl fld="0" item="247"/>
        </tpls>
      </query>
      <query mdx="[Indian_Employee_Data].[Employee ID].&amp;[Emp1255]">
        <tpls c="1">
          <tpl fld="0" item="248"/>
        </tpls>
      </query>
      <query mdx="[Indian_Employee_Data].[Employee ID].&amp;[Emp1256]">
        <tpls c="1">
          <tpl fld="0" item="249"/>
        </tpls>
      </query>
      <query mdx="[Indian_Employee_Data].[Employee ID].&amp;[Emp1257]">
        <tpls c="1">
          <tpl fld="0" item="250"/>
        </tpls>
      </query>
      <query mdx="[Indian_Employee_Data].[Employee ID].&amp;[Emp1258]">
        <tpls c="1">
          <tpl fld="0" item="251"/>
        </tpls>
      </query>
      <query mdx="[Indian_Employee_Data].[Employee ID].&amp;[Emp1259]">
        <tpls c="1">
          <tpl fld="0" item="252"/>
        </tpls>
      </query>
      <query mdx="[Indian_Employee_Data].[Employee ID].&amp;[Emp1260]">
        <tpls c="1">
          <tpl fld="0" item="253"/>
        </tpls>
      </query>
      <query mdx="[Indian_Employee_Data].[Employee ID].&amp;[Emp1261]">
        <tpls c="1">
          <tpl fld="0" item="254"/>
        </tpls>
      </query>
      <query mdx="[Indian_Employee_Data].[Employee ID].&amp;[Emp1262]">
        <tpls c="1">
          <tpl fld="0" item="255"/>
        </tpls>
      </query>
      <query mdx="[Indian_Employee_Data].[Employee ID].&amp;[Emp1263]">
        <tpls c="1">
          <tpl fld="0" item="256"/>
        </tpls>
      </query>
      <query mdx="[Indian_Employee_Data].[Employee ID].&amp;[Emp1264]">
        <tpls c="1">
          <tpl fld="0" item="257"/>
        </tpls>
      </query>
      <query mdx="[Indian_Employee_Data].[Employee ID].&amp;[Emp1265]">
        <tpls c="1">
          <tpl fld="0" item="258"/>
        </tpls>
      </query>
      <query mdx="[Indian_Employee_Data].[Employee ID].&amp;[Emp1266]">
        <tpls c="1">
          <tpl fld="0" item="259"/>
        </tpls>
      </query>
      <query mdx="[Indian_Employee_Data].[Employee ID].&amp;[Emp1267]">
        <tpls c="1">
          <tpl fld="0" item="260"/>
        </tpls>
      </query>
      <query mdx="[Indian_Employee_Data].[Employee ID].&amp;[Emp1268]">
        <tpls c="1">
          <tpl fld="0" item="261"/>
        </tpls>
      </query>
      <query mdx="[Indian_Employee_Data].[Employee ID].&amp;[Emp1269]">
        <tpls c="1">
          <tpl fld="0" item="262"/>
        </tpls>
      </query>
      <query mdx="[Indian_Employee_Data].[Employee ID].&amp;[Emp1270]">
        <tpls c="1">
          <tpl fld="0" item="263"/>
        </tpls>
      </query>
      <query mdx="[Indian_Employee_Data].[Employee ID].&amp;[Emp1271]">
        <tpls c="1">
          <tpl fld="0" item="264"/>
        </tpls>
      </query>
      <query mdx="[Indian_Employee_Data].[Employee ID].&amp;[Emp1272]">
        <tpls c="1">
          <tpl fld="0" item="265"/>
        </tpls>
      </query>
      <query mdx="[Indian_Employee_Data].[Employee ID].&amp;[Emp1273]">
        <tpls c="1">
          <tpl fld="0" item="266"/>
        </tpls>
      </query>
      <query mdx="[Indian_Employee_Data].[Employee ID].&amp;[Emp1274]">
        <tpls c="1">
          <tpl fld="0" item="267"/>
        </tpls>
      </query>
      <query mdx="[Indian_Employee_Data].[Employee ID].&amp;[Emp1275]">
        <tpls c="1">
          <tpl fld="0" item="268"/>
        </tpls>
      </query>
      <query mdx="[Indian_Employee_Data].[Employee ID].&amp;[Emp1276]">
        <tpls c="1">
          <tpl fld="0" item="269"/>
        </tpls>
      </query>
      <query mdx="[Indian_Employee_Data].[Employee ID].&amp;[Emp1277]">
        <tpls c="1">
          <tpl fld="0" item="270"/>
        </tpls>
      </query>
      <query mdx="[Indian_Employee_Data].[Employee ID].&amp;[Emp1278]">
        <tpls c="1">
          <tpl fld="0" item="271"/>
        </tpls>
      </query>
      <query mdx="[Indian_Employee_Data].[Employee ID].&amp;[Emp1279]">
        <tpls c="1">
          <tpl fld="0" item="272"/>
        </tpls>
      </query>
      <query mdx="[Indian_Employee_Data].[Employee ID].&amp;[Emp1280]">
        <tpls c="1">
          <tpl fld="0" item="273"/>
        </tpls>
      </query>
      <query mdx="[Indian_Employee_Data].[Employee ID].&amp;[Emp1281]">
        <tpls c="1">
          <tpl fld="0" item="274"/>
        </tpls>
      </query>
      <query mdx="[Indian_Employee_Data].[Employee ID].&amp;[Emp1282]">
        <tpls c="1">
          <tpl fld="0" item="275"/>
        </tpls>
      </query>
      <query mdx="[Indian_Employee_Data].[Employee ID].&amp;[Emp1283]">
        <tpls c="1">
          <tpl fld="0" item="276"/>
        </tpls>
      </query>
      <query mdx="[Indian_Employee_Data].[Employee ID].&amp;[Emp1284]">
        <tpls c="1">
          <tpl fld="0" item="277"/>
        </tpls>
      </query>
      <query mdx="[Indian_Employee_Data].[Employee ID].&amp;[Emp1285]">
        <tpls c="1">
          <tpl fld="0" item="278"/>
        </tpls>
      </query>
      <query mdx="[Indian_Employee_Data].[Employee ID].&amp;[Emp1286]">
        <tpls c="1">
          <tpl fld="0" item="279"/>
        </tpls>
      </query>
      <query mdx="[Indian_Employee_Data].[Employee ID].&amp;[Emp1287]">
        <tpls c="1">
          <tpl fld="0" item="280"/>
        </tpls>
      </query>
      <query mdx="[Indian_Employee_Data].[Employee ID].&amp;[Emp1288]">
        <tpls c="1">
          <tpl fld="0" item="281"/>
        </tpls>
      </query>
      <query mdx="[Indian_Employee_Data].[Employee ID].&amp;[Emp1289]">
        <tpls c="1">
          <tpl fld="0" item="282"/>
        </tpls>
      </query>
      <query mdx="[Indian_Employee_Data].[Employee ID].&amp;[Emp1290]">
        <tpls c="1">
          <tpl fld="0" item="283"/>
        </tpls>
      </query>
      <query mdx="[Indian_Employee_Data].[Employee ID].&amp;[Emp1291]">
        <tpls c="1">
          <tpl fld="0" item="284"/>
        </tpls>
      </query>
      <query mdx="[Indian_Employee_Data].[Employee ID].&amp;[Emp1292]">
        <tpls c="1">
          <tpl fld="0" item="285"/>
        </tpls>
      </query>
      <query mdx="[Indian_Employee_Data].[Employee ID].&amp;[Emp1293]">
        <tpls c="1">
          <tpl fld="0" item="286"/>
        </tpls>
      </query>
      <query mdx="[Indian_Employee_Data].[Employee ID].&amp;[Emp1294]">
        <tpls c="1">
          <tpl fld="0" item="287"/>
        </tpls>
      </query>
      <query mdx="[Indian_Employee_Data].[Employee ID].&amp;[Emp1295]">
        <tpls c="1">
          <tpl fld="0" item="288"/>
        </tpls>
      </query>
      <query mdx="[Indian_Employee_Data].[Employee ID].&amp;[Emp1296]">
        <tpls c="1">
          <tpl fld="0" item="289"/>
        </tpls>
      </query>
      <query mdx="[Indian_Employee_Data].[Employee ID].&amp;[Emp1297]">
        <tpls c="1">
          <tpl fld="0" item="290"/>
        </tpls>
      </query>
      <query mdx="[Indian_Employee_Data].[Employee ID].&amp;[Emp1298]">
        <tpls c="1">
          <tpl fld="0" item="291"/>
        </tpls>
      </query>
      <query mdx="[Indian_Employee_Data].[Employee ID].&amp;[Emp1299]">
        <tpls c="1">
          <tpl fld="0" item="292"/>
        </tpls>
      </query>
      <query mdx="[Indian_Employee_Data].[Employee ID].&amp;[Emp1300]">
        <tpls c="1">
          <tpl fld="0" item="293"/>
        </tpls>
      </query>
      <query mdx="[Indian_Employee_Data].[Employee ID].&amp;[Emp1301]">
        <tpls c="1">
          <tpl fld="0" item="294"/>
        </tpls>
      </query>
      <query mdx="[Indian_Employee_Data].[Employee ID].&amp;[Emp1302]">
        <tpls c="1">
          <tpl fld="0" item="295"/>
        </tpls>
      </query>
      <query mdx="[Indian_Employee_Data].[Employee ID].&amp;[Emp1303]">
        <tpls c="1">
          <tpl fld="0" item="296"/>
        </tpls>
      </query>
      <query mdx="[Indian_Employee_Data].[Employee ID].&amp;[Emp1304]">
        <tpls c="1">
          <tpl fld="0" item="297"/>
        </tpls>
      </query>
      <query mdx="[Indian_Employee_Data].[Employee ID].&amp;[Emp1305]">
        <tpls c="1">
          <tpl fld="0" item="298"/>
        </tpls>
      </query>
      <query mdx="[Indian_Employee_Data].[Employee ID].&amp;[Emp1306]">
        <tpls c="1">
          <tpl fld="0" item="299"/>
        </tpls>
      </query>
      <query mdx="[Indian_Employee_Data].[Employee ID].&amp;[Emp1307]">
        <tpls c="1">
          <tpl fld="0" item="300"/>
        </tpls>
      </query>
      <query mdx="[Indian_Employee_Data].[Employee ID].&amp;[Emp1308]">
        <tpls c="1">
          <tpl fld="0" item="301"/>
        </tpls>
      </query>
      <query mdx="[Indian_Employee_Data].[Employee ID].&amp;[Emp1309]">
        <tpls c="1">
          <tpl fld="0" item="302"/>
        </tpls>
      </query>
      <query mdx="[Indian_Employee_Data].[Employee ID].&amp;[Emp1310]">
        <tpls c="1">
          <tpl fld="0" item="303"/>
        </tpls>
      </query>
      <query mdx="[Indian_Employee_Data].[Employee ID].&amp;[Emp1311]">
        <tpls c="1">
          <tpl fld="0" item="304"/>
        </tpls>
      </query>
      <query mdx="[Indian_Employee_Data].[Employee ID].&amp;[Emp1312]">
        <tpls c="1">
          <tpl fld="0" item="305"/>
        </tpls>
      </query>
      <query mdx="[Indian_Employee_Data].[Employee ID].&amp;[Emp1313]">
        <tpls c="1">
          <tpl fld="0" item="306"/>
        </tpls>
      </query>
      <query mdx="[Indian_Employee_Data].[Employee ID].&amp;[Emp1314]">
        <tpls c="1">
          <tpl fld="0" item="307"/>
        </tpls>
      </query>
      <query mdx="[Indian_Employee_Data].[Employee ID].&amp;[Emp1315]">
        <tpls c="1">
          <tpl fld="0" item="308"/>
        </tpls>
      </query>
      <query mdx="[Indian_Employee_Data].[Employee ID].&amp;[Emp1316]">
        <tpls c="1">
          <tpl fld="0" item="309"/>
        </tpls>
      </query>
      <query mdx="[Indian_Employee_Data].[Employee ID].&amp;[Emp1317]">
        <tpls c="1">
          <tpl fld="0" item="310"/>
        </tpls>
      </query>
      <query mdx="[Indian_Employee_Data].[Employee ID].&amp;[Emp1318]">
        <tpls c="1">
          <tpl fld="0" item="311"/>
        </tpls>
      </query>
      <query mdx="[Indian_Employee_Data].[Employee ID].&amp;[Emp1319]">
        <tpls c="1">
          <tpl fld="0" item="312"/>
        </tpls>
      </query>
      <query mdx="[Indian_Employee_Data].[Employee ID].&amp;[Emp1320]">
        <tpls c="1">
          <tpl fld="0" item="313"/>
        </tpls>
      </query>
      <query mdx="[Indian_Employee_Data].[Employee ID].&amp;[Emp1321]">
        <tpls c="1">
          <tpl fld="0" item="314"/>
        </tpls>
      </query>
      <query mdx="[Indian_Employee_Data].[Employee ID].&amp;[Emp1322]">
        <tpls c="1">
          <tpl fld="0" item="315"/>
        </tpls>
      </query>
      <query mdx="[Indian_Employee_Data].[Employee ID].&amp;[Emp1323]">
        <tpls c="1">
          <tpl fld="0" item="316"/>
        </tpls>
      </query>
      <query mdx="[Indian_Employee_Data].[Employee ID].&amp;[Emp1324]">
        <tpls c="1">
          <tpl fld="0" item="317"/>
        </tpls>
      </query>
      <query mdx="[Indian_Employee_Data].[Employee ID].&amp;[Emp1325]">
        <tpls c="1">
          <tpl fld="0" item="318"/>
        </tpls>
      </query>
      <query mdx="[Indian_Employee_Data].[Employee ID].&amp;[Emp1326]">
        <tpls c="1">
          <tpl fld="0" item="319"/>
        </tpls>
      </query>
      <query mdx="[Indian_Employee_Data].[Employee ID].&amp;[Emp1327]">
        <tpls c="1">
          <tpl fld="0" item="320"/>
        </tpls>
      </query>
      <query mdx="[Indian_Employee_Data].[Employee ID].&amp;[Emp1328]">
        <tpls c="1">
          <tpl fld="0" item="321"/>
        </tpls>
      </query>
      <query mdx="[Indian_Employee_Data].[Employee ID].&amp;[Emp1329]">
        <tpls c="1">
          <tpl fld="0" item="322"/>
        </tpls>
      </query>
      <query mdx="[Indian_Employee_Data].[Employee ID].&amp;[Emp1330]">
        <tpls c="1">
          <tpl fld="0" item="323"/>
        </tpls>
      </query>
      <query mdx="[Indian_Employee_Data].[Employee ID].&amp;[Emp1331]">
        <tpls c="1">
          <tpl fld="0" item="324"/>
        </tpls>
      </query>
      <query mdx="[Indian_Employee_Data].[Employee ID].&amp;[Emp1332]">
        <tpls c="1">
          <tpl fld="0" item="325"/>
        </tpls>
      </query>
      <query mdx="[Indian_Employee_Data].[Employee ID].&amp;[Emp1333]">
        <tpls c="1">
          <tpl fld="0" item="326"/>
        </tpls>
      </query>
      <query mdx="[Indian_Employee_Data].[Employee ID].&amp;[Emp1334]">
        <tpls c="1">
          <tpl fld="0" item="327"/>
        </tpls>
      </query>
      <query mdx="[Indian_Employee_Data].[Employee ID].&amp;[Emp1335]">
        <tpls c="1">
          <tpl fld="0" item="328"/>
        </tpls>
      </query>
      <query mdx="[Indian_Employee_Data].[Employee ID].&amp;[Emp1336]">
        <tpls c="1">
          <tpl fld="0" item="329"/>
        </tpls>
      </query>
      <query mdx="[Indian_Employee_Data].[Employee ID].&amp;[Emp1337]">
        <tpls c="1">
          <tpl fld="0" item="330"/>
        </tpls>
      </query>
      <query mdx="[Indian_Employee_Data].[Employee ID].&amp;[Emp1338]">
        <tpls c="1">
          <tpl fld="0" item="331"/>
        </tpls>
      </query>
      <query mdx="[Indian_Employee_Data].[Employee ID].&amp;[Emp1339]">
        <tpls c="1">
          <tpl fld="0" item="332"/>
        </tpls>
      </query>
      <query mdx="[Indian_Employee_Data].[Employee ID].&amp;[Emp1340]">
        <tpls c="1">
          <tpl fld="0" item="333"/>
        </tpls>
      </query>
      <query mdx="[Indian_Employee_Data].[Employee ID].&amp;[Emp1341]">
        <tpls c="1">
          <tpl fld="0" item="334"/>
        </tpls>
      </query>
      <query mdx="[Indian_Employee_Data].[Employee ID].&amp;[Emp1342]">
        <tpls c="1">
          <tpl fld="0" item="335"/>
        </tpls>
      </query>
      <query mdx="[Indian_Employee_Data].[Employee ID].&amp;[Emp1343]">
        <tpls c="1">
          <tpl fld="0" item="336"/>
        </tpls>
      </query>
      <query mdx="[Indian_Employee_Data].[Employee ID].&amp;[Emp1344]">
        <tpls c="1">
          <tpl fld="0" item="337"/>
        </tpls>
      </query>
      <query mdx="[Indian_Employee_Data].[Employee ID].&amp;[Emp1345]">
        <tpls c="1">
          <tpl fld="0" item="338"/>
        </tpls>
      </query>
      <query mdx="[Indian_Employee_Data].[Employee ID].&amp;[Emp1346]">
        <tpls c="1">
          <tpl fld="0" item="339"/>
        </tpls>
      </query>
      <query mdx="[Indian_Employee_Data].[Employee ID].&amp;[Emp1347]">
        <tpls c="1">
          <tpl fld="0" item="340"/>
        </tpls>
      </query>
      <query mdx="[Indian_Employee_Data].[Employee ID].&amp;[Emp1348]">
        <tpls c="1">
          <tpl fld="0" item="341"/>
        </tpls>
      </query>
      <query mdx="[Indian_Employee_Data].[Employee ID].&amp;[Emp1350]">
        <tpls c="1">
          <tpl fld="0" item="342"/>
        </tpls>
      </query>
      <query mdx="[Indian_Employee_Data].[Employee ID].&amp;[Emp1351]">
        <tpls c="1">
          <tpl fld="0" item="343"/>
        </tpls>
      </query>
      <query mdx="[Indian_Employee_Data].[Employee ID].&amp;[Emp1352]">
        <tpls c="1">
          <tpl fld="0" item="344"/>
        </tpls>
      </query>
      <query mdx="[Indian_Employee_Data].[Employee ID].&amp;[Emp1353]">
        <tpls c="1">
          <tpl fld="0" item="345"/>
        </tpls>
      </query>
      <query mdx="[Indian_Employee_Data].[Employee ID].&amp;[Emp1354]">
        <tpls c="1">
          <tpl fld="0" item="346"/>
        </tpls>
      </query>
      <query mdx="[Indian_Employee_Data].[Employee ID].&amp;[Emp1355]">
        <tpls c="1">
          <tpl fld="0" item="347"/>
        </tpls>
      </query>
      <query mdx="[Indian_Employee_Data].[Employee ID].&amp;[Emp1356]">
        <tpls c="1">
          <tpl fld="0" item="348"/>
        </tpls>
      </query>
      <query mdx="[Indian_Employee_Data].[Employee ID].&amp;[Emp1357]">
        <tpls c="1">
          <tpl fld="0" item="349"/>
        </tpls>
      </query>
      <query mdx="[Indian_Employee_Data].[Employee ID].&amp;[Emp1358]">
        <tpls c="1">
          <tpl fld="0" item="350"/>
        </tpls>
      </query>
      <query mdx="[Indian_Employee_Data].[Employee ID].&amp;[Emp1359]">
        <tpls c="1">
          <tpl fld="0" item="351"/>
        </tpls>
      </query>
      <query mdx="[Indian_Employee_Data].[Employee ID].&amp;[Emp1360]">
        <tpls c="1">
          <tpl fld="0" item="352"/>
        </tpls>
      </query>
      <query mdx="[Indian_Employee_Data].[Employee ID].&amp;[Emp1361]">
        <tpls c="1">
          <tpl fld="0" item="353"/>
        </tpls>
      </query>
      <query mdx="[Indian_Employee_Data].[Employee ID].&amp;[Emp1362]">
        <tpls c="1">
          <tpl fld="0" item="354"/>
        </tpls>
      </query>
      <query mdx="[Indian_Employee_Data].[Employee ID].&amp;[Emp1363]">
        <tpls c="1">
          <tpl fld="0" item="355"/>
        </tpls>
      </query>
      <query mdx="[Indian_Employee_Data].[Employee ID].&amp;[Emp1364]">
        <tpls c="1">
          <tpl fld="0" item="356"/>
        </tpls>
      </query>
      <query mdx="[Indian_Employee_Data].[Employee ID].&amp;[Emp1365]">
        <tpls c="1">
          <tpl fld="0" item="357"/>
        </tpls>
      </query>
      <query mdx="[Indian_Employee_Data].[Employee ID].&amp;[Emp1366]">
        <tpls c="1">
          <tpl fld="0" item="358"/>
        </tpls>
      </query>
      <query mdx="[Indian_Employee_Data].[Employee ID].&amp;[Emp1367]">
        <tpls c="1">
          <tpl fld="0" item="359"/>
        </tpls>
      </query>
      <query mdx="[Indian_Employee_Data].[Employee ID].&amp;[Emp1368]">
        <tpls c="1">
          <tpl fld="0" item="360"/>
        </tpls>
      </query>
      <query mdx="[Indian_Employee_Data].[Employee ID].&amp;[Emp1369]">
        <tpls c="1">
          <tpl fld="0" item="361"/>
        </tpls>
      </query>
      <query mdx="[Indian_Employee_Data].[Employee ID].&amp;[Emp1370]">
        <tpls c="1">
          <tpl fld="0" item="362"/>
        </tpls>
      </query>
      <query mdx="[Indian_Employee_Data].[Employee ID].&amp;[Emp1371]">
        <tpls c="1">
          <tpl fld="0" item="363"/>
        </tpls>
      </query>
      <query mdx="[Indian_Employee_Data].[Employee ID].&amp;[Emp1372]">
        <tpls c="1">
          <tpl fld="0" item="364"/>
        </tpls>
      </query>
      <query mdx="[Indian_Employee_Data].[Employee ID].&amp;[Emp1373]">
        <tpls c="1">
          <tpl fld="0" item="365"/>
        </tpls>
      </query>
      <query mdx="[Indian_Employee_Data].[Employee ID].&amp;[Emp1374]">
        <tpls c="1">
          <tpl fld="0" item="366"/>
        </tpls>
      </query>
      <query mdx="[Indian_Employee_Data].[Employee ID].&amp;[Emp1375]">
        <tpls c="1">
          <tpl fld="0" item="367"/>
        </tpls>
      </query>
      <query mdx="[Indian_Employee_Data].[Employee ID].&amp;[Emp1376]">
        <tpls c="1">
          <tpl fld="0" item="368"/>
        </tpls>
      </query>
      <query mdx="[Indian_Employee_Data].[Employee ID].&amp;[Emp1377]">
        <tpls c="1">
          <tpl fld="0" item="369"/>
        </tpls>
      </query>
      <query mdx="[Indian_Employee_Data].[Employee ID].&amp;[Emp1378]">
        <tpls c="1">
          <tpl fld="0" item="370"/>
        </tpls>
      </query>
      <query mdx="[Indian_Employee_Data].[Employee ID].&amp;[Emp1379]">
        <tpls c="1">
          <tpl fld="0" item="371"/>
        </tpls>
      </query>
      <query mdx="[Indian_Employee_Data].[Employee ID].&amp;[Emp1380]">
        <tpls c="1">
          <tpl fld="0" item="372"/>
        </tpls>
      </query>
      <query mdx="[Indian_Employee_Data].[Employee ID].&amp;[Emp1381]">
        <tpls c="1">
          <tpl fld="0" item="373"/>
        </tpls>
      </query>
      <query mdx="[Indian_Employee_Data].[Employee ID].&amp;[Emp1382]">
        <tpls c="1">
          <tpl fld="0" item="374"/>
        </tpls>
      </query>
      <query mdx="[Indian_Employee_Data].[Employee ID].&amp;[Emp1383]">
        <tpls c="1">
          <tpl fld="0" item="375"/>
        </tpls>
      </query>
      <query mdx="[Indian_Employee_Data].[Employee ID].&amp;[Emp1384]">
        <tpls c="1">
          <tpl fld="0" item="376"/>
        </tpls>
      </query>
      <query mdx="[Indian_Employee_Data].[Employee ID].&amp;[Emp1385]">
        <tpls c="1">
          <tpl fld="0" item="377"/>
        </tpls>
      </query>
      <query mdx="[Indian_Employee_Data].[Employee ID].&amp;[Emp1386]">
        <tpls c="1">
          <tpl fld="0" item="378"/>
        </tpls>
      </query>
      <query mdx="[Indian_Employee_Data].[Employee ID].&amp;[Emp1387]">
        <tpls c="1">
          <tpl fld="0" item="379"/>
        </tpls>
      </query>
      <query mdx="[Indian_Employee_Data].[Employee ID].&amp;[Emp1388]">
        <tpls c="1">
          <tpl fld="0" item="380"/>
        </tpls>
      </query>
      <query mdx="[Indian_Employee_Data].[Employee ID].&amp;[Emp1389]">
        <tpls c="1">
          <tpl fld="0" item="381"/>
        </tpls>
      </query>
      <query mdx="[Indian_Employee_Data].[Employee ID].&amp;[Emp1390]">
        <tpls c="1">
          <tpl fld="0" item="382"/>
        </tpls>
      </query>
      <query mdx="[Indian_Employee_Data].[Employee ID].&amp;[Emp1391]">
        <tpls c="1">
          <tpl fld="0" item="383"/>
        </tpls>
      </query>
      <query mdx="[Indian_Employee_Data].[Employee ID].&amp;[Emp1392]">
        <tpls c="1">
          <tpl fld="0" item="384"/>
        </tpls>
      </query>
      <query mdx="[Indian_Employee_Data].[Employee ID].&amp;[Emp1393]">
        <tpls c="1">
          <tpl fld="0" item="385"/>
        </tpls>
      </query>
      <query mdx="[Indian_Employee_Data].[Employee ID].&amp;[Emp1394]">
        <tpls c="1">
          <tpl fld="0" item="386"/>
        </tpls>
      </query>
      <query mdx="[Indian_Employee_Data].[Employee ID].&amp;[Emp1395]">
        <tpls c="1">
          <tpl fld="0" item="387"/>
        </tpls>
      </query>
      <query mdx="[Indian_Employee_Data].[Employee ID].&amp;[Emp1396]">
        <tpls c="1">
          <tpl fld="0" item="388"/>
        </tpls>
      </query>
      <query mdx="[Indian_Employee_Data].[Employee ID].&amp;[Emp1397]">
        <tpls c="1">
          <tpl fld="0" item="389"/>
        </tpls>
      </query>
      <query mdx="[Indian_Employee_Data].[Employee ID].&amp;[Emp1398]">
        <tpls c="1">
          <tpl fld="0" item="390"/>
        </tpls>
      </query>
      <query mdx="[Indian_Employee_Data].[Employee ID].&amp;[Emp1399]">
        <tpls c="1">
          <tpl fld="0" item="391"/>
        </tpls>
      </query>
      <query mdx="[Indian_Employee_Data].[Employee ID].&amp;[Emp1400]">
        <tpls c="1">
          <tpl fld="0" item="392"/>
        </tpls>
      </query>
      <query mdx="[Indian_Employee_Data].[Employee ID].&amp;[Emp1401]">
        <tpls c="1">
          <tpl fld="0" item="393"/>
        </tpls>
      </query>
      <query mdx="[Indian_Employee_Data].[Employee ID].&amp;[Emp1402]">
        <tpls c="1">
          <tpl fld="0" item="394"/>
        </tpls>
      </query>
      <query mdx="[Indian_Employee_Data].[Employee ID].&amp;[Emp1403]">
        <tpls c="1">
          <tpl fld="0" item="395"/>
        </tpls>
      </query>
      <query mdx="[Indian_Employee_Data].[Employee ID].&amp;[Emp1404]">
        <tpls c="1">
          <tpl fld="0" item="396"/>
        </tpls>
      </query>
      <query mdx="[Indian_Employee_Data].[Employee ID].&amp;[Emp1405]">
        <tpls c="1">
          <tpl fld="0" item="397"/>
        </tpls>
      </query>
      <query mdx="[Indian_Employee_Data].[Employee ID].&amp;[Emp1406]">
        <tpls c="1">
          <tpl fld="0" item="398"/>
        </tpls>
      </query>
      <query mdx="[Indian_Employee_Data].[Employee ID].&amp;[Emp1407]">
        <tpls c="1">
          <tpl fld="0" item="399"/>
        </tpls>
      </query>
      <query mdx="[Indian_Employee_Data].[Employee ID].&amp;[Emp1408]">
        <tpls c="1">
          <tpl fld="0" item="400"/>
        </tpls>
      </query>
      <query mdx="[Indian_Employee_Data].[Employee ID].&amp;[Emp1409]">
        <tpls c="1">
          <tpl fld="0" item="401"/>
        </tpls>
      </query>
      <query mdx="[Indian_Employee_Data].[Employee ID].&amp;[Emp1410]">
        <tpls c="1">
          <tpl fld="0" item="402"/>
        </tpls>
      </query>
      <query mdx="[Indian_Employee_Data].[Employee ID].&amp;[Emp1411]">
        <tpls c="1">
          <tpl fld="0" item="403"/>
        </tpls>
      </query>
      <query mdx="[Indian_Employee_Data].[Employee ID].&amp;[Emp1412]">
        <tpls c="1">
          <tpl fld="0" item="404"/>
        </tpls>
      </query>
      <query mdx="[Indian_Employee_Data].[Employee ID].&amp;[Emp1413]">
        <tpls c="1">
          <tpl fld="0" item="405"/>
        </tpls>
      </query>
      <query mdx="[Indian_Employee_Data].[Employee ID].&amp;[Emp1414]">
        <tpls c="1">
          <tpl fld="0" item="406"/>
        </tpls>
      </query>
      <query mdx="[Indian_Employee_Data].[Employee ID].&amp;[Emp1415]">
        <tpls c="1">
          <tpl fld="0" item="407"/>
        </tpls>
      </query>
      <query mdx="[Indian_Employee_Data].[Employee ID].&amp;[Emp1416]">
        <tpls c="1">
          <tpl fld="0" item="408"/>
        </tpls>
      </query>
      <query mdx="[Indian_Employee_Data].[Employee ID].&amp;[Emp1417]">
        <tpls c="1">
          <tpl fld="0" item="409"/>
        </tpls>
      </query>
      <query mdx="[Indian_Employee_Data].[Employee ID].&amp;[Emp1418]">
        <tpls c="1">
          <tpl fld="0" item="410"/>
        </tpls>
      </query>
      <query mdx="[Indian_Employee_Data].[Employee ID].&amp;[Emp1419]">
        <tpls c="1">
          <tpl fld="0" item="411"/>
        </tpls>
      </query>
      <query mdx="[Indian_Employee_Data].[Employee ID].&amp;[Emp1420]">
        <tpls c="1">
          <tpl fld="0" item="412"/>
        </tpls>
      </query>
      <query mdx="[Indian_Employee_Data].[Employee ID].&amp;[Emp1421]">
        <tpls c="1">
          <tpl fld="0" item="413"/>
        </tpls>
      </query>
      <query mdx="[Indian_Employee_Data].[Employee ID].&amp;[Emp1422]">
        <tpls c="1">
          <tpl fld="0" item="414"/>
        </tpls>
      </query>
      <query mdx="[Indian_Employee_Data].[Employee ID].&amp;[Emp1423]">
        <tpls c="1">
          <tpl fld="0" item="415"/>
        </tpls>
      </query>
      <query mdx="[Indian_Employee_Data].[Employee ID].&amp;[Emp1424]">
        <tpls c="1">
          <tpl fld="0" item="416"/>
        </tpls>
      </query>
      <query mdx="[Indian_Employee_Data].[Employee ID].&amp;[Emp1425]">
        <tpls c="1">
          <tpl fld="0" item="417"/>
        </tpls>
      </query>
      <query mdx="[Indian_Employee_Data].[Employee ID].&amp;[Emp1426]">
        <tpls c="1">
          <tpl fld="0" item="418"/>
        </tpls>
      </query>
      <query mdx="[Indian_Employee_Data].[Employee ID].&amp;[Emp1427]">
        <tpls c="1">
          <tpl fld="0" item="419"/>
        </tpls>
      </query>
      <query mdx="[Indian_Employee_Data].[Employee ID].&amp;[Emp1428]">
        <tpls c="1">
          <tpl fld="0" item="420"/>
        </tpls>
      </query>
      <query mdx="[Indian_Employee_Data].[Employee ID].&amp;[Emp1429]">
        <tpls c="1">
          <tpl fld="0" item="421"/>
        </tpls>
      </query>
      <query mdx="[Indian_Employee_Data].[Employee ID].&amp;[Emp1430]">
        <tpls c="1">
          <tpl fld="0" item="422"/>
        </tpls>
      </query>
      <query mdx="[Indian_Employee_Data].[Employee ID].&amp;[Emp1431]">
        <tpls c="1">
          <tpl fld="0" item="423"/>
        </tpls>
      </query>
      <query mdx="[Indian_Employee_Data].[Employee ID].&amp;[Emp1432]">
        <tpls c="1">
          <tpl fld="0" item="424"/>
        </tpls>
      </query>
      <query mdx="[Indian_Employee_Data].[Employee ID].&amp;[Emp1433]">
        <tpls c="1">
          <tpl fld="0" item="425"/>
        </tpls>
      </query>
      <query mdx="[Indian_Employee_Data].[Employee ID].&amp;[Emp1434]">
        <tpls c="1">
          <tpl fld="0" item="426"/>
        </tpls>
      </query>
      <query mdx="[Indian_Employee_Data].[Employee ID].&amp;[Emp1435]">
        <tpls c="1">
          <tpl fld="0" item="427"/>
        </tpls>
      </query>
      <query mdx="[Indian_Employee_Data].[Employee ID].&amp;[Emp1436]">
        <tpls c="1">
          <tpl fld="0" item="428"/>
        </tpls>
      </query>
      <query mdx="[Indian_Employee_Data].[Employee ID].&amp;[Emp1437]">
        <tpls c="1">
          <tpl fld="0" item="429"/>
        </tpls>
      </query>
      <query mdx="[Indian_Employee_Data].[Employee ID].&amp;[Emp1438]">
        <tpls c="1">
          <tpl fld="0" item="430"/>
        </tpls>
      </query>
      <query mdx="[Indian_Employee_Data].[Employee ID].&amp;[Emp1439]">
        <tpls c="1">
          <tpl fld="0" item="431"/>
        </tpls>
      </query>
      <query mdx="[Indian_Employee_Data].[Employee ID].&amp;[Emp1440]">
        <tpls c="1">
          <tpl fld="0" item="432"/>
        </tpls>
      </query>
      <query mdx="[Indian_Employee_Data].[Employee ID].&amp;[Emp1441]">
        <tpls c="1">
          <tpl fld="0" item="433"/>
        </tpls>
      </query>
      <query mdx="[Indian_Employee_Data].[Employee ID].&amp;[Emp1442]">
        <tpls c="1">
          <tpl fld="0" item="434"/>
        </tpls>
      </query>
      <query mdx="[Indian_Employee_Data].[Employee ID].&amp;[Emp1443]">
        <tpls c="1">
          <tpl fld="0" item="435"/>
        </tpls>
      </query>
      <query mdx="[Indian_Employee_Data].[Employee ID].&amp;[Emp1444]">
        <tpls c="1">
          <tpl fld="0" item="436"/>
        </tpls>
      </query>
      <query mdx="[Indian_Employee_Data].[Employee ID].&amp;[Emp1445]">
        <tpls c="1">
          <tpl fld="0" item="437"/>
        </tpls>
      </query>
      <query mdx="[Indian_Employee_Data].[Employee ID].&amp;[Emp1446]">
        <tpls c="1">
          <tpl fld="0" item="438"/>
        </tpls>
      </query>
      <query mdx="[Indian_Employee_Data].[Employee ID].&amp;[Emp1447]">
        <tpls c="1">
          <tpl fld="0" item="439"/>
        </tpls>
      </query>
      <query mdx="[Indian_Employee_Data].[Employee ID].&amp;[Emp1448]">
        <tpls c="1">
          <tpl fld="0" item="440"/>
        </tpls>
      </query>
      <query mdx="[Indian_Employee_Data].[Employee ID].&amp;[Emp1449]">
        <tpls c="1">
          <tpl fld="0" item="441"/>
        </tpls>
      </query>
      <query mdx="[Indian_Employee_Data].[Employee ID].&amp;[Emp1450]">
        <tpls c="1">
          <tpl fld="0" item="442"/>
        </tpls>
      </query>
      <query mdx="[Indian_Employee_Data].[Employee ID].&amp;[Emp1451]">
        <tpls c="1">
          <tpl fld="0" item="443"/>
        </tpls>
      </query>
      <query mdx="[Indian_Employee_Data].[Employee ID].&amp;[Emp1452]">
        <tpls c="1">
          <tpl fld="0" item="444"/>
        </tpls>
      </query>
      <query mdx="[Indian_Employee_Data].[Employee ID].&amp;[Emp1453]">
        <tpls c="1">
          <tpl fld="0" item="445"/>
        </tpls>
      </query>
      <query mdx="[Indian_Employee_Data].[Employee ID].&amp;[Emp1454]">
        <tpls c="1">
          <tpl fld="0" item="446"/>
        </tpls>
      </query>
      <query mdx="[Indian_Employee_Data].[Employee ID].&amp;[Emp1455]">
        <tpls c="1">
          <tpl fld="0" item="447"/>
        </tpls>
      </query>
      <query mdx="[Indian_Employee_Data].[Employee ID].&amp;[Emp1456]">
        <tpls c="1">
          <tpl fld="0" item="448"/>
        </tpls>
      </query>
      <query mdx="[Indian_Employee_Data].[Employee ID].&amp;[Emp1457]">
        <tpls c="1">
          <tpl fld="0" item="449"/>
        </tpls>
      </query>
      <query mdx="[Indian_Employee_Data].[Employee ID].&amp;[Emp1458]">
        <tpls c="1">
          <tpl fld="0" item="450"/>
        </tpls>
      </query>
      <query mdx="[Indian_Employee_Data].[Employee ID].&amp;[Emp1459]">
        <tpls c="1">
          <tpl fld="0" item="451"/>
        </tpls>
      </query>
      <query mdx="[Indian_Employee_Data].[Employee ID].&amp;[Emp1460]">
        <tpls c="1">
          <tpl fld="0" item="452"/>
        </tpls>
      </query>
      <query mdx="[Indian_Employee_Data].[Employee ID].&amp;[Emp1461]">
        <tpls c="1">
          <tpl fld="0" item="453"/>
        </tpls>
      </query>
      <query mdx="[Indian_Employee_Data].[Employee ID].&amp;[Emp1462]">
        <tpls c="1">
          <tpl fld="0" item="454"/>
        </tpls>
      </query>
      <query mdx="[Indian_Employee_Data].[Employee ID].&amp;[Emp1463]">
        <tpls c="1">
          <tpl fld="0" item="455"/>
        </tpls>
      </query>
      <query mdx="[Indian_Employee_Data].[Employee ID].&amp;[Emp1464]">
        <tpls c="1">
          <tpl fld="0" item="456"/>
        </tpls>
      </query>
      <query mdx="[Indian_Employee_Data].[Employee ID].&amp;[Emp1465]">
        <tpls c="1">
          <tpl fld="0" item="457"/>
        </tpls>
      </query>
      <query mdx="[Indian_Employee_Data].[Employee ID].&amp;[Emp1466]">
        <tpls c="1">
          <tpl fld="0" item="458"/>
        </tpls>
      </query>
      <query mdx="[Indian_Employee_Data].[Employee ID].&amp;[Emp1467]">
        <tpls c="1">
          <tpl fld="0" item="459"/>
        </tpls>
      </query>
      <query mdx="[Indian_Employee_Data].[Employee ID].&amp;[Emp1468]">
        <tpls c="1">
          <tpl fld="0" item="460"/>
        </tpls>
      </query>
      <query mdx="[Indian_Employee_Data].[Employee ID].&amp;[Emp1469]">
        <tpls c="1">
          <tpl fld="0" item="461"/>
        </tpls>
      </query>
      <query mdx="[Indian_Employee_Data].[Employee ID].&amp;[Emp1470]">
        <tpls c="1">
          <tpl fld="0" item="462"/>
        </tpls>
      </query>
      <query mdx="[Indian_Employee_Data].[Employee ID].&amp;[Emp1471]">
        <tpls c="1">
          <tpl fld="0" item="463"/>
        </tpls>
      </query>
      <query mdx="[Indian_Employee_Data].[Employee ID].&amp;[Emp1472]">
        <tpls c="1">
          <tpl fld="0" item="464"/>
        </tpls>
      </query>
      <query mdx="[Indian_Employee_Data].[Employee ID].&amp;[Emp1473]">
        <tpls c="1">
          <tpl fld="0" item="465"/>
        </tpls>
      </query>
      <query mdx="[Indian_Employee_Data].[Employee ID].&amp;[Emp1474]">
        <tpls c="1">
          <tpl fld="0" item="466"/>
        </tpls>
      </query>
      <query mdx="[Indian_Employee_Data].[Employee ID].&amp;[Emp1475]">
        <tpls c="1">
          <tpl fld="0" item="467"/>
        </tpls>
      </query>
      <query mdx="[Indian_Employee_Data].[Employee ID].&amp;[Emp1476]">
        <tpls c="1">
          <tpl fld="0" item="468"/>
        </tpls>
      </query>
      <query mdx="[Indian_Employee_Data].[Employee ID].&amp;[Emp1477]">
        <tpls c="1">
          <tpl fld="0" item="469"/>
        </tpls>
      </query>
      <query mdx="[Indian_Employee_Data].[Employee ID].&amp;[Emp1478]">
        <tpls c="1">
          <tpl fld="0" item="470"/>
        </tpls>
      </query>
      <query mdx="[Indian_Employee_Data].[Employee ID].&amp;[Emp1479]">
        <tpls c="1">
          <tpl fld="0" item="471"/>
        </tpls>
      </query>
      <query mdx="[Indian_Employee_Data].[Employee ID].&amp;[Emp1480]">
        <tpls c="1">
          <tpl fld="0" item="472"/>
        </tpls>
      </query>
      <query mdx="[Indian_Employee_Data].[Employee ID].&amp;[Emp1481]">
        <tpls c="1">
          <tpl fld="0" item="473"/>
        </tpls>
      </query>
      <query mdx="[Indian_Employee_Data].[Employee ID].&amp;[Emp1482]">
        <tpls c="1">
          <tpl fld="0" item="474"/>
        </tpls>
      </query>
      <query mdx="[Indian_Employee_Data].[Employee ID].&amp;[Emp1483]">
        <tpls c="1">
          <tpl fld="0" item="475"/>
        </tpls>
      </query>
      <query mdx="[Indian_Employee_Data].[Employee ID].&amp;[Emp1484]">
        <tpls c="1">
          <tpl fld="0" item="476"/>
        </tpls>
      </query>
      <query mdx="[Indian_Employee_Data].[Employee ID].&amp;[Emp1485]">
        <tpls c="1">
          <tpl fld="0" item="477"/>
        </tpls>
      </query>
      <query mdx="[Indian_Employee_Data].[Employee ID].&amp;[Emp1486]">
        <tpls c="1">
          <tpl fld="0" item="478"/>
        </tpls>
      </query>
      <query mdx="[Indian_Employee_Data].[Employee ID].&amp;[Emp1487]">
        <tpls c="1">
          <tpl fld="0" item="479"/>
        </tpls>
      </query>
      <query mdx="[Indian_Employee_Data].[Employee ID].&amp;[Emp1488]">
        <tpls c="1">
          <tpl fld="0" item="480"/>
        </tpls>
      </query>
      <query mdx="[Indian_Employee_Data].[Employee ID].&amp;[Emp1489]">
        <tpls c="1">
          <tpl fld="0" item="481"/>
        </tpls>
      </query>
      <query mdx="[Indian_Employee_Data].[Employee ID].&amp;[Emp1490]">
        <tpls c="1">
          <tpl fld="0" item="482"/>
        </tpls>
      </query>
      <query mdx="[Indian_Employee_Data].[Employee ID].&amp;[Emp1491]">
        <tpls c="1">
          <tpl fld="0" item="483"/>
        </tpls>
      </query>
      <query mdx="[Indian_Employee_Data].[Employee ID].&amp;[Emp1492]">
        <tpls c="1">
          <tpl fld="0" item="484"/>
        </tpls>
      </query>
      <query mdx="[Indian_Employee_Data].[Employee ID].&amp;[Emp1493]">
        <tpls c="1">
          <tpl fld="0" item="485"/>
        </tpls>
      </query>
      <query mdx="[Indian_Employee_Data].[Employee ID].&amp;[Emp1494]">
        <tpls c="1">
          <tpl fld="0" item="486"/>
        </tpls>
      </query>
      <query mdx="[Indian_Employee_Data].[Employee ID].&amp;[Emp1495]">
        <tpls c="1">
          <tpl fld="0" item="487"/>
        </tpls>
      </query>
      <query mdx="[Indian_Employee_Data].[Employee ID].&amp;[Emp1496]">
        <tpls c="1">
          <tpl fld="0" item="488"/>
        </tpls>
      </query>
      <query mdx="[Indian_Employee_Data].[Employee ID].&amp;[Emp1497]">
        <tpls c="1">
          <tpl fld="0" item="489"/>
        </tpls>
      </query>
      <query mdx="[Indian_Employee_Data].[Employee ID].&amp;[Emp1498]">
        <tpls c="1">
          <tpl fld="0" item="490"/>
        </tpls>
      </query>
      <query mdx="[Indian_Employee_Data].[Employee ID].&amp;[Emp1499]">
        <tpls c="1">
          <tpl fld="0" item="491"/>
        </tpls>
      </query>
    </queryCache>
    <serverFormats count="1">
      <serverFormat format="&quot;₹&quot; #,0.00;#,0.00 -&quot;₹&quot;;&quot;₹&quot; #,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698428703705" backgroundQuery="1" createdVersion="8" refreshedVersion="8" minRefreshableVersion="3" recordCount="0" supportSubquery="1" supportAdvancedDrill="1" xr:uid="{A699AAF8-9958-4770-A110-13D456D6FDB6}">
  <cacheSource type="external" connectionId="7"/>
  <cacheFields count="6">
    <cacheField name="[Measures].[Headcount]" caption="Headcount" numFmtId="0" hierarchy="41" level="32767"/>
    <cacheField name="[Measures].[Total Monthly Premium Cost]" caption="Total Monthly Premium Cost" numFmtId="0" hierarchy="42" level="32767"/>
    <cacheField name="[Measures].[Average Salary]" caption="Average Salary" numFmtId="0" hierarchy="43" level="32767"/>
    <cacheField name="[Measures].[High-Cost Employee %]" caption="High-Cost Employee %" numFmtId="0" hierarchy="44" level="32767"/>
    <cacheField name="[Indian_Employee_Data].[Vendor Global Group Name].[Vendor Global Group Name]" caption="Vendor Global Group Name" numFmtId="0" hierarchy="12" level="1">
      <sharedItems count="5">
        <s v="Core Operations Specialist"/>
        <s v="Corporate Finance Core"/>
        <s v="Corporate Talent Admin"/>
        <s v="Field Sales Execution"/>
        <s v="High-Value Technical Core"/>
      </sharedItems>
    </cacheField>
    <cacheField name="[Indian_Employee_Data].[Vendor Survey Job Code].[Vendor Survey Job Code]" caption="Vendor Survey Job Code" numFmtId="0" hierarchy="11" level="1">
      <sharedItems count="5">
        <s v="IN-OPS-02"/>
        <s v="IN-FIN-03"/>
        <s v="IN-HR-02"/>
        <s v="IN-SLS-01"/>
        <s v="IN-TECH-04"/>
      </sharedItems>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2"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2"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2"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2"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2"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2"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2" memberValueDatatype="130" unbalanced="0">
      <fieldsUsage count="2">
        <fieldUsage x="-1"/>
        <fieldUsage x="5"/>
      </fieldsUsage>
    </cacheHierarchy>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2" memberValueDatatype="130" unbalanced="0">
      <fieldsUsage count="2">
        <fieldUsage x="-1"/>
        <fieldUsage x="4"/>
      </fieldsUsage>
    </cacheHierarchy>
    <cacheHierarchy uniqueName="[Query_Audit_Exceptions].[Employee ID]" caption="Employee ID" attribute="1" defaultMemberUniqueName="[Query_Audit_Exceptions].[Employee ID].[All]" allUniqueName="[Query_Audit_Exceptions].[Employee ID].[All]" dimensionUniqueName="[Query_Audit_Exceptions]" displayFolder="" count="2"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2" memberValueDatatype="130" unbalanced="0"/>
    <cacheHierarchy uniqueName="[Query_Audit_Exceptions].[Gender]" caption="Gender" attribute="1" defaultMemberUniqueName="[Query_Audit_Exceptions].[Gender].[All]" allUniqueName="[Query_Audit_Exceptions].[Gender].[All]" dimensionUniqueName="[Query_Audit_Exceptions]" displayFolder="" count="2"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2"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2"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2"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2"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2"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2"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2"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2"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2"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2"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2"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2"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2"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2"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2"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2"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2"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2"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2"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2"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2"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2"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2"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oneField="1">
      <fieldsUsage count="1">
        <fieldUsage x="0"/>
      </fieldsUsage>
    </cacheHierarchy>
    <cacheHierarchy uniqueName="[Measures].[Total Monthly Premium Cost]" caption="Total Monthly Premium Cost" measure="1" displayFolder="" measureGroup="Indian_Employee_Data" count="0" oneField="1">
      <fieldsUsage count="1">
        <fieldUsage x="1"/>
      </fieldsUsage>
    </cacheHierarchy>
    <cacheHierarchy uniqueName="[Measures].[Average Salary]" caption="Average Salary" measure="1" displayFolder="" measureGroup="Indian_Employee_Data" count="0" oneField="1">
      <fieldsUsage count="1">
        <fieldUsage x="2"/>
      </fieldsUsage>
    </cacheHierarchy>
    <cacheHierarchy uniqueName="[Measures].[High-Cost Employee %]" caption="High-Cost Employee %" measure="1" displayFolder="" measureGroup="Indian_Employee_Data" count="0" oneField="1">
      <fieldsUsage count="1">
        <fieldUsage x="3"/>
      </fieldsUsage>
    </cacheHierarchy>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1.068967129628" backgroundQuery="1" createdVersion="8" refreshedVersion="8" minRefreshableVersion="3" recordCount="0" supportSubquery="1" supportAdvancedDrill="1" xr:uid="{6923EA2F-CB55-448A-BA5C-54FEEED0B218}">
  <cacheSource type="external" connectionId="7"/>
  <cacheFields count="3">
    <cacheField name="[Indian_Employee_Data].[Location].[Location]" caption="Location" numFmtId="0" hierarchy="4" level="1">
      <sharedItems count="4">
        <s v="Bengaluru"/>
        <s v="Gurugram"/>
        <s v="Hyderabad"/>
        <s v="Noida"/>
      </sharedItems>
    </cacheField>
    <cacheField name="[Indian_Employee_Data].[Department].[Department]" caption="Department" numFmtId="0" hierarchy="3" level="1">
      <sharedItems count="5">
        <s v="Finance"/>
        <s v="HR"/>
        <s v="Operations"/>
        <s v="Sales"/>
        <s v="Tech"/>
      </sharedItems>
    </cacheField>
    <cacheField name="[Measures].[High-Cost Employee %]" caption="High-Cost Employee %" numFmtId="0" hierarchy="44" level="32767"/>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fieldsUsage count="2">
        <fieldUsage x="-1"/>
        <fieldUsage x="1"/>
      </fieldsUsage>
    </cacheHierarchy>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0"/>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oneField="1">
      <fieldsUsage count="1">
        <fieldUsage x="2"/>
      </fieldsUsage>
    </cacheHierarchy>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1.068967939813" backgroundQuery="1" createdVersion="8" refreshedVersion="8" minRefreshableVersion="3" recordCount="0" supportSubquery="1" supportAdvancedDrill="1" xr:uid="{4B0A4995-BAA3-44EC-8698-D182915470AC}">
  <cacheSource type="external" connectionId="7"/>
  <cacheFields count="3">
    <cacheField name="[Indian_Employee_Data].[Corporate Benefit Plan].[Corporate Benefit Plan]" caption="Corporate Benefit Plan" numFmtId="0" hierarchy="6" level="1">
      <sharedItems count="3">
        <s v="Family Floater"/>
        <s v="Individual"/>
        <s v="Parents Included"/>
      </sharedItems>
    </cacheField>
    <cacheField name="[Measures].[Total Monthly Premium Cost]" caption="Total Monthly Premium Cost" numFmtId="0" hierarchy="42" level="32767"/>
    <cacheField name="[Indian_Employee_Data].[Location].[Location]" caption="Location" numFmtId="0" hierarchy="4" level="1">
      <sharedItems containsSemiMixedTypes="0" containsNonDate="0" containsString="0"/>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2"/>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2" memberValueDatatype="130" unbalanced="0">
      <fieldsUsage count="2">
        <fieldUsage x="-1"/>
        <fieldUsage x="0"/>
      </fieldsUsage>
    </cacheHierarchy>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oneField="1">
      <fieldsUsage count="1">
        <fieldUsage x="1"/>
      </fieldsUsage>
    </cacheHierarchy>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1.068968402775" backgroundQuery="1" createdVersion="8" refreshedVersion="8" minRefreshableVersion="3" recordCount="0" supportSubquery="1" supportAdvancedDrill="1" xr:uid="{3FE0D42A-B791-48EA-A385-2D59064E421D}">
  <cacheSource type="external" connectionId="7"/>
  <cacheFields count="4">
    <cacheField name="[Indian_Employee_Data].[Salary Tier].[Salary Tier]" caption="Salary Tier" numFmtId="0" hierarchy="10" level="1">
      <sharedItems count="4">
        <s v="Junior"/>
        <s v="Lead"/>
        <s v="Mid"/>
        <s v="Senior"/>
      </sharedItems>
    </cacheField>
    <cacheField name="[Indian_Employee_Data].[Gender].[Gender]" caption="Gender" numFmtId="0" hierarchy="2" level="1">
      <sharedItems count="2">
        <s v="Female"/>
        <s v="Male"/>
      </sharedItems>
    </cacheField>
    <cacheField name="[Measures].[Average of Monthly Base Salary (INR)]" caption="Average of Monthly Base Salary (INR)" numFmtId="0" hierarchy="50" level="32767"/>
    <cacheField name="[Indian_Employee_Data].[Location].[Location]" caption="Location" numFmtId="0" hierarchy="4" level="1">
      <sharedItems containsSemiMixedTypes="0" containsNonDate="0" containsString="0"/>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fieldsUsage count="2">
        <fieldUsage x="-1"/>
        <fieldUsage x="1"/>
      </fieldsUsage>
    </cacheHierarchy>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3"/>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2" memberValueDatatype="130" unbalanced="0">
      <fieldsUsage count="2">
        <fieldUsage x="-1"/>
        <fieldUsage x="0"/>
      </fieldsUsage>
    </cacheHierarchy>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1.068968749998" backgroundQuery="1" createdVersion="8" refreshedVersion="8" minRefreshableVersion="3" recordCount="0" supportSubquery="1" supportAdvancedDrill="1" xr:uid="{2BA6AFC5-5287-4090-8D72-4F871947FE25}">
  <cacheSource type="external" connectionId="7"/>
  <cacheFields count="3">
    <cacheField name="[Measures].[Count of Insurance tier]" caption="Count of Insurance tier" numFmtId="0" hierarchy="53" level="32767"/>
    <cacheField name="[Indian_Employee_Data].[Corporate Benefit Plan].[Corporate Benefit Plan]" caption="Corporate Benefit Plan" numFmtId="0" hierarchy="6" level="1">
      <sharedItems count="3">
        <s v="Family Floater"/>
        <s v="Individual"/>
        <s v="Parents Included"/>
      </sharedItems>
    </cacheField>
    <cacheField name="[Indian_Employee_Data].[Location].[Location]" caption="Location" numFmtId="0" hierarchy="4" level="1">
      <sharedItems containsSemiMixedTypes="0" containsNonDate="0" containsString="0"/>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2"/>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2" memberValueDatatype="130" unbalanced="0">
      <fieldsUsage count="2">
        <fieldUsage x="-1"/>
        <fieldUsage x="1"/>
      </fieldsUsage>
    </cacheHierarchy>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oneField="1" hidden="1">
      <fieldsUsage count="1">
        <fieldUsage x="0"/>
      </fieldsUsage>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1.068969328706" backgroundQuery="1" createdVersion="8" refreshedVersion="8" minRefreshableVersion="3" recordCount="0" supportSubquery="1" supportAdvancedDrill="1" xr:uid="{21B59613-00A8-4E07-8403-63C8A55243AD}">
  <cacheSource type="external" connectionId="7"/>
  <cacheFields count="3">
    <cacheField name="[Indian_Employee_Data].[Insurance tier].[Insurance tier]" caption="Insurance tier" numFmtId="0" hierarchy="7" level="1">
      <sharedItems count="3">
        <s v="Bronze"/>
        <s v="Gold"/>
        <s v="Silver"/>
      </sharedItems>
    </cacheField>
    <cacheField name="[Measures].[Count of Insurance tier]" caption="Count of Insurance tier" numFmtId="0" hierarchy="53" level="32767"/>
    <cacheField name="[Indian_Employee_Data].[Location].[Location]" caption="Location" numFmtId="0" hierarchy="4" level="1">
      <sharedItems containsSemiMixedTypes="0" containsNonDate="0" containsString="0"/>
    </cacheField>
  </cacheFields>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fieldsUsage count="2">
        <fieldUsage x="-1"/>
        <fieldUsage x="2"/>
      </fieldsUsage>
    </cacheHierarchy>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2" memberValueDatatype="130" unbalanced="0">
      <fieldsUsage count="2">
        <fieldUsage x="-1"/>
        <fieldUsage x="0"/>
      </fieldsUsage>
    </cacheHierarchy>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oneField="1" hidden="1">
      <fieldsUsage count="1">
        <fieldUsage x="1"/>
      </fieldsUsage>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dimensions count="4">
    <dimension name="Indian_Employee_Data" uniqueName="[Indian_Employee_Data]" caption="Indian_Employee_Data"/>
    <dimension measure="1" name="Measures" uniqueName="[Measures]" caption="Measures"/>
    <dimension name="Query_Audit_Exceptions" uniqueName="[Query_Audit_Exceptions]" caption="Query_Audit_Exceptions"/>
    <dimension name="Query_Audit_Exceptions 1" uniqueName="[Query_Audit_Exceptions 1]" caption="Query_Audit_Exceptions 1"/>
  </dimensions>
  <measureGroups count="3">
    <measureGroup name="Indian_Employee_Data" caption="Indian_Employee_Data"/>
    <measureGroup name="Query_Audit_Exceptions" caption="Query_Audit_Exceptions"/>
    <measureGroup name="Query_Audit_Exceptions 1" caption="Query_Audit_Exceptions 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v" refreshedDate="46220.036307870374" backgroundQuery="1" createdVersion="3" refreshedVersion="8" minRefreshableVersion="3" recordCount="0" supportSubquery="1" supportAdvancedDrill="1" xr:uid="{3AA206F0-ECB9-4DF0-BAFE-2DF78CAD61F8}">
  <cacheSource type="external" connectionId="7">
    <extLst>
      <ext xmlns:x14="http://schemas.microsoft.com/office/spreadsheetml/2009/9/main" uri="{F057638F-6D5F-4e77-A914-E7F072B9BCA8}">
        <x14:sourceConnection name="ThisWorkbookDataModel"/>
      </ext>
    </extLst>
  </cacheSource>
  <cacheFields count="0"/>
  <cacheHierarchies count="62">
    <cacheHierarchy uniqueName="[Indian_Employee_Data].[Employee ID]" caption="Employee ID" attribute="1" defaultMemberUniqueName="[Indian_Employee_Data].[Employee ID].[All]" allUniqueName="[Indian_Employee_Data].[Employee ID].[All]" dimensionUniqueName="[Indian_Employee_Data]" displayFolder="" count="0" memberValueDatatype="130" unbalanced="0"/>
    <cacheHierarchy uniqueName="[Indian_Employee_Data].[Full Name]" caption="Full Name" attribute="1" defaultMemberUniqueName="[Indian_Employee_Data].[Full Name].[All]" allUniqueName="[Indian_Employee_Data].[Full Name].[All]" dimensionUniqueName="[Indian_Employee_Data]" displayFolder="" count="0" memberValueDatatype="130" unbalanced="0"/>
    <cacheHierarchy uniqueName="[Indian_Employee_Data].[Gender]" caption="Gender" attribute="1" defaultMemberUniqueName="[Indian_Employee_Data].[Gender].[All]" allUniqueName="[Indian_Employee_Data].[Gender].[All]" dimensionUniqueName="[Indian_Employee_Data]" displayFolder="" count="2" memberValueDatatype="130" unbalanced="0"/>
    <cacheHierarchy uniqueName="[Indian_Employee_Data].[Department]" caption="Department" attribute="1" defaultMemberUniqueName="[Indian_Employee_Data].[Department].[All]" allUniqueName="[Indian_Employee_Data].[Department].[All]" dimensionUniqueName="[Indian_Employee_Data]" displayFolder="" count="2" memberValueDatatype="130" unbalanced="0"/>
    <cacheHierarchy uniqueName="[Indian_Employee_Data].[Location]" caption="Location" attribute="1" defaultMemberUniqueName="[Indian_Employee_Data].[Location].[All]" allUniqueName="[Indian_Employee_Data].[Location].[All]" dimensionUniqueName="[Indian_Employee_Data]" displayFolder="" count="2" memberValueDatatype="130" unbalanced="0"/>
    <cacheHierarchy uniqueName="[Indian_Employee_Data].[Monthly Base Salary (INR)]" caption="Monthly Base Salary (INR)" attribute="1" defaultMemberUniqueName="[Indian_Employee_Data].[Monthly Base Salary (INR)].[All]" allUniqueName="[Indian_Employee_Data].[Monthly Base Salary (INR)].[All]" dimensionUniqueName="[Indian_Employee_Data]" displayFolder="" count="0" memberValueDatatype="5" unbalanced="0"/>
    <cacheHierarchy uniqueName="[Indian_Employee_Data].[Corporate Benefit Plan]" caption="Corporate Benefit Plan" attribute="1" defaultMemberUniqueName="[Indian_Employee_Data].[Corporate Benefit Plan].[All]" allUniqueName="[Indian_Employee_Data].[Corporate Benefit Plan].[All]" dimensionUniqueName="[Indian_Employee_Data]" displayFolder="" count="0" memberValueDatatype="130" unbalanced="0"/>
    <cacheHierarchy uniqueName="[Indian_Employee_Data].[Insurance tier]" caption="Insurance tier" attribute="1" defaultMemberUniqueName="[Indian_Employee_Data].[Insurance tier].[All]" allUniqueName="[Indian_Employee_Data].[Insurance tier].[All]" dimensionUniqueName="[Indian_Employee_Data]" displayFolder="" count="0" memberValueDatatype="130" unbalanced="0"/>
    <cacheHierarchy uniqueName="[Indian_Employee_Data].[Monthly Premiums]" caption="Monthly Premiums" attribute="1" defaultMemberUniqueName="[Indian_Employee_Data].[Monthly Premiums].[All]" allUniqueName="[Indian_Employee_Data].[Monthly Premiums].[All]" dimensionUniqueName="[Indian_Employee_Data]" displayFolder="" count="0" memberValueDatatype="5" unbalanced="0"/>
    <cacheHierarchy uniqueName="[Indian_Employee_Data].[Salary Bracket]" caption="Salary Bracket" attribute="1" defaultMemberUniqueName="[Indian_Employee_Data].[Salary Bracket].[All]" allUniqueName="[Indian_Employee_Data].[Salary Bracket].[All]" dimensionUniqueName="[Indian_Employee_Data]" displayFolder="" count="0" memberValueDatatype="130" unbalanced="0"/>
    <cacheHierarchy uniqueName="[Indian_Employee_Data].[Salary Tier]" caption="Salary Tier" attribute="1" defaultMemberUniqueName="[Indian_Employee_Data].[Salary Tier].[All]" allUniqueName="[Indian_Employee_Data].[Salary Tier].[All]" dimensionUniqueName="[Indian_Employee_Data]" displayFolder="" count="0" memberValueDatatype="130" unbalanced="0"/>
    <cacheHierarchy uniqueName="[Indian_Employee_Data].[Vendor Survey Job Code]" caption="Vendor Survey Job Code" attribute="1" defaultMemberUniqueName="[Indian_Employee_Data].[Vendor Survey Job Code].[All]" allUniqueName="[Indian_Employee_Data].[Vendor Survey Job Code].[All]" dimensionUniqueName="[Indian_Employee_Data]" displayFolder="" count="0" memberValueDatatype="130" unbalanced="0"/>
    <cacheHierarchy uniqueName="[Indian_Employee_Data].[Vendor Global Group Name]" caption="Vendor Global Group Name" attribute="1" defaultMemberUniqueName="[Indian_Employee_Data].[Vendor Global Group Name].[All]" allUniqueName="[Indian_Employee_Data].[Vendor Global Group Name].[All]" dimensionUniqueName="[Indian_Employee_Data]" displayFolder="" count="0" memberValueDatatype="130" unbalanced="0"/>
    <cacheHierarchy uniqueName="[Query_Audit_Exceptions].[Employee ID]" caption="Employee ID" attribute="1" defaultMemberUniqueName="[Query_Audit_Exceptions].[Employee ID].[All]" allUniqueName="[Query_Audit_Exceptions].[Employee ID].[All]" dimensionUniqueName="[Query_Audit_Exceptions]" displayFolder="" count="0" memberValueDatatype="130" unbalanced="0"/>
    <cacheHierarchy uniqueName="[Query_Audit_Exceptions].[Full Name]" caption="Full Name" attribute="1" defaultMemberUniqueName="[Query_Audit_Exceptions].[Full Name].[All]" allUniqueName="[Query_Audit_Exceptions].[Full Name].[All]" dimensionUniqueName="[Query_Audit_Exceptions]" displayFolder="" count="0" memberValueDatatype="130" unbalanced="0"/>
    <cacheHierarchy uniqueName="[Query_Audit_Exceptions].[Gender]" caption="Gender" attribute="1" defaultMemberUniqueName="[Query_Audit_Exceptions].[Gender].[All]" allUniqueName="[Query_Audit_Exceptions].[Gender].[All]" dimensionUniqueName="[Query_Audit_Exceptions]" displayFolder="" count="0" memberValueDatatype="130" unbalanced="0"/>
    <cacheHierarchy uniqueName="[Query_Audit_Exceptions].[Department]" caption="Department" attribute="1" defaultMemberUniqueName="[Query_Audit_Exceptions].[Department].[All]" allUniqueName="[Query_Audit_Exceptions].[Department].[All]" dimensionUniqueName="[Query_Audit_Exceptions]" displayFolder="" count="0" memberValueDatatype="130" unbalanced="0"/>
    <cacheHierarchy uniqueName="[Query_Audit_Exceptions].[Location]" caption="Location" attribute="1" defaultMemberUniqueName="[Query_Audit_Exceptions].[Location].[All]" allUniqueName="[Query_Audit_Exceptions].[Location].[All]" dimensionUniqueName="[Query_Audit_Exceptions]" displayFolder="" count="0" memberValueDatatype="130" unbalanced="0"/>
    <cacheHierarchy uniqueName="[Query_Audit_Exceptions].[Monthly Base Salary (INR)]" caption="Monthly Base Salary (INR)" attribute="1" defaultMemberUniqueName="[Query_Audit_Exceptions].[Monthly Base Salary (INR)].[All]" allUniqueName="[Query_Audit_Exceptions].[Monthly Base Salary (INR)].[All]" dimensionUniqueName="[Query_Audit_Exceptions]" displayFolder="" count="0" memberValueDatatype="5" unbalanced="0"/>
    <cacheHierarchy uniqueName="[Query_Audit_Exceptions].[Corporate Benefit Plan]" caption="Corporate Benefit Plan" attribute="1" defaultMemberUniqueName="[Query_Audit_Exceptions].[Corporate Benefit Plan].[All]" allUniqueName="[Query_Audit_Exceptions].[Corporate Benefit Plan].[All]" dimensionUniqueName="[Query_Audit_Exceptions]" displayFolder="" count="0" memberValueDatatype="130" unbalanced="0"/>
    <cacheHierarchy uniqueName="[Query_Audit_Exceptions].[Insurance tier]" caption="Insurance tier" attribute="1" defaultMemberUniqueName="[Query_Audit_Exceptions].[Insurance tier].[All]" allUniqueName="[Query_Audit_Exceptions].[Insurance tier].[All]" dimensionUniqueName="[Query_Audit_Exceptions]" displayFolder="" count="0" memberValueDatatype="130" unbalanced="0"/>
    <cacheHierarchy uniqueName="[Query_Audit_Exceptions].[Monthly Premiums]" caption="Monthly Premiums" attribute="1" defaultMemberUniqueName="[Query_Audit_Exceptions].[Monthly Premiums].[All]" allUniqueName="[Query_Audit_Exceptions].[Monthly Premiums].[All]" dimensionUniqueName="[Query_Audit_Exceptions]" displayFolder="" count="0" memberValueDatatype="5" unbalanced="0"/>
    <cacheHierarchy uniqueName="[Query_Audit_Exceptions].[Salary Bracket]" caption="Salary Bracket" attribute="1" defaultMemberUniqueName="[Query_Audit_Exceptions].[Salary Bracket].[All]" allUniqueName="[Query_Audit_Exceptions].[Salary Bracket].[All]" dimensionUniqueName="[Query_Audit_Exceptions]" displayFolder="" count="0" memberValueDatatype="130" unbalanced="0"/>
    <cacheHierarchy uniqueName="[Query_Audit_Exceptions].[Salary Tier]" caption="Salary Tier" attribute="1" defaultMemberUniqueName="[Query_Audit_Exceptions].[Salary Tier].[All]" allUniqueName="[Query_Audit_Exceptions].[Salary Tier].[All]" dimensionUniqueName="[Query_Audit_Exceptions]" displayFolder="" count="0" memberValueDatatype="130" unbalanced="0"/>
    <cacheHierarchy uniqueName="[Query_Audit_Exceptions].[Vendor Survey Job Code]" caption="Vendor Survey Job Code" attribute="1" defaultMemberUniqueName="[Query_Audit_Exceptions].[Vendor Survey Job Code].[All]" allUniqueName="[Query_Audit_Exceptions].[Vendor Survey Job Code].[All]" dimensionUniqueName="[Query_Audit_Exceptions]" displayFolder="" count="0" memberValueDatatype="130" unbalanced="0"/>
    <cacheHierarchy uniqueName="[Query_Audit_Exceptions].[Vendor Global Group Name]" caption="Vendor Global Group Name" attribute="1" defaultMemberUniqueName="[Query_Audit_Exceptions].[Vendor Global Group Name].[All]" allUniqueName="[Query_Audit_Exceptions].[Vendor Global Group Name].[All]" dimensionUniqueName="[Query_Audit_Exceptions]" displayFolder="" count="0" memberValueDatatype="130" unbalanced="0"/>
    <cacheHierarchy uniqueName="[Query_Audit_Exceptions 1].[Employee ID]" caption="Employee ID" attribute="1" defaultMemberUniqueName="[Query_Audit_Exceptions 1].[Employee ID].[All]" allUniqueName="[Query_Audit_Exceptions 1].[Employee ID].[All]" dimensionUniqueName="[Query_Audit_Exceptions 1]" displayFolder="" count="0" memberValueDatatype="130" unbalanced="0"/>
    <cacheHierarchy uniqueName="[Query_Audit_Exceptions 1].[Full Name]" caption="Full Name" attribute="1" defaultMemberUniqueName="[Query_Audit_Exceptions 1].[Full Name].[All]" allUniqueName="[Query_Audit_Exceptions 1].[Full Name].[All]" dimensionUniqueName="[Query_Audit_Exceptions 1]" displayFolder="" count="0" memberValueDatatype="130" unbalanced="0"/>
    <cacheHierarchy uniqueName="[Query_Audit_Exceptions 1].[Gender]" caption="Gender" attribute="1" defaultMemberUniqueName="[Query_Audit_Exceptions 1].[Gender].[All]" allUniqueName="[Query_Audit_Exceptions 1].[Gender].[All]" dimensionUniqueName="[Query_Audit_Exceptions 1]" displayFolder="" count="0" memberValueDatatype="130" unbalanced="0"/>
    <cacheHierarchy uniqueName="[Query_Audit_Exceptions 1].[Department]" caption="Department" attribute="1" defaultMemberUniqueName="[Query_Audit_Exceptions 1].[Department].[All]" allUniqueName="[Query_Audit_Exceptions 1].[Department].[All]" dimensionUniqueName="[Query_Audit_Exceptions 1]" displayFolder="" count="0" memberValueDatatype="130" unbalanced="0"/>
    <cacheHierarchy uniqueName="[Query_Audit_Exceptions 1].[Location]" caption="Location" attribute="1" defaultMemberUniqueName="[Query_Audit_Exceptions 1].[Location].[All]" allUniqueName="[Query_Audit_Exceptions 1].[Location].[All]" dimensionUniqueName="[Query_Audit_Exceptions 1]" displayFolder="" count="0" memberValueDatatype="130" unbalanced="0"/>
    <cacheHierarchy uniqueName="[Query_Audit_Exceptions 1].[Monthly Base Salary (INR)]" caption="Monthly Base Salary (INR)" attribute="1" defaultMemberUniqueName="[Query_Audit_Exceptions 1].[Monthly Base Salary (INR)].[All]" allUniqueName="[Query_Audit_Exceptions 1].[Monthly Base Salary (INR)].[All]" dimensionUniqueName="[Query_Audit_Exceptions 1]" displayFolder="" count="0" memberValueDatatype="5" unbalanced="0"/>
    <cacheHierarchy uniqueName="[Query_Audit_Exceptions 1].[Corporate Benefit Plan]" caption="Corporate Benefit Plan" attribute="1" defaultMemberUniqueName="[Query_Audit_Exceptions 1].[Corporate Benefit Plan].[All]" allUniqueName="[Query_Audit_Exceptions 1].[Corporate Benefit Plan].[All]" dimensionUniqueName="[Query_Audit_Exceptions 1]" displayFolder="" count="0" memberValueDatatype="130" unbalanced="0"/>
    <cacheHierarchy uniqueName="[Query_Audit_Exceptions 1].[Insurance tier]" caption="Insurance tier" attribute="1" defaultMemberUniqueName="[Query_Audit_Exceptions 1].[Insurance tier].[All]" allUniqueName="[Query_Audit_Exceptions 1].[Insurance tier].[All]" dimensionUniqueName="[Query_Audit_Exceptions 1]" displayFolder="" count="0" memberValueDatatype="130" unbalanced="0"/>
    <cacheHierarchy uniqueName="[Query_Audit_Exceptions 1].[Monthly Premiums]" caption="Monthly Premiums" attribute="1" defaultMemberUniqueName="[Query_Audit_Exceptions 1].[Monthly Premiums].[All]" allUniqueName="[Query_Audit_Exceptions 1].[Monthly Premiums].[All]" dimensionUniqueName="[Query_Audit_Exceptions 1]" displayFolder="" count="0" memberValueDatatype="5" unbalanced="0"/>
    <cacheHierarchy uniqueName="[Query_Audit_Exceptions 1].[Salary Bracket]" caption="Salary Bracket" attribute="1" defaultMemberUniqueName="[Query_Audit_Exceptions 1].[Salary Bracket].[All]" allUniqueName="[Query_Audit_Exceptions 1].[Salary Bracket].[All]" dimensionUniqueName="[Query_Audit_Exceptions 1]" displayFolder="" count="0" memberValueDatatype="130" unbalanced="0"/>
    <cacheHierarchy uniqueName="[Query_Audit_Exceptions 1].[Salary Tier]" caption="Salary Tier" attribute="1" defaultMemberUniqueName="[Query_Audit_Exceptions 1].[Salary Tier].[All]" allUniqueName="[Query_Audit_Exceptions 1].[Salary Tier].[All]" dimensionUniqueName="[Query_Audit_Exceptions 1]" displayFolder="" count="0" memberValueDatatype="130" unbalanced="0"/>
    <cacheHierarchy uniqueName="[Query_Audit_Exceptions 1].[Vendor Survey Job Code]" caption="Vendor Survey Job Code" attribute="1" defaultMemberUniqueName="[Query_Audit_Exceptions 1].[Vendor Survey Job Code].[All]" allUniqueName="[Query_Audit_Exceptions 1].[Vendor Survey Job Code].[All]" dimensionUniqueName="[Query_Audit_Exceptions 1]" displayFolder="" count="0" memberValueDatatype="130" unbalanced="0"/>
    <cacheHierarchy uniqueName="[Query_Audit_Exceptions 1].[Vendor Global Group Name]" caption="Vendor Global Group Name" attribute="1" defaultMemberUniqueName="[Query_Audit_Exceptions 1].[Vendor Global Group Name].[All]" allUniqueName="[Query_Audit_Exceptions 1].[Vendor Global Group Name].[All]" dimensionUniqueName="[Query_Audit_Exceptions 1]" displayFolder="" count="0" memberValueDatatype="130" unbalanced="0"/>
    <cacheHierarchy uniqueName="[Measures].[Gender Pay Gap]" caption="Gender Pay Gap" measure="1" displayFolder="" measureGroup="Indian_Employee_Data" count="0"/>
    <cacheHierarchy uniqueName="[Measures].[Salary Spread within Tier]" caption="Salary Spread within Tier" measure="1" displayFolder="" measureGroup="Indian_Employee_Data" count="0"/>
    <cacheHierarchy uniqueName="[Measures].[Headcount]" caption="Headcount" measure="1" displayFolder="" measureGroup="Indian_Employee_Data" count="0"/>
    <cacheHierarchy uniqueName="[Measures].[Total Monthly Premium Cost]" caption="Total Monthly Premium Cost" measure="1" displayFolder="" measureGroup="Indian_Employee_Data" count="0"/>
    <cacheHierarchy uniqueName="[Measures].[Average Salary]" caption="Average Salary" measure="1" displayFolder="" measureGroup="Indian_Employee_Data" count="0"/>
    <cacheHierarchy uniqueName="[Measures].[High-Cost Employee %]" caption="High-Cost Employee %" measure="1" displayFolder="" measureGroup="Indian_Employee_Data" count="0"/>
    <cacheHierarchy uniqueName="[Measures].[__XL_Count Indian_Employee_Data]" caption="__XL_Count Indian_Employee_Data" measure="1" displayFolder="" measureGroup="Indian_Employee_Data" count="0" hidden="1"/>
    <cacheHierarchy uniqueName="[Measures].[__XL_Count Query_Audit_Exceptions]" caption="__XL_Count Query_Audit_Exceptions" measure="1" displayFolder="" measureGroup="Query_Audit_Exceptions" count="0" hidden="1"/>
    <cacheHierarchy uniqueName="[Measures].[__XL_Count Query_Audit_Exceptions 1]" caption="__XL_Count Query_Audit_Exceptions 1" measure="1" displayFolder="" measureGroup="Query_Audit_Exceptions 1" count="0" hidden="1"/>
    <cacheHierarchy uniqueName="[Measures].[__No measures defined]" caption="__No measures defined" measure="1" displayFolder="" count="0" hidden="1"/>
    <cacheHierarchy uniqueName="[Measures].[Sum of Monthly Base Salary (INR)]" caption="Sum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Average of Monthly Base Salary (INR)]" caption="Average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Count of Department]" caption="Count of Department" measure="1" displayFolder="" measureGroup="Indian_Employee_Data" count="0" hidden="1">
      <extLst>
        <ext xmlns:x15="http://schemas.microsoft.com/office/spreadsheetml/2010/11/main" uri="{B97F6D7D-B522-45F9-BDA1-12C45D357490}">
          <x15:cacheHierarchy aggregatedColumn="3"/>
        </ext>
      </extLst>
    </cacheHierarchy>
    <cacheHierarchy uniqueName="[Measures].[Count of Salary Tier]" caption="Count of Salary Tier" measure="1" displayFolder="" measureGroup="Indian_Employee_Data" count="0" hidden="1">
      <extLst>
        <ext xmlns:x15="http://schemas.microsoft.com/office/spreadsheetml/2010/11/main" uri="{B97F6D7D-B522-45F9-BDA1-12C45D357490}">
          <x15:cacheHierarchy aggregatedColumn="10"/>
        </ext>
      </extLst>
    </cacheHierarchy>
    <cacheHierarchy uniqueName="[Measures].[Count of Insurance tier]" caption="Count of Insurance tier" measure="1" displayFolder="" measureGroup="Indian_Employee_Data" count="0" hidden="1">
      <extLst>
        <ext xmlns:x15="http://schemas.microsoft.com/office/spreadsheetml/2010/11/main" uri="{B97F6D7D-B522-45F9-BDA1-12C45D357490}">
          <x15:cacheHierarchy aggregatedColumn="7"/>
        </ext>
      </extLst>
    </cacheHierarchy>
    <cacheHierarchy uniqueName="[Measures].[Max of Monthly Base Salary (INR)]" caption="Max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Min of Monthly Base Salary (INR)]" caption="Min of Monthly Base Salary (INR)" measure="1" displayFolder="" measureGroup="Indian_Employee_Data" count="0" hidden="1">
      <extLst>
        <ext xmlns:x15="http://schemas.microsoft.com/office/spreadsheetml/2010/11/main" uri="{B97F6D7D-B522-45F9-BDA1-12C45D357490}">
          <x15:cacheHierarchy aggregatedColumn="5"/>
        </ext>
      </extLst>
    </cacheHierarchy>
    <cacheHierarchy uniqueName="[Measures].[Sum of Monthly Premiums]" caption="Sum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Average of Monthly Premiums]" caption="Average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ax of Monthly Premiums]" caption="Max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Min of Monthly Premiums]" caption="Min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Monthly Premiums]" caption="Count of Monthly Premiums" measure="1" displayFolder="" measureGroup="Indian_Employee_Data" count="0" hidden="1">
      <extLst>
        <ext xmlns:x15="http://schemas.microsoft.com/office/spreadsheetml/2010/11/main" uri="{B97F6D7D-B522-45F9-BDA1-12C45D357490}">
          <x15:cacheHierarchy aggregatedColumn="8"/>
        </ext>
      </extLst>
    </cacheHierarchy>
    <cacheHierarchy uniqueName="[Measures].[Count of Location]" caption="Count of Location" measure="1" displayFolder="" measureGroup="Indian_Employee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530762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36D652-7330-492E-B354-9EAA1664443E}" name="PivotTable5" cacheId="5" applyNumberFormats="0" applyBorderFormats="0" applyFontFormats="0" applyPatternFormats="0" applyAlignmentFormats="0" applyWidthHeightFormats="1" dataCaption="Values" tag="1f30994b-54df-4629-884d-87cb9bbd0ca9" updatedVersion="8" minRefreshableVersion="3" useAutoFormatting="1" subtotalHiddenItems="1" itemPrintTitles="1" createdVersion="8" indent="0" outline="1" outlineData="1" multipleFieldFilters="0">
  <location ref="W1:AB8" firstHeaderRow="1" firstDataRow="2" firstDataCol="1"/>
  <pivotFields count="3">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5">
    <i>
      <x/>
    </i>
    <i>
      <x v="1"/>
    </i>
    <i>
      <x v="2"/>
    </i>
    <i>
      <x v="3"/>
    </i>
    <i t="grand">
      <x/>
    </i>
  </colItems>
  <dataFields count="1">
    <dataField name="Max of Monthly Base Salary (INR)" fld="1" subtotal="max" baseField="0" baseItem="0" numFmtId="165"/>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Monthly Base Salary (IN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333D7D-49FA-4EC4-9221-8B37EEA8EB99}" name="PivotTable6" cacheId="4" applyNumberFormats="0" applyBorderFormats="0" applyFontFormats="0" applyPatternFormats="0" applyAlignmentFormats="0" applyWidthHeightFormats="1" dataCaption="Values" tag="6f3712e1-bc74-4cbf-94a0-6d9d471d443b" updatedVersion="8" minRefreshableVersion="3" useAutoFormatting="1" subtotalHiddenItems="1" itemPrintTitles="1" createdVersion="8" indent="0" outline="1" outlineData="1" multipleFieldFilters="0">
  <location ref="W10:AB17"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5">
    <i>
      <x/>
    </i>
    <i>
      <x v="1"/>
    </i>
    <i>
      <x v="2"/>
    </i>
    <i>
      <x v="3"/>
    </i>
    <i t="grand">
      <x/>
    </i>
  </colItems>
  <dataFields count="1">
    <dataField name="Min of Monthly Base Salary (INR)" fld="2" subtotal="min" baseField="1" baseItem="0" numFmtId="165"/>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Max of Monthly Base Salary (INR)"/>
    <pivotHierarchy dragToData="1" caption="Min of Monthly Base Salary (IN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688CE-29D5-4F19-A7E1-192965CDC801}" name="PivotTable21" cacheId="0" applyNumberFormats="0" applyBorderFormats="0" applyFontFormats="0" applyPatternFormats="0" applyAlignmentFormats="0" applyWidthHeightFormats="1" dataCaption="Values" tag="381c7355-507c-4e26-8ee3-0347d9794c23" updatedVersion="8" minRefreshableVersion="3" useAutoFormatting="1" subtotalHiddenItems="1" itemPrintTitles="1" createdVersion="8" indent="0" outline="1" outlineData="1" multipleFieldFilters="0" chartFormat="6" rowHeaderCaption="Insurance Tier" colHeaderCaption="Salary Band">
  <location ref="A20:B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Insurance tier" fld="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0B145A-2289-4CBA-8022-E2C5BB2EB2AE}" name="PivotTable8" cacheId="2" applyNumberFormats="0" applyBorderFormats="0" applyFontFormats="0" applyPatternFormats="0" applyAlignmentFormats="0" applyWidthHeightFormats="1" dataCaption="Values" tag="01d8b897-712a-4310-bd3a-9ac81dc81dae" updatedVersion="8" minRefreshableVersion="3" subtotalHiddenItems="1" itemPrintTitles="1" createdVersion="8" indent="0" outline="1" outlineData="1" multipleFieldFilters="0">
  <location ref="P15:U2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Min of Monthly Premiums" fld="2" subtotal="min" baseField="0" baseItem="0" numFmtId="165"/>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Premiums"/>
    <pivotHierarchy dragToData="1" caption="Max of Monthly Premiums"/>
    <pivotHierarchy dragToData="1" caption="Min of Monthly Premiums"/>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D37847-E799-423E-A843-E45DB770D7A4}" name="PivotTable9" cacheId="1" applyNumberFormats="0" applyBorderFormats="0" applyFontFormats="0" applyPatternFormats="0" applyAlignmentFormats="0" applyWidthHeightFormats="1" dataCaption="Values" tag="da6f734b-6e0b-4c0c-a01b-83d912530aa5" updatedVersion="8" minRefreshableVersion="3" subtotalHiddenItems="1" itemPrintTitles="1" createdVersion="8" indent="0" outline="1" outlineData="1" multipleFieldFilters="0">
  <location ref="P22:U33"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2"/>
  </rowFields>
  <rowItems count="10">
    <i>
      <x/>
    </i>
    <i r="1">
      <x/>
    </i>
    <i r="1">
      <x v="1"/>
    </i>
    <i>
      <x v="1"/>
    </i>
    <i r="1">
      <x v="2"/>
    </i>
    <i r="1">
      <x v="1"/>
    </i>
    <i>
      <x v="2"/>
    </i>
    <i r="1">
      <x v="2"/>
    </i>
    <i r="1">
      <x/>
    </i>
    <i t="grand">
      <x/>
    </i>
  </rowItems>
  <colFields count="1">
    <field x="1"/>
  </colFields>
  <colItems count="5">
    <i>
      <x/>
    </i>
    <i>
      <x v="1"/>
    </i>
    <i>
      <x v="2"/>
    </i>
    <i>
      <x v="3"/>
    </i>
    <i t="grand">
      <x/>
    </i>
  </colItems>
  <dataFields count="1">
    <dataField name="Count of Monthly Premiums" fld="3" subtotal="count" baseField="2" baseItem="2"/>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Premiums"/>
    <pivotHierarchy dragToData="1" caption="Max of Monthly Premiums"/>
    <pivotHierarchy dragToData="1" caption="Min of Monthly Premiums"/>
    <pivotHierarchy dragToData="1" caption="Count of Monthly Premiums"/>
    <pivotHierarchy dragToData="1"/>
  </pivotHierarchies>
  <pivotTableStyleInfo name="PivotStyleLight16" showRowHeaders="1" showColHeaders="1" showRowStripes="0" showColStripes="0" showLastColumn="1"/>
  <rowHierarchiesUsage count="2">
    <rowHierarchyUsage hierarchyUsage="7"/>
    <rowHierarchyUsage hierarchyUsage="6"/>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4DBB36-D682-4D66-8224-ED912CBFC5CA}" name="PivotTable7" cacheId="3" applyNumberFormats="0" applyBorderFormats="0" applyFontFormats="0" applyPatternFormats="0" applyAlignmentFormats="0" applyWidthHeightFormats="1" dataCaption="Values" tag="b20f4259-f4fe-40cf-a14f-d7669fb959fc" updatedVersion="8" minRefreshableVersion="3" subtotalHiddenItems="1" itemPrintTitles="1" createdVersion="8" indent="0" outline="1" outlineData="1" multipleFieldFilters="0">
  <location ref="P8:U1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Max of Monthly Premiums" fld="2" subtotal="max" baseField="0" baseItem="1" numFmtId="165"/>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Premiums"/>
    <pivotHierarchy dragToData="1" caption="Max of Monthly Premium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D51409-6E04-4170-AFEC-A7E399ADE2F0}" name="PivotTable2" cacheId="8" applyNumberFormats="0" applyBorderFormats="0" applyFontFormats="0" applyPatternFormats="0" applyAlignmentFormats="0" applyWidthHeightFormats="1" dataCaption="Values" tag="2ba1ae04-5159-41bc-96b8-a27a9934aaf4" updatedVersion="8" minRefreshableVersion="3" useAutoFormatting="1" subtotalHiddenItems="1" itemPrintTitles="1" createdVersion="8" indent="0" outline="1" outlineData="1" multipleFieldFilters="0">
  <location ref="A1:G1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1"/>
    <field x="3"/>
  </rowFields>
  <rowItems count="15">
    <i>
      <x/>
    </i>
    <i r="1">
      <x/>
    </i>
    <i r="1">
      <x v="1"/>
    </i>
    <i>
      <x v="1"/>
    </i>
    <i r="1">
      <x/>
    </i>
    <i r="1">
      <x v="1"/>
    </i>
    <i r="1">
      <x v="2"/>
    </i>
    <i>
      <x v="2"/>
    </i>
    <i r="1">
      <x/>
    </i>
    <i r="1">
      <x v="1"/>
    </i>
    <i>
      <x v="3"/>
    </i>
    <i r="1">
      <x/>
    </i>
    <i r="1">
      <x v="1"/>
    </i>
    <i r="1">
      <x v="2"/>
    </i>
    <i t="grand">
      <x/>
    </i>
  </rowItems>
  <colFields count="1">
    <field x="0"/>
  </colFields>
  <colItems count="6">
    <i>
      <x/>
    </i>
    <i>
      <x v="1"/>
    </i>
    <i>
      <x v="2"/>
    </i>
    <i>
      <x v="3"/>
    </i>
    <i>
      <x v="4"/>
    </i>
    <i t="grand">
      <x/>
    </i>
  </colItems>
  <dataFields count="1">
    <dataField name="Count of Department" fld="2"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CB228E-89BA-400C-A7B9-DFDBE58E56A8}" name="PivotTable4" cacheId="6" applyNumberFormats="0" applyBorderFormats="0" applyFontFormats="0" applyPatternFormats="0" applyAlignmentFormats="0" applyWidthHeightFormats="1" dataCaption="Values" tag="f2eba3cb-6aa7-4e27-b264-18b3b07af5a3" updatedVersion="8" minRefreshableVersion="3" useAutoFormatting="1" subtotalHiddenItems="1" itemPrintTitles="1" createdVersion="8" indent="0" outline="1" outlineData="1" multipleFieldFilters="0" rowHeaderCaption="Insurance Tier" colHeaderCaption="Salary Band">
  <location ref="P1:U6"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4">
    <i>
      <x/>
    </i>
    <i>
      <x v="1"/>
    </i>
    <i>
      <x v="2"/>
    </i>
    <i t="grand">
      <x/>
    </i>
  </rowItems>
  <colFields count="1">
    <field x="2"/>
  </colFields>
  <colItems count="5">
    <i>
      <x/>
    </i>
    <i>
      <x v="1"/>
    </i>
    <i>
      <x v="2"/>
    </i>
    <i>
      <x v="3"/>
    </i>
    <i t="grand">
      <x/>
    </i>
  </colItems>
  <dataFields count="1">
    <dataField name="Count of Insurance tier"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3564E2-35AF-4B53-A92E-E2756695067A}" name="PivotTable3" cacheId="7" applyNumberFormats="0" applyBorderFormats="0" applyFontFormats="0" applyPatternFormats="0" applyAlignmentFormats="0" applyWidthHeightFormats="1" dataCaption="Values" tag="78f8f34a-8fb8-4814-b5c7-5d3c19f19613" updatedVersion="8" minRefreshableVersion="3" useAutoFormatting="1" subtotalHiddenItems="1" itemPrintTitles="1" createdVersion="8" indent="0" outline="1" outlineData="1" multipleFieldFilters="0">
  <location ref="I1:N17"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s>
  <rowFields count="2">
    <field x="0"/>
    <field x="2"/>
  </rowFields>
  <rowItems count="15">
    <i>
      <x/>
    </i>
    <i r="1">
      <x/>
    </i>
    <i r="1">
      <x v="1"/>
    </i>
    <i>
      <x v="1"/>
    </i>
    <i r="1">
      <x/>
    </i>
    <i r="1">
      <x v="1"/>
    </i>
    <i r="1">
      <x v="2"/>
    </i>
    <i>
      <x v="2"/>
    </i>
    <i r="1">
      <x/>
    </i>
    <i r="1">
      <x v="1"/>
    </i>
    <i>
      <x v="3"/>
    </i>
    <i r="1">
      <x/>
    </i>
    <i r="1">
      <x v="1"/>
    </i>
    <i r="1">
      <x v="2"/>
    </i>
    <i t="grand">
      <x/>
    </i>
  </rowItems>
  <colFields count="1">
    <field x="3"/>
  </colFields>
  <colItems count="5">
    <i>
      <x/>
    </i>
    <i>
      <x v="1"/>
    </i>
    <i>
      <x v="2"/>
    </i>
    <i>
      <x v="3"/>
    </i>
    <i t="grand">
      <x/>
    </i>
  </colItems>
  <dataFields count="1">
    <dataField name="Count of Department"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078AA1-661A-4F49-A552-741D81BD8B9E}" name="PivotTable19" cacheId="10" applyNumberFormats="0" applyBorderFormats="0" applyFontFormats="0" applyPatternFormats="0" applyAlignmentFormats="0" applyWidthHeightFormats="1" dataCaption="Values" tag="87280b58-3f6b-4c21-a435-5e68354b7efa" updatedVersion="8" minRefreshableVersion="3" useAutoFormatting="1" subtotalHiddenItems="1" itemPrintTitles="1" createdVersion="8" indent="0" outline="1" outlineData="1" multipleFieldFilters="0">
  <location ref="A1:E26"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s>
  <rowFields count="2">
    <field x="4"/>
    <field x="5"/>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numFmtId="10"/>
  </dataFields>
  <formats count="1">
    <format dxfId="15">
      <pivotArea outline="0" collapsedLevelsAreSubtotals="1" fieldPosition="0">
        <references count="1">
          <reference field="4294967294" count="1" selected="0">
            <x v="3"/>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96AA7A-A9CB-4E35-A4EA-C8A7C2000CC6}" name="PivotTable20" cacheId="9" applyNumberFormats="0" applyBorderFormats="0" applyFontFormats="0" applyPatternFormats="0" applyAlignmentFormats="0" applyWidthHeightFormats="1" dataCaption="Values" tag="093017a2-b01c-4034-afb0-c4d62d1ef054" updatedVersion="8" minRefreshableVersion="3" useAutoFormatting="1" subtotalHiddenItems="1" itemPrintTitles="1" createdVersion="8" indent="0" outline="1" outlineData="1" multipleFieldFilters="0" chartFormat="4" rowHeaderCaption="Department" colHeaderCaption="Locations">
  <location ref="H1:M8"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5">
    <i>
      <x/>
    </i>
    <i>
      <x v="1"/>
    </i>
    <i>
      <x v="2"/>
    </i>
    <i>
      <x v="3"/>
    </i>
    <i t="grand">
      <x/>
    </i>
  </colItems>
  <dataFields count="1">
    <dataField name="Average of Monthly Premiums" fld="2" subtotal="average" baseField="1" baseItem="0" numFmtId="165"/>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Premium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A09A2E-BB82-44EE-9718-5B7687259B47}" name="PivotTable11" cacheId="11" applyNumberFormats="0" applyBorderFormats="0" applyFontFormats="0" applyPatternFormats="0" applyAlignmentFormats="0" applyWidthHeightFormats="1" dataCaption="Values" tag="d550a711-d8ab-4ed8-8bd9-313f9e72055a" updatedVersion="8" minRefreshableVersion="3" subtotalHiddenItems="1" colGrandTotals="0" itemPrintTitles="1" createdVersion="8" indent="0" outline="1" outlineData="1" multipleFieldFilters="0">
  <location ref="A10:C16"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s="1" x="0"/>
        <item s="1" x="1"/>
      </items>
    </pivotField>
    <pivotField dataField="1" subtotalTop="0" showAll="0" defaultSubtotal="0"/>
  </pivotFields>
  <rowFields count="1">
    <field x="0"/>
  </rowFields>
  <rowItems count="5">
    <i>
      <x/>
    </i>
    <i>
      <x v="1"/>
    </i>
    <i>
      <x v="2"/>
    </i>
    <i>
      <x v="3"/>
    </i>
    <i t="grand">
      <x/>
    </i>
  </rowItems>
  <colFields count="1">
    <field x="1"/>
  </colFields>
  <colItems count="2">
    <i>
      <x/>
    </i>
    <i>
      <x v="1"/>
    </i>
  </colItems>
  <dataFields count="1">
    <dataField name="Average of Monthly Base Salary (INR)" fld="2" subtotal="average" baseField="0" baseItem="0" numFmtId="165"/>
  </dataFields>
  <formats count="2">
    <format dxfId="13">
      <pivotArea outline="0" collapsedLevelsAreSubtotals="1" fieldPosition="0"/>
    </format>
    <format dxfId="12">
      <pivotArea outline="0" fieldPosition="0">
        <references count="1">
          <reference field="4294967294" count="1">
            <x v="0"/>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Monthly Base Salary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B224AF-8C57-4989-91C4-03E83BF505AC}" name="PivotTable10" cacheId="12" applyNumberFormats="0" applyBorderFormats="0" applyFontFormats="0" applyPatternFormats="0" applyAlignmentFormats="0" applyWidthHeightFormats="1" dataCaption="Values" tag="d2454189-bd5e-40b1-968f-259b85a283ed" updatedVersion="8" minRefreshableVersion="3" useAutoFormatting="1" itemPrintTitles="1" createdVersion="8" indent="0" outline="1" outlineData="1" multipleFieldFilters="0">
  <location ref="A1:F8"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6">
    <i>
      <x/>
    </i>
    <i>
      <x v="1"/>
    </i>
    <i>
      <x v="2"/>
    </i>
    <i>
      <x v="3"/>
    </i>
    <i>
      <x v="4"/>
    </i>
    <i t="grand">
      <x/>
    </i>
  </rowItems>
  <colFields count="1">
    <field x="1"/>
  </colFields>
  <colItems count="5">
    <i>
      <x/>
    </i>
    <i>
      <x v="1"/>
    </i>
    <i>
      <x v="2"/>
    </i>
    <i>
      <x v="3"/>
    </i>
    <i t="grand">
      <x/>
    </i>
  </colItems>
  <dataFields count="1">
    <dataField fld="2" subtotal="count" baseField="0" baseItem="0" numFmtId="164"/>
  </dataFields>
  <formats count="1">
    <format dxfId="14">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8551A7-4BAD-479E-A25E-56599883A594}" name="Gender pay gap by salary band" cacheId="75" applyNumberFormats="0" applyBorderFormats="0" applyFontFormats="0" applyPatternFormats="0" applyAlignmentFormats="0" applyWidthHeightFormats="1" dataCaption="Values" tag="11821c9f-de00-44c0-b844-c689420d9247" updatedVersion="8" minRefreshableVersion="3" subtotalHiddenItems="1" colGrandTotals="0" itemPrintTitles="1" createdVersion="8" indent="0" outline="1" outlineData="1" multipleFieldFilters="0" chartFormat="6" rowHeaderCaption="Salary Band" colHeaderCaption="Gender">
  <location ref="A11:C17" firstHeaderRow="1" firstDataRow="2" firstDataCol="1"/>
  <pivotFields count="4">
    <pivotField axis="axisRow" allDrilled="1" subtotalTop="0" showAll="0" defaultSubtotal="0" defaultAttributeDrillState="1">
      <items count="4">
        <item x="0"/>
        <item x="2"/>
        <item x="3"/>
        <item x="1"/>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2">
    <i>
      <x/>
    </i>
    <i>
      <x v="1"/>
    </i>
  </colItems>
  <dataFields count="1">
    <dataField name="Average of Monthly Base Salary (INR)" fld="2" subtotal="average" baseField="0" baseItem="0" numFmtId="165"/>
  </dataFields>
  <formats count="2">
    <format dxfId="1">
      <pivotArea outline="0" collapsedLevelsAreSubtotals="1" fieldPosition="0"/>
    </format>
    <format dxfId="0">
      <pivotArea outline="0" fieldPosition="0">
        <references count="1">
          <reference field="4294967294" count="1">
            <x v="0"/>
          </reference>
        </references>
      </pivotArea>
    </format>
  </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Monthly Base Salary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F97F05-30B3-4E0F-AAF7-994759044024}" name="High-cost % by department x location" cacheId="69" applyNumberFormats="0" applyBorderFormats="0" applyFontFormats="0" applyPatternFormats="0" applyAlignmentFormats="0" applyWidthHeightFormats="1" dataCaption="Values" tag="1b76a591-1284-4bd3-aab4-21e5b7b4f4f0" updatedVersion="8" minRefreshableVersion="3" subtotalHiddenItems="1" itemPrintTitles="1" createdVersion="8" indent="0" outline="1" outlineData="1" multipleFieldFilters="0" chartFormat="11" rowHeaderCaption="Department" colHeaderCaption="Location">
  <location ref="A1:F8"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5">
    <i>
      <x/>
    </i>
    <i>
      <x v="1"/>
    </i>
    <i>
      <x v="2"/>
    </i>
    <i>
      <x v="3"/>
    </i>
    <i t="grand">
      <x/>
    </i>
  </colItems>
  <dataFields count="1">
    <dataField fld="2" subtotal="count" baseField="0" baseItem="0" numFmtId="9"/>
  </dataFields>
  <formats count="1">
    <format dxfId="2">
      <pivotArea outline="0" collapsedLevelsAreSubtotals="1" fieldPosition="0"/>
    </format>
  </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 Premium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26590C-2000-4A9A-8EB3-B4BFBBA433A4}" name="Matrics" cacheId="15" applyNumberFormats="0" applyBorderFormats="0" applyFontFormats="0" applyPatternFormats="0" applyAlignmentFormats="0" applyWidthHeightFormats="1" dataCaption="Values" tag="1e35109a-7572-480f-baaf-80a800b74a18" updatedVersion="8" minRefreshableVersion="3" useAutoFormatting="1" subtotalHiddenItems="1" itemPrintTitles="1" createdVersion="8" indent="0" compact="0" compactData="0" multipleFieldFilters="0">
  <location ref="J1:O7" firstHeaderRow="0" firstDataRow="1" firstDataCol="2"/>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s>
  <rowFields count="2">
    <field x="4"/>
    <field x="5"/>
  </rowFields>
  <rowItems count="6">
    <i>
      <x/>
      <x/>
    </i>
    <i>
      <x v="1"/>
      <x v="1"/>
    </i>
    <i>
      <x v="2"/>
      <x v="2"/>
    </i>
    <i>
      <x v="3"/>
      <x v="3"/>
    </i>
    <i>
      <x v="4"/>
      <x v="4"/>
    </i>
    <i t="grand">
      <x/>
    </i>
  </rowItems>
  <colFields count="1">
    <field x="-2"/>
  </colFields>
  <colItems count="4">
    <i>
      <x/>
    </i>
    <i i="1">
      <x v="1"/>
    </i>
    <i i="2">
      <x v="2"/>
    </i>
    <i i="3">
      <x v="3"/>
    </i>
  </colItems>
  <dataFields count="4">
    <dataField fld="1" subtotal="count" baseField="0" baseItem="0"/>
    <dataField fld="3" subtotal="count" baseField="0" baseItem="0" numFmtId="10"/>
    <dataField fld="0" subtotal="count" baseField="0" baseItem="0"/>
    <dataField fld="2" subtotal="count" baseField="0" baseItem="0"/>
  </dataFields>
  <formats count="4">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4">
            <x v="0"/>
            <x v="1"/>
            <x v="2"/>
            <x v="3"/>
          </reference>
        </references>
      </pivotArea>
    </format>
    <format dxfId="4">
      <pivotArea dataOnly="0" labelOnly="1" outline="0" fieldPosition="0">
        <references count="1">
          <reference field="4294967294" count="4">
            <x v="0"/>
            <x v="1"/>
            <x v="2"/>
            <x v="3"/>
          </reference>
        </references>
      </pivotArea>
    </format>
    <format dxfId="3">
      <pivotArea dataOnly="0" labelOnly="1" outline="0" fieldPosition="0">
        <references count="1">
          <reference field="4294967294" count="4">
            <x v="0"/>
            <x v="1"/>
            <x v="2"/>
            <x v="3"/>
          </reference>
        </references>
      </pivotArea>
    </format>
  </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53FC1D-ECF5-47B6-A0CC-23CF66C84764}" name="Plan mix by tier" cacheId="81" applyNumberFormats="0" applyBorderFormats="0" applyFontFormats="0" applyPatternFormats="0" applyAlignmentFormats="0" applyWidthHeightFormats="1" dataCaption="Values" tag="15edf32e-dff6-49c9-ae2a-faefe8f43788" updatedVersion="8" minRefreshableVersion="3" useAutoFormatting="1" subtotalHiddenItems="1" itemPrintTitles="1" createdVersion="8" indent="0" outline="1" outlineData="1" multipleFieldFilters="0" chartFormat="24" rowHeaderCaption="Insurance Tier" colHeaderCaption="Salary Band">
  <location ref="A21:B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nsurance tier" fld="1"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0" count="1" selected="0">
            <x v="0"/>
          </reference>
        </references>
      </pivotArea>
    </chartFormat>
    <chartFormat chart="16" format="19">
      <pivotArea type="data" outline="0" fieldPosition="0">
        <references count="2">
          <reference field="4294967294" count="1" selected="0">
            <x v="0"/>
          </reference>
          <reference field="0" count="1" selected="0">
            <x v="1"/>
          </reference>
        </references>
      </pivotArea>
    </chartFormat>
    <chartFormat chart="16" format="20">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EFC250D-2826-42C4-99BC-75ECDC2E35F0}" name="Benefit plan mix" cacheId="72" applyNumberFormats="0" applyBorderFormats="0" applyFontFormats="0" applyPatternFormats="0" applyAlignmentFormats="0" applyWidthHeightFormats="1" dataCaption="Values" tag="e3cef267-f8f2-4d1e-a4f5-37fba32d6eef" updatedVersion="8" minRefreshableVersion="3" useAutoFormatting="1" subtotalHiddenItems="1" itemPrintTitles="1" createdVersion="8" indent="0" outline="1" outlineData="1" multipleFieldFilters="0" chartFormat="6" rowHeaderCaption="Insurance Tier" colHeaderCaption="Salary Band">
  <location ref="A45:B4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0508681-1BDF-45D9-B283-38DEA3BFE581}" name="Benefit Plans" cacheId="78" applyNumberFormats="0" applyBorderFormats="0" applyFontFormats="0" applyPatternFormats="0" applyAlignmentFormats="0" applyWidthHeightFormats="1" dataCaption="Values" tag="15edf32e-dff6-49c9-ae2a-faefe8f43788" updatedVersion="8" minRefreshableVersion="3" useAutoFormatting="1" subtotalHiddenItems="1" itemPrintTitles="1" createdVersion="8" indent="0" outline="1" outlineData="1" multipleFieldFilters="0" chartFormat="38" rowHeaderCaption="Benefit Plan" colHeaderCaption="Salary Band">
  <location ref="A28:B3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an_Employe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6" xr16:uid="{035A4461-6486-4394-AE11-9D8AA88E3506}" autoFormatId="16" applyNumberFormats="0" applyBorderFormats="0" applyFontFormats="0" applyPatternFormats="0" applyAlignmentFormats="0" applyWidthHeightFormats="0">
  <queryTableRefresh nextId="9">
    <queryTableFields count="4">
      <queryTableField id="5" name="Internal Department" tableColumnId="5"/>
      <queryTableField id="6" name="Vendor Survey Job Code" tableColumnId="6"/>
      <queryTableField id="7" name="Vendor Global Group Name" tableColumnId="7"/>
      <queryTableField id="8" name="Industry Peer Segme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2" xr16:uid="{F1A4B3BB-9E79-49A4-A9EC-BEB1CA29B139}" autoFormatId="16" applyNumberFormats="0" applyBorderFormats="0" applyFontFormats="0" applyPatternFormats="0" applyAlignmentFormats="0" applyWidthHeightFormats="0">
  <queryTableRefresh nextId="14">
    <queryTableFields count="13">
      <queryTableField id="1" name="Employee ID" tableColumnId="1"/>
      <queryTableField id="2" name="Full Name" tableColumnId="2"/>
      <queryTableField id="3" name="Gender" tableColumnId="3"/>
      <queryTableField id="4" name="Department" tableColumnId="4"/>
      <queryTableField id="5" name="Location" tableColumnId="5"/>
      <queryTableField id="6" name="Monthly Base Salary (INR)" tableColumnId="6"/>
      <queryTableField id="7" name="Corporate Benefit Plan" tableColumnId="7"/>
      <queryTableField id="8" name="Insurance tier" tableColumnId="8"/>
      <queryTableField id="9" name="Monthly Premiums" tableColumnId="9"/>
      <queryTableField id="10" name="Salary Bracket" tableColumnId="10"/>
      <queryTableField id="11" name="Salary Tier" tableColumnId="11"/>
      <queryTableField id="12" name="Vendor Survey Job Code" tableColumnId="12"/>
      <queryTableField id="13" name="Vendor Global Group Name" tableColumnId="13"/>
    </queryTableFields>
  </queryTableRefresh>
  <extLst>
    <ext xmlns:x15="http://schemas.microsoft.com/office/spreadsheetml/2010/11/main" uri="{883FBD77-0823-4a55-B5E3-86C4891E6966}">
      <x15:queryTable sourceDataName="Query - Query_Audit_Exceptions(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3CEF7CF-4BB2-45E1-A9C0-63D2CE91842F}" autoFormatId="16" applyNumberFormats="0" applyBorderFormats="0" applyFontFormats="0" applyPatternFormats="0" applyAlignmentFormats="0" applyWidthHeightFormats="0">
  <queryTableRefresh nextId="18">
    <queryTableFields count="13">
      <queryTableField id="1" name="Employee ID" tableColumnId="1"/>
      <queryTableField id="2" name="Full Name" tableColumnId="2"/>
      <queryTableField id="3" name="Gender" tableColumnId="3"/>
      <queryTableField id="4" name="Department" tableColumnId="4"/>
      <queryTableField id="5" name="Location" tableColumnId="5"/>
      <queryTableField id="6" name="Monthly Base Salary (INR)" tableColumnId="6"/>
      <queryTableField id="7" name="Corporate Benefit Plan" tableColumnId="7"/>
      <queryTableField id="8" name="Insurance tier" tableColumnId="8"/>
      <queryTableField id="9" name="Monthly Premiums" tableColumnId="9"/>
      <queryTableField id="10" name="Salary Bracket" tableColumnId="10"/>
      <queryTableField id="12" name="Salary Tier" tableColumnId="12"/>
      <queryTableField id="13" name="Vendor Survey Job Code" tableColumnId="11"/>
      <queryTableField id="14" name="Vendor Global Group Name" tableColumnId="13"/>
    </queryTableFields>
  </queryTableRefresh>
  <extLst>
    <ext xmlns:x15="http://schemas.microsoft.com/office/spreadsheetml/2010/11/main" uri="{883FBD77-0823-4a55-B5E3-86C4891E6966}">
      <x15:queryTable sourceDataName="Query - Indian_Employee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6E60B9-E22B-47DC-A7CD-CB342323F8CD}" sourceName="[Indian_Employee_Data].[Gender]">
  <pivotTables>
    <pivotTable tabId="29" name="High-cost % by department x location"/>
    <pivotTable tabId="29" name="Benefit plan mix"/>
    <pivotTable tabId="29" name="Plan mix by tier"/>
    <pivotTable tabId="29" name="Benefit Plans"/>
  </pivotTables>
  <data>
    <olap pivotCacheId="1453076204">
      <levels count="2">
        <level uniqueName="[Indian_Employee_Data].[Gender].[(All)]" sourceCaption="(All)" count="0"/>
        <level uniqueName="[Indian_Employee_Data].[Gender].[Gender]" sourceCaption="Gender" count="3">
          <ranges>
            <range startItem="0">
              <i n="[Indian_Employee_Data].[Gender].&amp;[Female]" c="Female"/>
              <i n="[Indian_Employee_Data].[Gender].&amp;[Male]" c="Male"/>
              <i n="[Indian_Employee_Data].[Gender].&amp;[Transgender]" c="Transgender"/>
            </range>
          </ranges>
        </level>
      </levels>
      <selections count="1">
        <selection n="[Indian_Employee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5F045EA-A1D5-400E-994A-EDDC79E34091}" sourceName="[Indian_Employee_Data].[Department]">
  <pivotTables>
    <pivotTable tabId="29" name="High-cost % by department x location"/>
    <pivotTable tabId="29" name="Benefit plan mix"/>
    <pivotTable tabId="29" name="Gender pay gap by salary band"/>
    <pivotTable tabId="29" name="Plan mix by tier"/>
    <pivotTable tabId="29" name="Benefit Plans"/>
  </pivotTables>
  <data>
    <olap pivotCacheId="1453076204">
      <levels count="2">
        <level uniqueName="[Indian_Employee_Data].[Department].[(All)]" sourceCaption="(All)" count="0"/>
        <level uniqueName="[Indian_Employee_Data].[Department].[Department]" sourceCaption="Department" count="5">
          <ranges>
            <range startItem="0">
              <i n="[Indian_Employee_Data].[Department].&amp;[Finance]" c="Finance"/>
              <i n="[Indian_Employee_Data].[Department].&amp;[HR]" c="HR"/>
              <i n="[Indian_Employee_Data].[Department].&amp;[Operations]" c="Operations"/>
              <i n="[Indian_Employee_Data].[Department].&amp;[Sales]" c="Sales"/>
              <i n="[Indian_Employee_Data].[Department].&amp;[Tech]" c="Tech"/>
            </range>
          </ranges>
        </level>
      </levels>
      <selections count="1">
        <selection n="[Indian_Employee_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616D6D3-C5AC-41DC-97B8-679DD714990B}" sourceName="[Indian_Employee_Data].[Location]">
  <pivotTables>
    <pivotTable tabId="29" name="High-cost % by department x location"/>
    <pivotTable tabId="29" name="Benefit plan mix"/>
    <pivotTable tabId="29" name="Gender pay gap by salary band"/>
    <pivotTable tabId="29" name="Benefit Plans"/>
    <pivotTable tabId="29" name="Plan mix by tier"/>
  </pivotTables>
  <data>
    <olap pivotCacheId="1453076204">
      <levels count="2">
        <level uniqueName="[Indian_Employee_Data].[Location].[(All)]" sourceCaption="(All)" count="0"/>
        <level uniqueName="[Indian_Employee_Data].[Location].[Location]" sourceCaption="Location" count="4">
          <ranges>
            <range startItem="0">
              <i n="[Indian_Employee_Data].[Location].&amp;[Bengaluru]" c="Bengaluru"/>
              <i n="[Indian_Employee_Data].[Location].&amp;[Gurugram]" c="Gurugram"/>
              <i n="[Indian_Employee_Data].[Location].&amp;[Hyderabad]" c="Hyderabad"/>
              <i n="[Indian_Employee_Data].[Location].&amp;[Noida]" c="Noida"/>
            </range>
          </ranges>
        </level>
      </levels>
      <selections count="1">
        <selection n="[Indian_Employee_Data].[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DD6FD82-DA8A-420A-A8DC-006FB6D9A97A}" cache="Slicer_Gender" caption="Gender" level="1" rowHeight="257175"/>
  <slicer name="Department" xr10:uid="{5C60461C-587E-435E-9951-85E4B9DD48D1}" cache="Slicer_Department" caption="Department" level="1" rowHeight="257175"/>
  <slicer name="Location" xr10:uid="{24A9BECF-F1E1-495E-915C-3921E7413E89}" cache="Slicer_Location" caption="Locat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834C37-4B0B-4468-B70D-73A9785D357F}" name="Vendor_Map" displayName="Vendor_Map" ref="A1:D6" tableType="queryTable" totalsRowShown="0">
  <autoFilter ref="A1:D6" xr:uid="{52834C37-4B0B-4468-B70D-73A9785D357F}"/>
  <tableColumns count="4">
    <tableColumn id="5" xr3:uid="{E62A75E8-FCD8-42DA-A74B-6C2CF1BAA52F}" uniqueName="5" name="Internal Department" queryTableFieldId="5"/>
    <tableColumn id="6" xr3:uid="{B29FA472-7354-4ADA-B605-21E4B2244834}" uniqueName="6" name="Vendor Survey Job Code" queryTableFieldId="6"/>
    <tableColumn id="7" xr3:uid="{3E086D25-7B8E-4EB4-9C1B-A591646B31E2}" uniqueName="7" name="Vendor Global Group Name" queryTableFieldId="7"/>
    <tableColumn id="8" xr3:uid="{876016ED-B68A-433C-A16D-60B11DAB3E0B}" uniqueName="8" name="Industry Peer Segmen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5A6978-5A8F-48D0-B09E-1B4235FF2841}" name="Query_Audit_Exceptions_2" displayName="Query_Audit_Exceptions_2_1" ref="A1:M2" tableType="queryTable" insertRow="1" totalsRowShown="0">
  <autoFilter ref="A1:M2" xr:uid="{4B5A6978-5A8F-48D0-B09E-1B4235FF2841}"/>
  <tableColumns count="13">
    <tableColumn id="1" xr3:uid="{E2BEEA7D-671D-4D7E-8CC5-92259CF12922}" uniqueName="1" name="Employee ID" queryTableFieldId="1"/>
    <tableColumn id="2" xr3:uid="{77957262-6F0D-4016-BE25-C116CB96D4D7}" uniqueName="2" name="Full Name" queryTableFieldId="2"/>
    <tableColumn id="3" xr3:uid="{638141A7-D4B2-4550-8524-B4FFE4C320C1}" uniqueName="3" name="Gender" queryTableFieldId="3"/>
    <tableColumn id="4" xr3:uid="{7C85394C-7A8E-4460-B91B-2CF9FB9B7934}" uniqueName="4" name="Department" queryTableFieldId="4"/>
    <tableColumn id="5" xr3:uid="{1DBF2BD4-62E0-4A3B-8E9D-52936DB8AD93}" uniqueName="5" name="Location" queryTableFieldId="5"/>
    <tableColumn id="6" xr3:uid="{849756C9-B219-4E8D-84BA-A5BE9087F7FB}" uniqueName="6" name="Monthly Base Salary (INR)" queryTableFieldId="6"/>
    <tableColumn id="7" xr3:uid="{0DF583EB-7C75-4379-A3DC-30CC4F54064D}" uniqueName="7" name="Corporate Benefit Plan" queryTableFieldId="7"/>
    <tableColumn id="8" xr3:uid="{A1B17668-2BB5-4DDC-BB79-BF08805A9DB8}" uniqueName="8" name="Insurance tier" queryTableFieldId="8"/>
    <tableColumn id="9" xr3:uid="{AA59F5EA-0046-4E29-B857-E249ECFD8A93}" uniqueName="9" name="Monthly Premiums" queryTableFieldId="9"/>
    <tableColumn id="10" xr3:uid="{4DFCF2F4-2A4C-4C61-9937-F3F53660F633}" uniqueName="10" name="Salary Bracket" queryTableFieldId="10"/>
    <tableColumn id="11" xr3:uid="{7834AEA4-5361-4980-819F-3475F855D5BA}" uniqueName="11" name="Salary Tier" queryTableFieldId="11"/>
    <tableColumn id="12" xr3:uid="{7CBD5DA3-E6D6-4387-A5CC-5037D30D7FBB}" uniqueName="12" name="Vendor Survey Job Code" queryTableFieldId="12"/>
    <tableColumn id="13" xr3:uid="{75A4CE08-6BC1-4386-8015-530A0A715693}" uniqueName="13" name="Vendor Global Group Name"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6CF894-59D3-42EB-97BC-2B17229502BE}" name="Indian_Employee_Data" displayName="Indian_Employee_Data" ref="A1:M493" tableType="queryTable" totalsRowShown="0">
  <autoFilter ref="A1:M493" xr:uid="{576CF894-59D3-42EB-97BC-2B17229502BE}"/>
  <tableColumns count="13">
    <tableColumn id="1" xr3:uid="{8C204637-BCFC-43CC-A9A9-BCE1A224FF5B}" uniqueName="1" name="Employee ID" queryTableFieldId="1" dataDxfId="11"/>
    <tableColumn id="2" xr3:uid="{3E42DD54-9A44-4026-8EB5-CC20979D7DB9}" uniqueName="2" name="Full Name" queryTableFieldId="2"/>
    <tableColumn id="3" xr3:uid="{987AE9FA-E0A4-4EDB-A6B6-D2F1A6AB6D69}" uniqueName="3" name="Gender" queryTableFieldId="3"/>
    <tableColumn id="4" xr3:uid="{0507D812-A98B-4D9A-BCAD-1742096B1146}" uniqueName="4" name="Department" queryTableFieldId="4" dataDxfId="10"/>
    <tableColumn id="5" xr3:uid="{ACB5C6B9-4369-4A7B-9933-C037F27EF70F}" uniqueName="5" name="Location" queryTableFieldId="5" dataDxfId="9"/>
    <tableColumn id="6" xr3:uid="{E51F64BC-C3C2-4F8E-8757-4FC1DC88B0E6}" uniqueName="6" name="Monthly Base Salary (INR)" queryTableFieldId="6" dataDxfId="8"/>
    <tableColumn id="7" xr3:uid="{FE62D00D-30DE-433A-8365-BD3C650A6FFE}" uniqueName="7" name="Corporate Benefit Plan" queryTableFieldId="7"/>
    <tableColumn id="8" xr3:uid="{89830E44-0D4A-458F-B18F-6868240072D5}" uniqueName="8" name="Insurance tier" queryTableFieldId="8"/>
    <tableColumn id="9" xr3:uid="{1CC275F6-B295-4243-B7FB-964BB7025E15}" uniqueName="9" name="Monthly Premiums" queryTableFieldId="9" dataDxfId="7"/>
    <tableColumn id="10" xr3:uid="{D8FBA63A-E393-41A1-9257-7A8DD657BD7F}" uniqueName="10" name="Salary Bracket" queryTableFieldId="10"/>
    <tableColumn id="12" xr3:uid="{026F994E-BC17-4B2E-BC45-639B8818261D}" uniqueName="12" name="Salary Tier" queryTableFieldId="12"/>
    <tableColumn id="11" xr3:uid="{BB271618-A2DD-4D6B-8F14-F2A30EC9396E}" uniqueName="11" name="Vendor Survey Job Code" queryTableFieldId="13"/>
    <tableColumn id="13" xr3:uid="{99A3DF2C-A6CE-4828-B1BE-52FD9AB24C6E}" uniqueName="13" name="Vendor Global Group Name"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6.xml"/><Relationship Id="rId7" Type="http://schemas.openxmlformats.org/officeDocument/2006/relationships/drawing" Target="../drawings/drawing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FD1AB-BD38-4486-A229-5420ABB66E1C}">
  <dimension ref="A1:H30"/>
  <sheetViews>
    <sheetView topLeftCell="B1" workbookViewId="0">
      <selection activeCell="K1048576" sqref="K1048576"/>
    </sheetView>
  </sheetViews>
  <sheetFormatPr defaultRowHeight="15" x14ac:dyDescent="0.25"/>
  <cols>
    <col min="1" max="1" width="38.140625" style="15" customWidth="1"/>
    <col min="2" max="2" width="66.7109375" style="15" customWidth="1"/>
    <col min="3" max="8" width="9.5703125" style="15" customWidth="1"/>
  </cols>
  <sheetData>
    <row r="1" spans="1:8" ht="33.950000000000003" customHeight="1" x14ac:dyDescent="0.4">
      <c r="A1" s="43" t="s">
        <v>980</v>
      </c>
      <c r="B1" s="44"/>
      <c r="C1" s="44"/>
      <c r="D1" s="44"/>
      <c r="E1" s="44"/>
      <c r="F1" s="44"/>
      <c r="G1" s="44"/>
      <c r="H1" s="44"/>
    </row>
    <row r="2" spans="1:8" ht="24" customHeight="1" x14ac:dyDescent="0.25">
      <c r="A2" s="45" t="s">
        <v>981</v>
      </c>
      <c r="B2" s="44"/>
      <c r="C2" s="44"/>
      <c r="D2" s="44"/>
      <c r="E2" s="44"/>
      <c r="F2" s="44"/>
      <c r="G2" s="44"/>
      <c r="H2" s="44"/>
    </row>
    <row r="3" spans="1:8" x14ac:dyDescent="0.25">
      <c r="A3" s="14"/>
      <c r="B3" s="14"/>
      <c r="C3" s="14"/>
      <c r="D3" s="14"/>
      <c r="E3" s="14"/>
      <c r="F3" s="14"/>
      <c r="G3" s="14"/>
      <c r="H3" s="14"/>
    </row>
    <row r="4" spans="1:8" x14ac:dyDescent="0.25">
      <c r="A4" s="16" t="s">
        <v>982</v>
      </c>
      <c r="B4" s="16" t="s">
        <v>983</v>
      </c>
      <c r="C4" s="14"/>
      <c r="D4" s="14"/>
      <c r="E4" s="14"/>
      <c r="F4" s="14"/>
      <c r="G4" s="14"/>
      <c r="H4" s="14"/>
    </row>
    <row r="5" spans="1:8" ht="30" x14ac:dyDescent="0.25">
      <c r="A5" s="17" t="s">
        <v>984</v>
      </c>
      <c r="B5" s="18" t="s">
        <v>985</v>
      </c>
      <c r="C5" s="14"/>
      <c r="D5" s="14"/>
      <c r="E5" s="14"/>
      <c r="F5" s="14"/>
      <c r="G5" s="14"/>
      <c r="H5" s="14"/>
    </row>
    <row r="6" spans="1:8" x14ac:dyDescent="0.25">
      <c r="A6" s="17" t="s">
        <v>986</v>
      </c>
      <c r="B6" s="18" t="s">
        <v>987</v>
      </c>
      <c r="C6" s="14"/>
      <c r="D6" s="14"/>
      <c r="E6" s="14"/>
      <c r="F6" s="14"/>
      <c r="G6" s="14"/>
      <c r="H6" s="14"/>
    </row>
    <row r="7" spans="1:8" ht="30" x14ac:dyDescent="0.25">
      <c r="A7" s="17" t="s">
        <v>988</v>
      </c>
      <c r="B7" s="18" t="s">
        <v>989</v>
      </c>
      <c r="C7" s="14"/>
      <c r="D7" s="14"/>
      <c r="E7" s="14"/>
      <c r="F7" s="14"/>
      <c r="G7" s="14"/>
      <c r="H7" s="14"/>
    </row>
    <row r="8" spans="1:8" ht="30" x14ac:dyDescent="0.25">
      <c r="A8" s="17" t="s">
        <v>990</v>
      </c>
      <c r="B8" s="18" t="s">
        <v>991</v>
      </c>
      <c r="C8" s="14"/>
      <c r="D8" s="14"/>
      <c r="E8" s="14"/>
      <c r="F8" s="14"/>
      <c r="G8" s="14"/>
      <c r="H8" s="14"/>
    </row>
    <row r="9" spans="1:8" x14ac:dyDescent="0.25">
      <c r="A9" s="17" t="s">
        <v>992</v>
      </c>
      <c r="B9" s="18" t="s">
        <v>993</v>
      </c>
      <c r="C9" s="14"/>
      <c r="D9" s="14"/>
      <c r="E9" s="14"/>
      <c r="F9" s="14"/>
      <c r="G9" s="14"/>
      <c r="H9" s="14"/>
    </row>
    <row r="10" spans="1:8" x14ac:dyDescent="0.25">
      <c r="A10" s="17" t="s">
        <v>994</v>
      </c>
      <c r="B10" s="18" t="s">
        <v>995</v>
      </c>
      <c r="C10" s="14"/>
      <c r="D10" s="14"/>
      <c r="E10" s="14"/>
      <c r="F10" s="14"/>
      <c r="G10" s="14"/>
      <c r="H10" s="14"/>
    </row>
    <row r="11" spans="1:8" x14ac:dyDescent="0.25">
      <c r="A11" s="14"/>
      <c r="B11" s="14"/>
      <c r="C11" s="14"/>
      <c r="D11" s="14"/>
      <c r="E11" s="14"/>
      <c r="F11" s="14"/>
      <c r="G11" s="14"/>
      <c r="H11" s="14"/>
    </row>
    <row r="12" spans="1:8" x14ac:dyDescent="0.25">
      <c r="A12" s="14"/>
      <c r="B12" s="14"/>
      <c r="C12" s="14"/>
      <c r="D12" s="14"/>
      <c r="E12" s="14"/>
      <c r="F12" s="14"/>
      <c r="G12" s="14"/>
      <c r="H12" s="14"/>
    </row>
    <row r="13" spans="1:8" x14ac:dyDescent="0.25">
      <c r="A13" s="14"/>
      <c r="B13" s="14"/>
      <c r="C13" s="14"/>
      <c r="D13" s="14"/>
      <c r="E13" s="14"/>
      <c r="F13" s="14"/>
      <c r="G13" s="14"/>
      <c r="H13" s="14"/>
    </row>
    <row r="14" spans="1:8" x14ac:dyDescent="0.25">
      <c r="A14" s="14"/>
      <c r="B14" s="14"/>
      <c r="C14" s="14"/>
      <c r="D14" s="14"/>
      <c r="E14" s="14"/>
      <c r="F14" s="14"/>
      <c r="G14" s="14"/>
      <c r="H14" s="14"/>
    </row>
    <row r="15" spans="1:8" x14ac:dyDescent="0.25">
      <c r="A15" s="14"/>
      <c r="B15" s="14"/>
      <c r="C15" s="14"/>
      <c r="D15" s="14"/>
      <c r="E15" s="14"/>
      <c r="F15" s="14"/>
      <c r="G15" s="14"/>
      <c r="H15" s="14"/>
    </row>
    <row r="16" spans="1:8" x14ac:dyDescent="0.25">
      <c r="A16" s="14"/>
      <c r="B16" s="14"/>
      <c r="C16" s="14"/>
      <c r="D16" s="14"/>
      <c r="E16" s="14"/>
      <c r="F16" s="14"/>
      <c r="G16" s="14"/>
      <c r="H16" s="14"/>
    </row>
    <row r="17" spans="1:8" x14ac:dyDescent="0.25">
      <c r="A17" s="14"/>
      <c r="B17" s="14"/>
      <c r="C17" s="14"/>
      <c r="D17" s="14"/>
      <c r="E17" s="14"/>
      <c r="F17" s="14"/>
      <c r="G17" s="14"/>
      <c r="H17" s="14"/>
    </row>
    <row r="18" spans="1:8" x14ac:dyDescent="0.25">
      <c r="A18" s="14"/>
      <c r="B18" s="14"/>
      <c r="C18" s="14"/>
      <c r="D18" s="14"/>
      <c r="E18" s="14"/>
      <c r="F18" s="14"/>
      <c r="G18" s="14"/>
      <c r="H18" s="14"/>
    </row>
    <row r="19" spans="1:8" x14ac:dyDescent="0.25">
      <c r="A19" s="14"/>
      <c r="B19" s="14"/>
      <c r="C19" s="14"/>
      <c r="D19" s="14"/>
      <c r="E19" s="14"/>
      <c r="F19" s="14"/>
      <c r="G19" s="14"/>
      <c r="H19" s="14"/>
    </row>
    <row r="20" spans="1:8" x14ac:dyDescent="0.25">
      <c r="A20" s="14"/>
      <c r="B20" s="14"/>
      <c r="C20" s="14"/>
      <c r="D20" s="14"/>
      <c r="E20" s="14"/>
      <c r="F20" s="14"/>
      <c r="G20" s="14"/>
      <c r="H20" s="14"/>
    </row>
    <row r="21" spans="1:8" x14ac:dyDescent="0.25">
      <c r="A21" s="14"/>
      <c r="B21" s="14"/>
      <c r="C21" s="14"/>
      <c r="D21" s="14"/>
      <c r="E21" s="14"/>
      <c r="F21" s="14"/>
      <c r="G21" s="14"/>
      <c r="H21" s="14"/>
    </row>
    <row r="22" spans="1:8" x14ac:dyDescent="0.25">
      <c r="A22" s="14"/>
      <c r="B22" s="14"/>
      <c r="C22" s="14"/>
      <c r="D22" s="14"/>
      <c r="E22" s="14"/>
      <c r="F22" s="14"/>
      <c r="G22" s="14"/>
      <c r="H22" s="14"/>
    </row>
    <row r="23" spans="1:8" x14ac:dyDescent="0.25">
      <c r="A23" s="14"/>
      <c r="B23" s="14"/>
      <c r="C23" s="14"/>
      <c r="D23" s="14"/>
      <c r="E23" s="14"/>
      <c r="F23" s="14"/>
      <c r="G23" s="14"/>
      <c r="H23" s="14"/>
    </row>
    <row r="24" spans="1:8" x14ac:dyDescent="0.25">
      <c r="A24" s="14"/>
      <c r="B24" s="14"/>
      <c r="C24" s="14"/>
      <c r="D24" s="14"/>
      <c r="E24" s="14"/>
      <c r="F24" s="14"/>
      <c r="G24" s="14"/>
      <c r="H24" s="14"/>
    </row>
    <row r="25" spans="1:8" x14ac:dyDescent="0.25">
      <c r="A25" s="14"/>
      <c r="B25" s="14"/>
      <c r="C25" s="14"/>
      <c r="D25" s="14"/>
      <c r="E25" s="14"/>
      <c r="F25" s="14"/>
      <c r="G25" s="14"/>
      <c r="H25" s="14"/>
    </row>
    <row r="26" spans="1:8" x14ac:dyDescent="0.25">
      <c r="A26" s="14"/>
      <c r="B26" s="14"/>
      <c r="C26" s="14"/>
      <c r="D26" s="14"/>
      <c r="E26" s="14"/>
      <c r="F26" s="14"/>
      <c r="G26" s="14"/>
      <c r="H26" s="14"/>
    </row>
    <row r="27" spans="1:8" x14ac:dyDescent="0.25">
      <c r="A27" s="14"/>
      <c r="B27" s="14"/>
      <c r="C27" s="14"/>
      <c r="D27" s="14"/>
      <c r="E27" s="14"/>
      <c r="F27" s="14"/>
      <c r="G27" s="14"/>
      <c r="H27" s="14"/>
    </row>
    <row r="28" spans="1:8" x14ac:dyDescent="0.25">
      <c r="A28" s="14"/>
      <c r="B28" s="14"/>
      <c r="C28" s="14"/>
      <c r="D28" s="14"/>
      <c r="E28" s="14"/>
      <c r="F28" s="14"/>
      <c r="G28" s="14"/>
      <c r="H28" s="14"/>
    </row>
    <row r="29" spans="1:8" x14ac:dyDescent="0.25">
      <c r="A29" s="14"/>
      <c r="B29" s="14"/>
      <c r="C29" s="14"/>
      <c r="D29" s="14"/>
      <c r="E29" s="14"/>
      <c r="F29" s="14"/>
      <c r="G29" s="14"/>
      <c r="H29" s="14"/>
    </row>
    <row r="30" spans="1:8" x14ac:dyDescent="0.25">
      <c r="A30" s="14"/>
      <c r="B30" s="14"/>
      <c r="C30" s="14"/>
      <c r="D30" s="14"/>
      <c r="E30" s="14"/>
      <c r="F30" s="14"/>
      <c r="G30" s="14"/>
      <c r="H30" s="14"/>
    </row>
  </sheetData>
  <mergeCells count="2">
    <mergeCell ref="A1:H1"/>
    <mergeCell ref="A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E9512-F14B-4787-A1B8-0CB867E164C5}">
  <dimension ref="A1:N60"/>
  <sheetViews>
    <sheetView tabSelected="1" workbookViewId="0">
      <selection activeCell="A2" sqref="A2:T2"/>
    </sheetView>
  </sheetViews>
  <sheetFormatPr defaultRowHeight="15" x14ac:dyDescent="0.25"/>
  <cols>
    <col min="1" max="14" width="10.42578125" style="20" customWidth="1"/>
  </cols>
  <sheetData>
    <row r="1" spans="1:14" ht="28.5" x14ac:dyDescent="0.45">
      <c r="A1" s="58" t="s">
        <v>1007</v>
      </c>
      <c r="B1" s="59"/>
      <c r="C1" s="59"/>
      <c r="D1" s="59"/>
      <c r="E1" s="59"/>
      <c r="F1" s="59"/>
      <c r="G1" s="59"/>
      <c r="H1" s="59"/>
      <c r="I1" s="59"/>
      <c r="J1" s="59"/>
      <c r="K1" s="59"/>
      <c r="L1" s="59"/>
      <c r="M1" s="59"/>
      <c r="N1" s="59"/>
    </row>
    <row r="2" spans="1:14" x14ac:dyDescent="0.25">
      <c r="A2" s="60" t="s">
        <v>1008</v>
      </c>
      <c r="B2" s="61"/>
      <c r="C2" s="61"/>
      <c r="D2" s="61"/>
      <c r="E2" s="61"/>
      <c r="F2" s="61"/>
      <c r="G2" s="61"/>
      <c r="H2" s="61"/>
      <c r="I2" s="61"/>
      <c r="J2" s="61"/>
      <c r="K2" s="61"/>
      <c r="L2" s="61"/>
      <c r="M2" s="61"/>
      <c r="N2" s="61"/>
    </row>
    <row r="3" spans="1:14" x14ac:dyDescent="0.25">
      <c r="A3" s="24" t="s">
        <v>1</v>
      </c>
      <c r="B3" s="21" t="s">
        <v>1002</v>
      </c>
      <c r="C3" s="24" t="s">
        <v>22</v>
      </c>
      <c r="D3" s="21" t="s">
        <v>1002</v>
      </c>
      <c r="E3" s="24" t="s">
        <v>0</v>
      </c>
      <c r="F3" s="21" t="s">
        <v>1002</v>
      </c>
      <c r="G3" s="19"/>
      <c r="H3" s="19" t="s">
        <v>1017</v>
      </c>
      <c r="I3" s="19"/>
      <c r="J3" s="60" t="s">
        <v>1017</v>
      </c>
      <c r="K3" s="61"/>
      <c r="L3" s="61"/>
      <c r="M3" s="61"/>
      <c r="N3" s="61"/>
    </row>
    <row r="4" spans="1:14" x14ac:dyDescent="0.25">
      <c r="A4" s="19"/>
      <c r="B4" s="19"/>
      <c r="C4" s="19"/>
      <c r="D4" s="19"/>
      <c r="E4" s="19"/>
      <c r="F4" s="19"/>
      <c r="G4" s="19"/>
      <c r="H4" s="19"/>
      <c r="I4" s="19"/>
      <c r="J4" s="19"/>
      <c r="K4" s="19"/>
      <c r="L4" s="19"/>
      <c r="M4" s="19"/>
      <c r="N4" s="19"/>
    </row>
    <row r="5" spans="1:14" ht="18.75" x14ac:dyDescent="0.3">
      <c r="A5" s="53" t="s">
        <v>976</v>
      </c>
      <c r="B5" s="54"/>
      <c r="C5" s="54"/>
      <c r="D5" s="53" t="s">
        <v>1004</v>
      </c>
      <c r="E5" s="54"/>
      <c r="F5" s="54"/>
      <c r="G5" s="53" t="s">
        <v>1009</v>
      </c>
      <c r="H5" s="54"/>
      <c r="I5" s="54"/>
      <c r="J5" s="53" t="s">
        <v>1006</v>
      </c>
      <c r="K5" s="54"/>
      <c r="L5" s="54"/>
      <c r="M5" s="19"/>
      <c r="N5" s="19"/>
    </row>
    <row r="6" spans="1:14" x14ac:dyDescent="0.25">
      <c r="A6" s="62">
        <f>GETPIVOTDATA("[Measures].[Headcount]",'Rewards &amp; Benefits Allocation'!$A$1)</f>
        <v>492</v>
      </c>
      <c r="B6" s="56"/>
      <c r="C6" s="56"/>
      <c r="D6" s="63">
        <f>GETPIVOTDATA("[Measures].[Average Salary]",'Rewards &amp; Benefits Allocation'!$A$1)</f>
        <v>118675.03861788618</v>
      </c>
      <c r="E6" s="64"/>
      <c r="F6" s="64"/>
      <c r="G6" s="63">
        <f>GETPIVOTDATA("[Measures].[Total Monthly Premium Cost]",'Rewards &amp; Benefits Allocation'!$A$1)</f>
        <v>2583000</v>
      </c>
      <c r="H6" s="56"/>
      <c r="I6" s="56"/>
      <c r="J6" s="55">
        <f>GETPIVOTDATA("[Measures].[High-Cost Employee %]",'Rewards &amp; Benefits Allocation'!$A$1)</f>
        <v>0.23373983739837398</v>
      </c>
      <c r="K6" s="56"/>
      <c r="L6" s="56"/>
      <c r="M6" s="19"/>
      <c r="N6" s="19"/>
    </row>
    <row r="7" spans="1:14" x14ac:dyDescent="0.25">
      <c r="A7" s="56"/>
      <c r="B7" s="56"/>
      <c r="C7" s="56"/>
      <c r="D7" s="56"/>
      <c r="E7" s="56"/>
      <c r="F7" s="56"/>
      <c r="G7" s="56"/>
      <c r="H7" s="56"/>
      <c r="I7" s="56"/>
      <c r="J7" s="56"/>
      <c r="K7" s="56"/>
      <c r="L7" s="56"/>
      <c r="M7" s="19"/>
      <c r="N7" s="19"/>
    </row>
    <row r="8" spans="1:14" x14ac:dyDescent="0.25">
      <c r="A8" s="57"/>
      <c r="B8" s="57"/>
      <c r="C8" s="57"/>
      <c r="D8" s="57"/>
      <c r="E8" s="57"/>
      <c r="F8" s="57"/>
      <c r="G8" s="57"/>
      <c r="H8" s="57"/>
      <c r="I8" s="57"/>
      <c r="J8" s="57"/>
      <c r="K8" s="57"/>
      <c r="L8" s="57"/>
      <c r="M8" s="19"/>
      <c r="N8" s="19"/>
    </row>
    <row r="9" spans="1:14" x14ac:dyDescent="0.25">
      <c r="A9" s="19"/>
      <c r="B9" s="19"/>
      <c r="C9" s="19"/>
      <c r="D9" s="19"/>
      <c r="E9" s="19"/>
      <c r="F9" s="19"/>
      <c r="G9" s="19"/>
      <c r="H9" s="19"/>
      <c r="I9" s="19"/>
      <c r="J9" s="19"/>
      <c r="K9" s="19"/>
      <c r="L9" s="19"/>
      <c r="M9" s="19"/>
      <c r="N9" s="19"/>
    </row>
    <row r="10" spans="1:14" x14ac:dyDescent="0.25">
      <c r="A10" s="48" t="s">
        <v>1010</v>
      </c>
      <c r="B10" s="49"/>
      <c r="C10" s="49"/>
      <c r="D10" s="49"/>
      <c r="E10" s="49"/>
      <c r="F10" s="49"/>
      <c r="G10" s="49"/>
      <c r="H10" s="48" t="s">
        <v>1011</v>
      </c>
      <c r="I10" s="49"/>
      <c r="J10" s="49"/>
      <c r="K10" s="49"/>
      <c r="L10" s="49"/>
      <c r="M10" s="49"/>
      <c r="N10" s="49"/>
    </row>
    <row r="11" spans="1:14" x14ac:dyDescent="0.25">
      <c r="A11" s="22"/>
      <c r="B11" s="22"/>
      <c r="C11" s="22"/>
      <c r="D11" s="22"/>
      <c r="E11" s="22"/>
      <c r="F11" s="22"/>
      <c r="G11" s="22"/>
      <c r="H11" s="22"/>
      <c r="I11" s="22"/>
      <c r="J11" s="22"/>
      <c r="K11" s="22"/>
      <c r="L11" s="22"/>
      <c r="M11" s="22"/>
      <c r="N11" s="22"/>
    </row>
    <row r="12" spans="1:14" x14ac:dyDescent="0.25">
      <c r="A12" s="22"/>
      <c r="B12" s="22"/>
      <c r="C12" s="22"/>
      <c r="D12" s="22"/>
      <c r="E12" s="22"/>
      <c r="F12" s="22"/>
      <c r="G12" s="22"/>
      <c r="H12" s="22"/>
      <c r="I12" s="22"/>
      <c r="J12" s="22"/>
      <c r="K12" s="22"/>
      <c r="L12" s="22"/>
      <c r="M12" s="22"/>
      <c r="N12" s="22"/>
    </row>
    <row r="13" spans="1:14" x14ac:dyDescent="0.25">
      <c r="A13" s="22"/>
      <c r="B13" s="22"/>
      <c r="C13" s="22"/>
      <c r="D13" s="22"/>
      <c r="E13" s="22"/>
      <c r="F13" s="22"/>
      <c r="G13" s="22"/>
      <c r="H13" s="22"/>
      <c r="I13" s="22"/>
      <c r="J13" s="22"/>
      <c r="K13" s="22"/>
      <c r="L13" s="22"/>
      <c r="M13" s="22"/>
      <c r="N13" s="22"/>
    </row>
    <row r="14" spans="1:14" x14ac:dyDescent="0.25">
      <c r="A14" s="22"/>
      <c r="B14" s="22"/>
      <c r="C14" s="22"/>
      <c r="D14" s="22"/>
      <c r="E14" s="22"/>
      <c r="F14" s="22"/>
      <c r="G14" s="22"/>
      <c r="H14" s="22"/>
      <c r="I14" s="22"/>
      <c r="J14" s="22"/>
      <c r="K14" s="22"/>
      <c r="L14" s="22"/>
      <c r="M14" s="22"/>
      <c r="N14" s="22"/>
    </row>
    <row r="15" spans="1:14" x14ac:dyDescent="0.25">
      <c r="A15" s="22"/>
      <c r="B15" s="22"/>
      <c r="C15" s="22"/>
      <c r="D15" s="22"/>
      <c r="E15" s="22"/>
      <c r="F15" s="22"/>
      <c r="G15" s="22"/>
      <c r="H15" s="22"/>
      <c r="I15" s="22"/>
      <c r="J15" s="22"/>
      <c r="K15" s="22"/>
      <c r="L15" s="22"/>
      <c r="M15" s="22"/>
      <c r="N15" s="22"/>
    </row>
    <row r="16" spans="1:14" x14ac:dyDescent="0.25">
      <c r="A16" s="22"/>
      <c r="B16" s="22"/>
      <c r="C16" s="22"/>
      <c r="D16" s="22"/>
      <c r="E16" s="22"/>
      <c r="F16" s="22"/>
      <c r="G16" s="22"/>
      <c r="H16" s="22"/>
      <c r="I16" s="22"/>
      <c r="J16" s="22"/>
      <c r="K16" s="22"/>
      <c r="L16" s="22"/>
      <c r="M16" s="22"/>
      <c r="N16" s="22"/>
    </row>
    <row r="17" spans="1:14" x14ac:dyDescent="0.25">
      <c r="A17" s="22"/>
      <c r="B17" s="22"/>
      <c r="C17" s="22"/>
      <c r="D17" s="22"/>
      <c r="E17" s="22"/>
      <c r="F17" s="22"/>
      <c r="G17" s="22"/>
      <c r="H17" s="22"/>
      <c r="I17" s="22"/>
      <c r="J17" s="22"/>
      <c r="K17" s="22"/>
      <c r="L17" s="22"/>
      <c r="M17" s="22"/>
      <c r="N17" s="22"/>
    </row>
    <row r="18" spans="1:14" x14ac:dyDescent="0.25">
      <c r="A18" s="22"/>
      <c r="B18" s="22"/>
      <c r="C18" s="22"/>
      <c r="D18" s="22"/>
      <c r="E18" s="22"/>
      <c r="F18" s="22"/>
      <c r="G18" s="22"/>
      <c r="H18" s="22"/>
      <c r="I18" s="22"/>
      <c r="J18" s="22"/>
      <c r="K18" s="22"/>
      <c r="L18" s="22"/>
      <c r="M18" s="22"/>
      <c r="N18" s="22"/>
    </row>
    <row r="19" spans="1:14" x14ac:dyDescent="0.25">
      <c r="A19" s="22"/>
      <c r="B19" s="22"/>
      <c r="C19" s="22"/>
      <c r="D19" s="22"/>
      <c r="E19" s="22"/>
      <c r="F19" s="22"/>
      <c r="G19" s="22"/>
      <c r="H19" s="22"/>
      <c r="I19" s="22"/>
      <c r="J19" s="22"/>
      <c r="K19" s="22"/>
      <c r="L19" s="22"/>
      <c r="M19" s="22"/>
      <c r="N19" s="22"/>
    </row>
    <row r="20" spans="1:14" x14ac:dyDescent="0.25">
      <c r="A20" s="22"/>
      <c r="B20" s="22"/>
      <c r="C20" s="22"/>
      <c r="D20" s="22"/>
      <c r="E20" s="22"/>
      <c r="F20" s="22"/>
      <c r="G20" s="22"/>
      <c r="H20" s="22"/>
      <c r="I20" s="22"/>
      <c r="J20" s="22"/>
      <c r="K20" s="22"/>
      <c r="L20" s="22"/>
      <c r="M20" s="22"/>
      <c r="N20" s="22"/>
    </row>
    <row r="21" spans="1:14" x14ac:dyDescent="0.25">
      <c r="A21" s="22"/>
      <c r="B21" s="22"/>
      <c r="C21" s="22"/>
      <c r="D21" s="22"/>
      <c r="E21" s="22"/>
      <c r="F21" s="22"/>
      <c r="G21" s="22"/>
      <c r="H21" s="22"/>
      <c r="I21" s="22"/>
      <c r="J21" s="22"/>
      <c r="K21" s="22"/>
      <c r="L21" s="22"/>
      <c r="M21" s="22"/>
      <c r="N21" s="22"/>
    </row>
    <row r="22" spans="1:14" x14ac:dyDescent="0.25">
      <c r="A22" s="22"/>
      <c r="B22" s="22"/>
      <c r="C22" s="22"/>
      <c r="D22" s="22"/>
      <c r="E22" s="22"/>
      <c r="F22" s="22"/>
      <c r="G22" s="22"/>
      <c r="H22" s="22"/>
      <c r="I22" s="22"/>
      <c r="J22" s="22"/>
      <c r="K22" s="22"/>
      <c r="L22" s="22"/>
      <c r="M22" s="22"/>
      <c r="N22" s="22"/>
    </row>
    <row r="23" spans="1:14" x14ac:dyDescent="0.25">
      <c r="A23" s="22"/>
      <c r="B23" s="22"/>
      <c r="C23" s="22"/>
      <c r="D23" s="22"/>
      <c r="E23" s="22"/>
      <c r="F23" s="22"/>
      <c r="G23" s="22"/>
      <c r="H23" s="22"/>
      <c r="I23" s="22"/>
      <c r="J23" s="22"/>
      <c r="K23" s="22"/>
      <c r="L23" s="22"/>
      <c r="M23" s="22"/>
      <c r="N23" s="22"/>
    </row>
    <row r="24" spans="1:14" x14ac:dyDescent="0.25">
      <c r="A24" s="22"/>
      <c r="B24" s="22"/>
      <c r="C24" s="22"/>
      <c r="D24" s="22"/>
      <c r="E24" s="22"/>
      <c r="F24" s="22"/>
      <c r="G24" s="22"/>
      <c r="H24" s="22"/>
      <c r="I24" s="22"/>
      <c r="J24" s="22"/>
      <c r="K24" s="22"/>
      <c r="L24" s="22"/>
      <c r="M24" s="22"/>
      <c r="N24" s="22"/>
    </row>
    <row r="25" spans="1:14" x14ac:dyDescent="0.25">
      <c r="A25" s="23"/>
      <c r="B25" s="23"/>
      <c r="C25" s="23"/>
      <c r="D25" s="23"/>
      <c r="E25" s="23"/>
      <c r="F25" s="23"/>
      <c r="G25" s="23"/>
      <c r="H25" s="23"/>
      <c r="I25" s="23"/>
      <c r="J25" s="23"/>
      <c r="K25" s="23"/>
      <c r="L25" s="23"/>
      <c r="M25" s="23"/>
      <c r="N25" s="23"/>
    </row>
    <row r="26" spans="1:14" x14ac:dyDescent="0.25">
      <c r="A26" s="19"/>
      <c r="B26" s="19"/>
      <c r="C26" s="19"/>
      <c r="D26" s="19"/>
      <c r="E26" s="19"/>
      <c r="F26" s="19"/>
      <c r="G26" s="19"/>
      <c r="H26" s="19"/>
      <c r="I26" s="19"/>
      <c r="J26" s="19"/>
      <c r="K26" s="19"/>
      <c r="L26" s="19"/>
      <c r="M26" s="19"/>
      <c r="N26" s="19"/>
    </row>
    <row r="27" spans="1:14" x14ac:dyDescent="0.25">
      <c r="A27" s="48" t="s">
        <v>1012</v>
      </c>
      <c r="B27" s="49"/>
      <c r="C27" s="49"/>
      <c r="D27" s="49"/>
      <c r="E27" s="49"/>
      <c r="F27" s="49"/>
      <c r="G27" s="49"/>
      <c r="H27" s="48" t="s">
        <v>1013</v>
      </c>
      <c r="I27" s="49"/>
      <c r="J27" s="49"/>
      <c r="K27" s="49"/>
      <c r="L27" s="49"/>
      <c r="M27" s="49"/>
      <c r="N27" s="49"/>
    </row>
    <row r="28" spans="1:14" x14ac:dyDescent="0.25">
      <c r="A28" s="22"/>
      <c r="B28" s="22"/>
      <c r="C28" s="22"/>
      <c r="D28" s="22"/>
      <c r="E28" s="22"/>
      <c r="F28" s="22"/>
      <c r="G28" s="22"/>
      <c r="H28" s="22"/>
      <c r="I28" s="22"/>
      <c r="J28" s="22"/>
      <c r="K28" s="22"/>
      <c r="L28" s="22"/>
      <c r="M28" s="22"/>
      <c r="N28" s="22"/>
    </row>
    <row r="29" spans="1:14" x14ac:dyDescent="0.25">
      <c r="A29" s="22"/>
      <c r="B29" s="22"/>
      <c r="C29" s="22"/>
      <c r="D29" s="22"/>
      <c r="E29" s="22"/>
      <c r="F29" s="22"/>
      <c r="G29" s="22"/>
      <c r="H29" s="22"/>
      <c r="I29" s="22"/>
      <c r="J29" s="22"/>
      <c r="K29" s="22"/>
      <c r="L29" s="22"/>
      <c r="M29" s="22"/>
      <c r="N29" s="22"/>
    </row>
    <row r="30" spans="1:14" x14ac:dyDescent="0.25">
      <c r="A30" s="22"/>
      <c r="B30" s="22"/>
      <c r="C30" s="22"/>
      <c r="D30" s="22"/>
      <c r="E30" s="22"/>
      <c r="F30" s="22"/>
      <c r="G30" s="22"/>
      <c r="H30" s="22"/>
      <c r="I30" s="22"/>
      <c r="J30" s="22"/>
      <c r="K30" s="22"/>
      <c r="L30" s="22"/>
      <c r="M30" s="22"/>
      <c r="N30" s="22"/>
    </row>
    <row r="31" spans="1:14" x14ac:dyDescent="0.25">
      <c r="A31" s="22"/>
      <c r="B31" s="22"/>
      <c r="C31" s="22"/>
      <c r="D31" s="22"/>
      <c r="E31" s="22"/>
      <c r="F31" s="22"/>
      <c r="G31" s="22"/>
      <c r="H31" s="22"/>
      <c r="I31" s="22"/>
      <c r="J31" s="22"/>
      <c r="K31" s="22"/>
      <c r="L31" s="22"/>
      <c r="M31" s="22"/>
      <c r="N31" s="22"/>
    </row>
    <row r="32" spans="1:14" x14ac:dyDescent="0.25">
      <c r="A32" s="22"/>
      <c r="B32" s="22"/>
      <c r="C32" s="22"/>
      <c r="D32" s="22"/>
      <c r="E32" s="22"/>
      <c r="F32" s="22"/>
      <c r="G32" s="22"/>
      <c r="H32" s="22"/>
      <c r="I32" s="22"/>
      <c r="J32" s="22"/>
      <c r="K32" s="22"/>
      <c r="L32" s="22"/>
      <c r="M32" s="22"/>
      <c r="N32" s="22"/>
    </row>
    <row r="33" spans="1:14" x14ac:dyDescent="0.25">
      <c r="A33" s="22"/>
      <c r="B33" s="22"/>
      <c r="C33" s="22"/>
      <c r="D33" s="22"/>
      <c r="E33" s="22"/>
      <c r="F33" s="22"/>
      <c r="G33" s="22"/>
      <c r="H33" s="22"/>
      <c r="I33" s="22"/>
      <c r="J33" s="22"/>
      <c r="K33" s="22"/>
      <c r="L33" s="22"/>
      <c r="M33" s="22"/>
      <c r="N33" s="22"/>
    </row>
    <row r="34" spans="1:14" x14ac:dyDescent="0.25">
      <c r="A34" s="22"/>
      <c r="B34" s="22"/>
      <c r="C34" s="22"/>
      <c r="D34" s="22"/>
      <c r="E34" s="22"/>
      <c r="F34" s="22"/>
      <c r="G34" s="22"/>
      <c r="H34" s="22"/>
      <c r="I34" s="22"/>
      <c r="J34" s="22"/>
      <c r="K34" s="22"/>
      <c r="L34" s="22"/>
      <c r="M34" s="22"/>
      <c r="N34" s="22"/>
    </row>
    <row r="35" spans="1:14" x14ac:dyDescent="0.25">
      <c r="A35" s="22"/>
      <c r="B35" s="22"/>
      <c r="C35" s="22"/>
      <c r="D35" s="22"/>
      <c r="E35" s="22"/>
      <c r="F35" s="22"/>
      <c r="G35" s="22"/>
      <c r="H35" s="22"/>
      <c r="I35" s="22"/>
      <c r="J35" s="22"/>
      <c r="K35" s="22"/>
      <c r="L35" s="22"/>
      <c r="M35" s="22"/>
      <c r="N35" s="22"/>
    </row>
    <row r="36" spans="1:14" x14ac:dyDescent="0.25">
      <c r="A36" s="22"/>
      <c r="B36" s="22"/>
      <c r="C36" s="22"/>
      <c r="D36" s="22"/>
      <c r="E36" s="22"/>
      <c r="F36" s="22"/>
      <c r="G36" s="22"/>
      <c r="H36" s="22"/>
      <c r="I36" s="22"/>
      <c r="J36" s="22"/>
      <c r="K36" s="22"/>
      <c r="L36" s="22"/>
      <c r="M36" s="22"/>
      <c r="N36" s="22"/>
    </row>
    <row r="37" spans="1:14" x14ac:dyDescent="0.25">
      <c r="A37" s="22"/>
      <c r="B37" s="22"/>
      <c r="C37" s="22"/>
      <c r="D37" s="22"/>
      <c r="E37" s="22"/>
      <c r="F37" s="22"/>
      <c r="G37" s="22"/>
      <c r="H37" s="22"/>
      <c r="I37" s="22"/>
      <c r="J37" s="22"/>
      <c r="K37" s="22"/>
      <c r="L37" s="22"/>
      <c r="M37" s="22"/>
      <c r="N37" s="22"/>
    </row>
    <row r="38" spans="1:14" x14ac:dyDescent="0.25">
      <c r="A38" s="22"/>
      <c r="B38" s="22"/>
      <c r="C38" s="22"/>
      <c r="D38" s="22"/>
      <c r="E38" s="22"/>
      <c r="F38" s="22"/>
      <c r="G38" s="22"/>
      <c r="H38" s="22"/>
      <c r="I38" s="22"/>
      <c r="J38" s="22"/>
      <c r="K38" s="22"/>
      <c r="L38" s="22"/>
      <c r="M38" s="22"/>
      <c r="N38" s="22"/>
    </row>
    <row r="39" spans="1:14" x14ac:dyDescent="0.25">
      <c r="A39" s="22"/>
      <c r="B39" s="22"/>
      <c r="C39" s="22"/>
      <c r="D39" s="22"/>
      <c r="E39" s="22"/>
      <c r="F39" s="22"/>
      <c r="G39" s="22"/>
      <c r="H39" s="22"/>
      <c r="I39" s="22"/>
      <c r="J39" s="22"/>
      <c r="K39" s="22"/>
      <c r="L39" s="22"/>
      <c r="M39" s="22"/>
      <c r="N39" s="22"/>
    </row>
    <row r="40" spans="1:14" x14ac:dyDescent="0.25">
      <c r="A40" s="22"/>
      <c r="B40" s="22"/>
      <c r="C40" s="22"/>
      <c r="D40" s="22"/>
      <c r="E40" s="22"/>
      <c r="F40" s="22"/>
      <c r="G40" s="22"/>
      <c r="H40" s="22"/>
      <c r="I40" s="22"/>
      <c r="J40" s="22"/>
      <c r="K40" s="22"/>
      <c r="L40" s="22"/>
      <c r="M40" s="22"/>
      <c r="N40" s="22"/>
    </row>
    <row r="41" spans="1:14" x14ac:dyDescent="0.25">
      <c r="A41" s="22"/>
      <c r="B41" s="22"/>
      <c r="C41" s="22"/>
      <c r="D41" s="22"/>
      <c r="E41" s="22"/>
      <c r="F41" s="22"/>
      <c r="G41" s="22"/>
      <c r="H41" s="22"/>
      <c r="I41" s="22"/>
      <c r="J41" s="22"/>
      <c r="K41" s="22"/>
      <c r="L41" s="22"/>
      <c r="M41" s="22"/>
      <c r="N41" s="22"/>
    </row>
    <row r="42" spans="1:14" x14ac:dyDescent="0.25">
      <c r="A42" s="23"/>
      <c r="B42" s="23"/>
      <c r="C42" s="23"/>
      <c r="D42" s="23"/>
      <c r="E42" s="23"/>
      <c r="F42" s="23"/>
      <c r="G42" s="23"/>
      <c r="H42" s="23"/>
      <c r="I42" s="23"/>
      <c r="J42" s="23"/>
      <c r="K42" s="23"/>
      <c r="L42" s="23"/>
      <c r="M42" s="23"/>
      <c r="N42" s="23"/>
    </row>
    <row r="43" spans="1:14" x14ac:dyDescent="0.25">
      <c r="A43" s="19"/>
      <c r="B43" s="19"/>
      <c r="C43" s="19"/>
      <c r="D43" s="19"/>
      <c r="E43" s="19"/>
      <c r="F43" s="19"/>
      <c r="G43" s="19"/>
      <c r="H43" s="19"/>
      <c r="I43" s="19"/>
      <c r="J43" s="19"/>
      <c r="K43" s="19"/>
      <c r="L43" s="19"/>
      <c r="M43" s="19"/>
      <c r="N43" s="19"/>
    </row>
    <row r="44" spans="1:14" x14ac:dyDescent="0.25">
      <c r="A44" s="48" t="s">
        <v>1014</v>
      </c>
      <c r="B44" s="49"/>
      <c r="C44" s="49"/>
      <c r="D44" s="49"/>
      <c r="E44" s="49"/>
      <c r="F44" s="49"/>
      <c r="G44" s="49"/>
      <c r="H44" s="49"/>
      <c r="I44" s="49"/>
      <c r="J44" s="49"/>
      <c r="K44" s="49"/>
      <c r="L44" s="49"/>
      <c r="M44" s="49"/>
      <c r="N44" s="49"/>
    </row>
    <row r="45" spans="1:14" ht="15.75" x14ac:dyDescent="0.25">
      <c r="A45" s="26" t="s">
        <v>0</v>
      </c>
      <c r="B45" s="26" t="s">
        <v>1</v>
      </c>
      <c r="C45" s="26" t="s">
        <v>1004</v>
      </c>
      <c r="D45" s="26" t="s">
        <v>1005</v>
      </c>
      <c r="E45" s="26" t="s">
        <v>976</v>
      </c>
      <c r="F45" s="26" t="s">
        <v>1006</v>
      </c>
      <c r="G45" s="25"/>
      <c r="H45" s="50" t="s">
        <v>1019</v>
      </c>
      <c r="I45" s="51"/>
      <c r="J45" s="51"/>
      <c r="K45" s="51"/>
      <c r="L45" s="51"/>
      <c r="M45" s="51"/>
      <c r="N45" s="51"/>
    </row>
    <row r="46" spans="1:14" ht="15.75" x14ac:dyDescent="0.25">
      <c r="A46" s="33" t="str">
        <f>'Helper Sheet'!H50</f>
        <v>Finance</v>
      </c>
      <c r="B46" s="33" t="str">
        <f>'Helper Sheet'!I50</f>
        <v>Hyderabad</v>
      </c>
      <c r="C46" s="27">
        <f>'Helper Sheet'!J50</f>
        <v>128885.24137931035</v>
      </c>
      <c r="D46" s="27">
        <f>'Helper Sheet'!K50</f>
        <v>5944.8275862068967</v>
      </c>
      <c r="E46" s="28">
        <f>'Helper Sheet'!L50</f>
        <v>29</v>
      </c>
      <c r="F46" s="29">
        <f>'Helper Sheet'!M50</f>
        <v>0.34482758620689657</v>
      </c>
      <c r="G46" s="25"/>
      <c r="H46" s="51"/>
      <c r="I46" s="51"/>
      <c r="J46" s="51"/>
      <c r="K46" s="51"/>
      <c r="L46" s="51"/>
      <c r="M46" s="51"/>
      <c r="N46" s="51"/>
    </row>
    <row r="47" spans="1:14" ht="15.75" x14ac:dyDescent="0.25">
      <c r="A47" s="33" t="str">
        <f>'Helper Sheet'!H51</f>
        <v>Sales</v>
      </c>
      <c r="B47" s="33" t="str">
        <f>'Helper Sheet'!I51</f>
        <v>Gurugram</v>
      </c>
      <c r="C47" s="27">
        <f>'Helper Sheet'!J51</f>
        <v>134835.56</v>
      </c>
      <c r="D47" s="27">
        <f>'Helper Sheet'!K51</f>
        <v>6062</v>
      </c>
      <c r="E47" s="28">
        <f>'Helper Sheet'!L51</f>
        <v>25</v>
      </c>
      <c r="F47" s="29">
        <f>'Helper Sheet'!M51</f>
        <v>0.32</v>
      </c>
      <c r="G47" s="25"/>
      <c r="H47" s="51"/>
      <c r="I47" s="51"/>
      <c r="J47" s="51"/>
      <c r="K47" s="51"/>
      <c r="L47" s="51"/>
      <c r="M47" s="51"/>
      <c r="N47" s="51"/>
    </row>
    <row r="48" spans="1:14" ht="15.75" x14ac:dyDescent="0.25">
      <c r="A48" s="33" t="str">
        <f>'Helper Sheet'!H52</f>
        <v>Operations</v>
      </c>
      <c r="B48" s="33" t="str">
        <f>'Helper Sheet'!I52</f>
        <v>Hyderabad</v>
      </c>
      <c r="C48" s="27">
        <f>'Helper Sheet'!J52</f>
        <v>130724.80769230769</v>
      </c>
      <c r="D48" s="27">
        <f>'Helper Sheet'!K52</f>
        <v>5475</v>
      </c>
      <c r="E48" s="28">
        <f>'Helper Sheet'!L52</f>
        <v>26</v>
      </c>
      <c r="F48" s="29">
        <f>'Helper Sheet'!M52</f>
        <v>0.30769230769230771</v>
      </c>
      <c r="G48" s="25"/>
      <c r="H48" s="51"/>
      <c r="I48" s="51"/>
      <c r="J48" s="51"/>
      <c r="K48" s="51"/>
      <c r="L48" s="51"/>
      <c r="M48" s="51"/>
      <c r="N48" s="51"/>
    </row>
    <row r="49" spans="1:14" ht="15.75" x14ac:dyDescent="0.25">
      <c r="A49" s="33" t="str">
        <f>'Helper Sheet'!H53</f>
        <v>Sales</v>
      </c>
      <c r="B49" s="33" t="str">
        <f>'Helper Sheet'!I53</f>
        <v>Noida</v>
      </c>
      <c r="C49" s="27">
        <f>'Helper Sheet'!J53</f>
        <v>110101.08333333333</v>
      </c>
      <c r="D49" s="27">
        <f>'Helper Sheet'!K53</f>
        <v>5293.75</v>
      </c>
      <c r="E49" s="28">
        <f>'Helper Sheet'!L53</f>
        <v>24</v>
      </c>
      <c r="F49" s="29">
        <f>'Helper Sheet'!M53</f>
        <v>0.29166666666666669</v>
      </c>
      <c r="G49" s="25"/>
      <c r="H49" s="51"/>
      <c r="I49" s="51"/>
      <c r="J49" s="51"/>
      <c r="K49" s="51"/>
      <c r="L49" s="51"/>
      <c r="M49" s="51"/>
      <c r="N49" s="51"/>
    </row>
    <row r="50" spans="1:14" ht="15.75" x14ac:dyDescent="0.25">
      <c r="A50" s="33" t="str">
        <f>'Helper Sheet'!H54</f>
        <v>HR</v>
      </c>
      <c r="B50" s="33" t="str">
        <f>'Helper Sheet'!I54</f>
        <v>Bengaluru</v>
      </c>
      <c r="C50" s="27">
        <f>'Helper Sheet'!J54</f>
        <v>131595.94736842104</v>
      </c>
      <c r="D50" s="27">
        <f>'Helper Sheet'!K54</f>
        <v>5489.4736842105267</v>
      </c>
      <c r="E50" s="28">
        <f>'Helper Sheet'!L54</f>
        <v>19</v>
      </c>
      <c r="F50" s="29">
        <f>'Helper Sheet'!M54</f>
        <v>0.26315789473684209</v>
      </c>
      <c r="G50" s="25"/>
      <c r="H50" s="51"/>
      <c r="I50" s="51"/>
      <c r="J50" s="51"/>
      <c r="K50" s="51"/>
      <c r="L50" s="51"/>
      <c r="M50" s="51"/>
      <c r="N50" s="51"/>
    </row>
    <row r="51" spans="1:14" ht="15.75" x14ac:dyDescent="0.25">
      <c r="A51" s="34" t="str">
        <f>'Helper Sheet'!H55</f>
        <v>Operations</v>
      </c>
      <c r="B51" s="34" t="str">
        <f>'Helper Sheet'!I55</f>
        <v>Gurugram</v>
      </c>
      <c r="C51" s="30">
        <f>'Helper Sheet'!J55</f>
        <v>117910.11111111111</v>
      </c>
      <c r="D51" s="30">
        <f>'Helper Sheet'!K55</f>
        <v>5490.7407407407409</v>
      </c>
      <c r="E51" s="31">
        <f>'Helper Sheet'!L55</f>
        <v>27</v>
      </c>
      <c r="F51" s="32">
        <f>'Helper Sheet'!M55</f>
        <v>0.25925925925925924</v>
      </c>
      <c r="G51" s="25"/>
      <c r="H51" s="51"/>
      <c r="I51" s="51"/>
      <c r="J51" s="51"/>
      <c r="K51" s="51"/>
      <c r="L51" s="51"/>
      <c r="M51" s="51"/>
      <c r="N51" s="51"/>
    </row>
    <row r="52" spans="1:14" x14ac:dyDescent="0.25">
      <c r="A52" s="22"/>
      <c r="B52" s="22"/>
      <c r="C52" s="22"/>
      <c r="D52" s="22"/>
      <c r="E52" s="22"/>
      <c r="F52" s="22"/>
      <c r="G52" s="22"/>
      <c r="H52" s="22"/>
      <c r="I52" s="22"/>
      <c r="J52" s="22"/>
      <c r="K52" s="22"/>
      <c r="L52" s="22"/>
      <c r="M52" s="22"/>
      <c r="N52" s="22"/>
    </row>
    <row r="53" spans="1:14" x14ac:dyDescent="0.25">
      <c r="A53" s="22"/>
      <c r="B53" s="22"/>
      <c r="C53" s="22"/>
      <c r="D53" s="22"/>
      <c r="E53" s="22"/>
      <c r="F53" s="22"/>
      <c r="G53" s="22"/>
      <c r="H53" s="22"/>
      <c r="I53" s="22"/>
      <c r="J53" s="22"/>
      <c r="K53" s="22"/>
      <c r="L53" s="22"/>
      <c r="M53" s="22"/>
      <c r="N53" s="22"/>
    </row>
    <row r="54" spans="1:14" x14ac:dyDescent="0.25">
      <c r="A54" s="23"/>
      <c r="B54" s="23"/>
      <c r="C54" s="23"/>
      <c r="D54" s="23"/>
      <c r="E54" s="23"/>
      <c r="F54" s="23"/>
      <c r="G54" s="23"/>
      <c r="H54" s="23"/>
      <c r="I54" s="23"/>
      <c r="J54" s="23"/>
      <c r="K54" s="23"/>
      <c r="L54" s="23"/>
      <c r="M54" s="23"/>
      <c r="N54" s="23"/>
    </row>
    <row r="55" spans="1:14" x14ac:dyDescent="0.25">
      <c r="A55" s="19"/>
      <c r="B55" s="19"/>
      <c r="C55" s="19"/>
      <c r="D55" s="19"/>
      <c r="E55" s="19"/>
      <c r="F55" s="19"/>
      <c r="G55" s="19"/>
      <c r="H55" s="19"/>
      <c r="I55" s="19"/>
      <c r="J55" s="19"/>
      <c r="K55" s="19"/>
      <c r="L55" s="19"/>
      <c r="M55" s="19"/>
      <c r="N55" s="19"/>
    </row>
    <row r="56" spans="1:14" x14ac:dyDescent="0.25">
      <c r="A56" s="48" t="s">
        <v>1015</v>
      </c>
      <c r="B56" s="49"/>
      <c r="C56" s="49"/>
      <c r="D56" s="49"/>
      <c r="E56" s="49"/>
      <c r="F56" s="49"/>
      <c r="G56" s="49"/>
      <c r="H56" s="49"/>
      <c r="I56" s="49"/>
      <c r="J56" s="49"/>
      <c r="K56" s="49"/>
      <c r="L56" s="49"/>
      <c r="M56" s="49"/>
      <c r="N56" s="49"/>
    </row>
    <row r="57" spans="1:14" x14ac:dyDescent="0.25">
      <c r="A57" s="52" t="s">
        <v>1016</v>
      </c>
      <c r="B57" s="51"/>
      <c r="C57" s="51"/>
      <c r="D57" s="51"/>
      <c r="E57" s="51"/>
      <c r="F57" s="51"/>
      <c r="G57" s="51"/>
      <c r="H57" s="51"/>
      <c r="I57" s="51"/>
      <c r="J57" s="51"/>
      <c r="K57" s="51"/>
      <c r="L57" s="51"/>
      <c r="M57" s="51"/>
      <c r="N57" s="51"/>
    </row>
    <row r="58" spans="1:14" x14ac:dyDescent="0.25">
      <c r="A58" s="51"/>
      <c r="B58" s="51"/>
      <c r="C58" s="51"/>
      <c r="D58" s="51"/>
      <c r="E58" s="51"/>
      <c r="F58" s="51"/>
      <c r="G58" s="51"/>
      <c r="H58" s="51"/>
      <c r="I58" s="51"/>
      <c r="J58" s="51"/>
      <c r="K58" s="51"/>
      <c r="L58" s="51"/>
      <c r="M58" s="51"/>
      <c r="N58" s="51"/>
    </row>
    <row r="59" spans="1:14" x14ac:dyDescent="0.25">
      <c r="A59" s="51"/>
      <c r="B59" s="51"/>
      <c r="C59" s="51"/>
      <c r="D59" s="51"/>
      <c r="E59" s="51"/>
      <c r="F59" s="51"/>
      <c r="G59" s="51"/>
      <c r="H59" s="51"/>
      <c r="I59" s="51"/>
      <c r="J59" s="51"/>
      <c r="K59" s="51"/>
      <c r="L59" s="51"/>
      <c r="M59" s="51"/>
      <c r="N59" s="51"/>
    </row>
    <row r="60" spans="1:14" x14ac:dyDescent="0.25">
      <c r="A60" s="23"/>
      <c r="B60" s="23"/>
      <c r="C60" s="23"/>
      <c r="D60" s="23"/>
      <c r="E60" s="23"/>
      <c r="F60" s="23"/>
      <c r="G60" s="23"/>
      <c r="H60" s="23"/>
      <c r="I60" s="23"/>
      <c r="J60" s="23"/>
      <c r="K60" s="23"/>
      <c r="L60" s="23"/>
      <c r="M60" s="23"/>
      <c r="N60" s="23"/>
    </row>
  </sheetData>
  <mergeCells count="19">
    <mergeCell ref="A1:N1"/>
    <mergeCell ref="A2:N2"/>
    <mergeCell ref="J3:N3"/>
    <mergeCell ref="A5:C5"/>
    <mergeCell ref="A6:C8"/>
    <mergeCell ref="D5:F5"/>
    <mergeCell ref="D6:F8"/>
    <mergeCell ref="G5:I5"/>
    <mergeCell ref="G6:I8"/>
    <mergeCell ref="A44:N44"/>
    <mergeCell ref="A56:N56"/>
    <mergeCell ref="H45:N51"/>
    <mergeCell ref="A57:N59"/>
    <mergeCell ref="J5:L5"/>
    <mergeCell ref="J6:L8"/>
    <mergeCell ref="A10:G10"/>
    <mergeCell ref="H10:N10"/>
    <mergeCell ref="A27:G27"/>
    <mergeCell ref="H27:N27"/>
  </mergeCells>
  <dataValidations count="3">
    <dataValidation type="list" allowBlank="1" showInputMessage="1" showErrorMessage="1" sqref="B3" xr:uid="{22C91D77-8D7B-40D7-9DDA-1B9468C254DC}">
      <formula1>"All,Bengaluru,Gurugram,Hyderabad,Noida"</formula1>
    </dataValidation>
    <dataValidation type="list" allowBlank="1" showInputMessage="1" showErrorMessage="1" sqref="D3" xr:uid="{E5B105D7-AF78-482E-A921-3D0CB71C422F}">
      <formula1>"All,Female,Male,Transgender"</formula1>
    </dataValidation>
    <dataValidation type="list" allowBlank="1" showInputMessage="1" showErrorMessage="1" sqref="F3" xr:uid="{C7C3E977-DB07-40CC-ABE9-4A96C1092CD9}">
      <formula1>"All,Finance,HR,Operations,Sales,Tech"</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C372-17B8-4AA9-83F8-17924AEEADE5}">
  <dimension ref="A1:M69"/>
  <sheetViews>
    <sheetView workbookViewId="0">
      <selection activeCell="P1" sqref="P1:R1048576"/>
    </sheetView>
  </sheetViews>
  <sheetFormatPr defaultRowHeight="15" x14ac:dyDescent="0.25"/>
  <cols>
    <col min="1" max="1" width="13.28515625" bestFit="1" customWidth="1"/>
    <col min="2" max="2" width="12.7109375" bestFit="1" customWidth="1"/>
    <col min="3" max="3" width="12.28515625" bestFit="1" customWidth="1"/>
    <col min="4" max="4" width="12.42578125" bestFit="1" customWidth="1"/>
    <col min="5" max="5" width="16" bestFit="1" customWidth="1"/>
    <col min="6" max="6" width="12.42578125" bestFit="1" customWidth="1"/>
    <col min="8" max="8" width="11.28515625" bestFit="1" customWidth="1"/>
    <col min="9" max="9" width="8.5703125" bestFit="1" customWidth="1"/>
    <col min="10" max="10" width="9.85546875" bestFit="1" customWidth="1"/>
    <col min="11" max="11" width="12.42578125" bestFit="1" customWidth="1"/>
    <col min="12" max="12" width="10.5703125" bestFit="1" customWidth="1"/>
    <col min="13" max="13" width="11.42578125" bestFit="1" customWidth="1"/>
  </cols>
  <sheetData>
    <row r="1" spans="1:6" x14ac:dyDescent="0.25">
      <c r="A1" t="s">
        <v>996</v>
      </c>
      <c r="B1" t="s">
        <v>997</v>
      </c>
      <c r="C1" t="s">
        <v>998</v>
      </c>
      <c r="D1" t="s">
        <v>999</v>
      </c>
      <c r="E1" t="s">
        <v>1000</v>
      </c>
      <c r="F1" t="s">
        <v>1001</v>
      </c>
    </row>
    <row r="2" spans="1:6" x14ac:dyDescent="0.25">
      <c r="A2" t="s">
        <v>1002</v>
      </c>
      <c r="B2" t="s">
        <v>1002</v>
      </c>
      <c r="C2" t="s">
        <v>1002</v>
      </c>
      <c r="D2" t="s">
        <v>5</v>
      </c>
      <c r="E2" t="s">
        <v>6</v>
      </c>
      <c r="F2" t="s">
        <v>939</v>
      </c>
    </row>
    <row r="3" spans="1:6" x14ac:dyDescent="0.25">
      <c r="A3" t="s">
        <v>13</v>
      </c>
      <c r="B3" t="s">
        <v>23</v>
      </c>
      <c r="C3" t="s">
        <v>3</v>
      </c>
      <c r="D3" t="s">
        <v>10</v>
      </c>
      <c r="E3" t="s">
        <v>16</v>
      </c>
      <c r="F3" t="s">
        <v>938</v>
      </c>
    </row>
    <row r="4" spans="1:6" x14ac:dyDescent="0.25">
      <c r="A4" t="s">
        <v>9</v>
      </c>
      <c r="B4" t="s">
        <v>24</v>
      </c>
      <c r="C4" t="s">
        <v>12</v>
      </c>
      <c r="D4" t="s">
        <v>17</v>
      </c>
      <c r="E4" t="s">
        <v>19</v>
      </c>
      <c r="F4" t="s">
        <v>940</v>
      </c>
    </row>
    <row r="5" spans="1:6" x14ac:dyDescent="0.25">
      <c r="A5" t="s">
        <v>7</v>
      </c>
      <c r="B5" t="s">
        <v>25</v>
      </c>
      <c r="C5" t="s">
        <v>8</v>
      </c>
      <c r="F5" t="s">
        <v>941</v>
      </c>
    </row>
    <row r="6" spans="1:6" x14ac:dyDescent="0.25">
      <c r="A6" t="s">
        <v>4</v>
      </c>
      <c r="C6" t="s">
        <v>14</v>
      </c>
    </row>
    <row r="7" spans="1:6" x14ac:dyDescent="0.25">
      <c r="C7" t="s">
        <v>11</v>
      </c>
    </row>
    <row r="11" spans="1:6" x14ac:dyDescent="0.25">
      <c r="A11" t="s">
        <v>0</v>
      </c>
      <c r="B11" t="s">
        <v>13</v>
      </c>
      <c r="C11" t="s">
        <v>9</v>
      </c>
      <c r="D11" t="s">
        <v>7</v>
      </c>
      <c r="E11" t="s">
        <v>4</v>
      </c>
    </row>
    <row r="12" spans="1:6" x14ac:dyDescent="0.25">
      <c r="A12" t="s">
        <v>3</v>
      </c>
      <c r="B12">
        <f>IF(OR('Rewards Dashboard'!$B$3="All",'Rewards Dashboard'!$B$3=B$11),IF(OR('Rewards Dashboard'!$F$3="All",'Rewards Dashboard'!$F$3=$A12),IFERROR(AVERAGEIFS('Employee Data'!$I$2:$I$493,'Employee Data'!$D$2:$D$493,$A12,'Employee Data'!$E$2:$E$493,B$11,'Employee Data'!$C$2:$C$493,IF('Rewards Dashboard'!$D$3="All","*",'Rewards Dashboard'!$D$3)),NA()),NA()),NA())</f>
        <v>4927.272727272727</v>
      </c>
      <c r="C12">
        <f>IF(OR('Rewards Dashboard'!$B$3="All",'Rewards Dashboard'!$B$3=C$11),IF(OR('Rewards Dashboard'!$F$3="All",'Rewards Dashboard'!$F$3=$A12),IFERROR(AVERAGEIFS('Employee Data'!$I$2:$I$493,'Employee Data'!$D$2:$D$493,$A12,'Employee Data'!$E$2:$E$493,C$11,'Employee Data'!$C$2:$C$493,IF('Rewards Dashboard'!$D$3="All","*",'Rewards Dashboard'!$D$3)),NA()),NA()),NA())</f>
        <v>5190.909090909091</v>
      </c>
      <c r="D12">
        <f>IF(OR('Rewards Dashboard'!$B$3="All",'Rewards Dashboard'!$B$3=D$11),IF(OR('Rewards Dashboard'!$F$3="All",'Rewards Dashboard'!$F$3=$A12),IFERROR(AVERAGEIFS('Employee Data'!$I$2:$I$493,'Employee Data'!$D$2:$D$493,$A12,'Employee Data'!$E$2:$E$493,D$11,'Employee Data'!$C$2:$C$493,IF('Rewards Dashboard'!$D$3="All","*",'Rewards Dashboard'!$D$3)),NA()),NA()),NA())</f>
        <v>5944.8275862068967</v>
      </c>
      <c r="E12">
        <f>IF(OR('Rewards Dashboard'!$B$3="All",'Rewards Dashboard'!$B$3=E$11),IF(OR('Rewards Dashboard'!$F$3="All",'Rewards Dashboard'!$F$3=$A12),IFERROR(AVERAGEIFS('Employee Data'!$I$2:$I$493,'Employee Data'!$D$2:$D$493,$A12,'Employee Data'!$E$2:$E$493,E$11,'Employee Data'!$C$2:$C$493,IF('Rewards Dashboard'!$D$3="All","*",'Rewards Dashboard'!$D$3)),NA()),NA()),NA())</f>
        <v>5785.416666666667</v>
      </c>
    </row>
    <row r="13" spans="1:6" x14ac:dyDescent="0.25">
      <c r="A13" t="s">
        <v>12</v>
      </c>
      <c r="B13">
        <f>IF(OR('Rewards Dashboard'!$B$3="All",'Rewards Dashboard'!$B$3=B$11),IF(OR('Rewards Dashboard'!$F$3="All",'Rewards Dashboard'!$F$3=$A13),IFERROR(AVERAGEIFS('Employee Data'!$I$2:$I$493,'Employee Data'!$D$2:$D$493,$A13,'Employee Data'!$E$2:$E$493,B$11,'Employee Data'!$C$2:$C$493,IF('Rewards Dashboard'!$D$3="All","*",'Rewards Dashboard'!$D$3)),NA()),NA()),NA())</f>
        <v>5489.4736842105267</v>
      </c>
      <c r="C13">
        <f>IF(OR('Rewards Dashboard'!$B$3="All",'Rewards Dashboard'!$B$3=C$11),IF(OR('Rewards Dashboard'!$F$3="All",'Rewards Dashboard'!$F$3=$A13),IFERROR(AVERAGEIFS('Employee Data'!$I$2:$I$493,'Employee Data'!$D$2:$D$493,$A13,'Employee Data'!$E$2:$E$493,C$11,'Employee Data'!$C$2:$C$493,IF('Rewards Dashboard'!$D$3="All","*",'Rewards Dashboard'!$D$3)),NA()),NA()),NA())</f>
        <v>5064.2857142857147</v>
      </c>
      <c r="D13">
        <f>IF(OR('Rewards Dashboard'!$B$3="All",'Rewards Dashboard'!$B$3=D$11),IF(OR('Rewards Dashboard'!$F$3="All",'Rewards Dashboard'!$F$3=$A13),IFERROR(AVERAGEIFS('Employee Data'!$I$2:$I$493,'Employee Data'!$D$2:$D$493,$A13,'Employee Data'!$E$2:$E$493,D$11,'Employee Data'!$C$2:$C$493,IF('Rewards Dashboard'!$D$3="All","*",'Rewards Dashboard'!$D$3)),NA()),NA()),NA())</f>
        <v>4819.2307692307695</v>
      </c>
      <c r="E13">
        <f>IF(OR('Rewards Dashboard'!$B$3="All",'Rewards Dashboard'!$B$3=E$11),IF(OR('Rewards Dashboard'!$F$3="All",'Rewards Dashboard'!$F$3=$A13),IFERROR(AVERAGEIFS('Employee Data'!$I$2:$I$493,'Employee Data'!$D$2:$D$493,$A13,'Employee Data'!$E$2:$E$493,E$11,'Employee Data'!$C$2:$C$493,IF('Rewards Dashboard'!$D$3="All","*",'Rewards Dashboard'!$D$3)),NA()),NA()),NA())</f>
        <v>4577.272727272727</v>
      </c>
    </row>
    <row r="14" spans="1:6" x14ac:dyDescent="0.25">
      <c r="A14" t="s">
        <v>8</v>
      </c>
      <c r="B14">
        <f>IF(OR('Rewards Dashboard'!$B$3="All",'Rewards Dashboard'!$B$3=B$11),IF(OR('Rewards Dashboard'!$F$3="All",'Rewards Dashboard'!$F$3=$A14),IFERROR(AVERAGEIFS('Employee Data'!$I$2:$I$493,'Employee Data'!$D$2:$D$493,$A14,'Employee Data'!$E$2:$E$493,B$11,'Employee Data'!$C$2:$C$493,IF('Rewards Dashboard'!$D$3="All","*",'Rewards Dashboard'!$D$3)),NA()),NA()),NA())</f>
        <v>4192.105263157895</v>
      </c>
      <c r="C14">
        <f>IF(OR('Rewards Dashboard'!$B$3="All",'Rewards Dashboard'!$B$3=C$11),IF(OR('Rewards Dashboard'!$F$3="All",'Rewards Dashboard'!$F$3=$A14),IFERROR(AVERAGEIFS('Employee Data'!$I$2:$I$493,'Employee Data'!$D$2:$D$493,$A14,'Employee Data'!$E$2:$E$493,C$11,'Employee Data'!$C$2:$C$493,IF('Rewards Dashboard'!$D$3="All","*",'Rewards Dashboard'!$D$3)),NA()),NA()),NA())</f>
        <v>5490.7407407407409</v>
      </c>
      <c r="D14">
        <f>IF(OR('Rewards Dashboard'!$B$3="All",'Rewards Dashboard'!$B$3=D$11),IF(OR('Rewards Dashboard'!$F$3="All",'Rewards Dashboard'!$F$3=$A14),IFERROR(AVERAGEIFS('Employee Data'!$I$2:$I$493,'Employee Data'!$D$2:$D$493,$A14,'Employee Data'!$E$2:$E$493,D$11,'Employee Data'!$C$2:$C$493,IF('Rewards Dashboard'!$D$3="All","*",'Rewards Dashboard'!$D$3)),NA()),NA()),NA())</f>
        <v>5475</v>
      </c>
      <c r="E14">
        <f>IF(OR('Rewards Dashboard'!$B$3="All",'Rewards Dashboard'!$B$3=E$11),IF(OR('Rewards Dashboard'!$F$3="All",'Rewards Dashboard'!$F$3=$A14),IFERROR(AVERAGEIFS('Employee Data'!$I$2:$I$493,'Employee Data'!$D$2:$D$493,$A14,'Employee Data'!$E$2:$E$493,E$11,'Employee Data'!$C$2:$C$493,IF('Rewards Dashboard'!$D$3="All","*",'Rewards Dashboard'!$D$3)),NA()),NA()),NA())</f>
        <v>5140</v>
      </c>
    </row>
    <row r="15" spans="1:6" x14ac:dyDescent="0.25">
      <c r="A15" t="s">
        <v>14</v>
      </c>
      <c r="B15">
        <f>IF(OR('Rewards Dashboard'!$B$3="All",'Rewards Dashboard'!$B$3=B$11),IF(OR('Rewards Dashboard'!$F$3="All",'Rewards Dashboard'!$F$3=$A15),IFERROR(AVERAGEIFS('Employee Data'!$I$2:$I$493,'Employee Data'!$D$2:$D$493,$A15,'Employee Data'!$E$2:$E$493,B$11,'Employee Data'!$C$2:$C$493,IF('Rewards Dashboard'!$D$3="All","*",'Rewards Dashboard'!$D$3)),NA()),NA()),NA())</f>
        <v>5430</v>
      </c>
      <c r="C15">
        <f>IF(OR('Rewards Dashboard'!$B$3="All",'Rewards Dashboard'!$B$3=C$11),IF(OR('Rewards Dashboard'!$F$3="All",'Rewards Dashboard'!$F$3=$A15),IFERROR(AVERAGEIFS('Employee Data'!$I$2:$I$493,'Employee Data'!$D$2:$D$493,$A15,'Employee Data'!$E$2:$E$493,C$11,'Employee Data'!$C$2:$C$493,IF('Rewards Dashboard'!$D$3="All","*",'Rewards Dashboard'!$D$3)),NA()),NA()),NA())</f>
        <v>6062</v>
      </c>
      <c r="D15">
        <f>IF(OR('Rewards Dashboard'!$B$3="All",'Rewards Dashboard'!$B$3=D$11),IF(OR('Rewards Dashboard'!$F$3="All",'Rewards Dashboard'!$F$3=$A15),IFERROR(AVERAGEIFS('Employee Data'!$I$2:$I$493,'Employee Data'!$D$2:$D$493,$A15,'Employee Data'!$E$2:$E$493,D$11,'Employee Data'!$C$2:$C$493,IF('Rewards Dashboard'!$D$3="All","*",'Rewards Dashboard'!$D$3)),NA()),NA()),NA())</f>
        <v>5268.5714285714284</v>
      </c>
      <c r="E15">
        <f>IF(OR('Rewards Dashboard'!$B$3="All",'Rewards Dashboard'!$B$3=E$11),IF(OR('Rewards Dashboard'!$F$3="All",'Rewards Dashboard'!$F$3=$A15),IFERROR(AVERAGEIFS('Employee Data'!$I$2:$I$493,'Employee Data'!$D$2:$D$493,$A15,'Employee Data'!$E$2:$E$493,E$11,'Employee Data'!$C$2:$C$493,IF('Rewards Dashboard'!$D$3="All","*",'Rewards Dashboard'!$D$3)),NA()),NA()),NA())</f>
        <v>5293.75</v>
      </c>
    </row>
    <row r="16" spans="1:6" x14ac:dyDescent="0.25">
      <c r="A16" t="s">
        <v>11</v>
      </c>
      <c r="B16">
        <f>IF(OR('Rewards Dashboard'!$B$3="All",'Rewards Dashboard'!$B$3=B$11),IF(OR('Rewards Dashboard'!$F$3="All",'Rewards Dashboard'!$F$3=$A16),IFERROR(AVERAGEIFS('Employee Data'!$I$2:$I$493,'Employee Data'!$D$2:$D$493,$A16,'Employee Data'!$E$2:$E$493,B$11,'Employee Data'!$C$2:$C$493,IF('Rewards Dashboard'!$D$3="All","*",'Rewards Dashboard'!$D$3)),NA()),NA()),NA())</f>
        <v>5174</v>
      </c>
      <c r="C16">
        <f>IF(OR('Rewards Dashboard'!$B$3="All",'Rewards Dashboard'!$B$3=C$11),IF(OR('Rewards Dashboard'!$F$3="All",'Rewards Dashboard'!$F$3=$A16),IFERROR(AVERAGEIFS('Employee Data'!$I$2:$I$493,'Employee Data'!$D$2:$D$493,$A16,'Employee Data'!$E$2:$E$493,C$11,'Employee Data'!$C$2:$C$493,IF('Rewards Dashboard'!$D$3="All","*",'Rewards Dashboard'!$D$3)),NA()),NA()),NA())</f>
        <v>5066</v>
      </c>
      <c r="D16">
        <f>IF(OR('Rewards Dashboard'!$B$3="All",'Rewards Dashboard'!$B$3=D$11),IF(OR('Rewards Dashboard'!$F$3="All",'Rewards Dashboard'!$F$3=$A16),IFERROR(AVERAGEIFS('Employee Data'!$I$2:$I$493,'Employee Data'!$D$2:$D$493,$A16,'Employee Data'!$E$2:$E$493,D$11,'Employee Data'!$C$2:$C$493,IF('Rewards Dashboard'!$D$3="All","*",'Rewards Dashboard'!$D$3)),NA()),NA()),NA())</f>
        <v>4591.666666666667</v>
      </c>
      <c r="E16">
        <f>IF(OR('Rewards Dashboard'!$B$3="All",'Rewards Dashboard'!$B$3=E$11),IF(OR('Rewards Dashboard'!$F$3="All",'Rewards Dashboard'!$F$3=$A16),IFERROR(AVERAGEIFS('Employee Data'!$I$2:$I$493,'Employee Data'!$D$2:$D$493,$A16,'Employee Data'!$E$2:$E$493,E$11,'Employee Data'!$C$2:$C$493,IF('Rewards Dashboard'!$D$3="All","*",'Rewards Dashboard'!$D$3)),NA()),NA()),NA())</f>
        <v>5511.1111111111113</v>
      </c>
    </row>
    <row r="21" spans="1:2" x14ac:dyDescent="0.25">
      <c r="A21" t="s">
        <v>15</v>
      </c>
      <c r="B21" t="s">
        <v>976</v>
      </c>
    </row>
    <row r="22" spans="1:2" x14ac:dyDescent="0.25">
      <c r="A22" t="s">
        <v>5</v>
      </c>
      <c r="B22" cm="1">
        <f t="array" ref="B22">SUMPRODUCT(--('Employee Data'!$A$2:$A$493&lt;&gt;""),--(('Rewards Dashboard'!$B$3="All")+('Employee Data'!$E$2:$E$493='Rewards Dashboard'!$B$3)&gt;0),--(('Rewards Dashboard'!$D$3="All")+('Employee Data'!$C$2:$C$493='Rewards Dashboard'!$D$3)&gt;0),--(('Rewards Dashboard'!$F$3="All")+('Employee Data'!$D$2:$D$493='Rewards Dashboard'!$F$3)&gt;0),--('Employee Data'!$H$2:$H$493=A22))</f>
        <v>59</v>
      </c>
    </row>
    <row r="23" spans="1:2" x14ac:dyDescent="0.25">
      <c r="A23" t="s">
        <v>10</v>
      </c>
      <c r="B23" cm="1">
        <f t="array" ref="B23">SUMPRODUCT(--('Employee Data'!$A$2:$A$493&lt;&gt;""),--(('Rewards Dashboard'!$B$3="All")+('Employee Data'!$E$2:$E$493='Rewards Dashboard'!$B$3)&gt;0),--(('Rewards Dashboard'!$D$3="All")+('Employee Data'!$C$2:$C$493='Rewards Dashboard'!$D$3)&gt;0),--(('Rewards Dashboard'!$F$3="All")+('Employee Data'!$D$2:$D$493='Rewards Dashboard'!$F$3)&gt;0),--('Employee Data'!$H$2:$H$493=A23))</f>
        <v>217</v>
      </c>
    </row>
    <row r="24" spans="1:2" x14ac:dyDescent="0.25">
      <c r="A24" t="s">
        <v>17</v>
      </c>
      <c r="B24" cm="1">
        <f t="array" ref="B24">SUMPRODUCT(--('Employee Data'!$A$2:$A$493&lt;&gt;""),--(('Rewards Dashboard'!$B$3="All")+('Employee Data'!$E$2:$E$493='Rewards Dashboard'!$B$3)&gt;0),--(('Rewards Dashboard'!$D$3="All")+('Employee Data'!$C$2:$C$493='Rewards Dashboard'!$D$3)&gt;0),--(('Rewards Dashboard'!$F$3="All")+('Employee Data'!$D$2:$D$493='Rewards Dashboard'!$F$3)&gt;0),--('Employee Data'!$H$2:$H$493=A24))</f>
        <v>216</v>
      </c>
    </row>
    <row r="29" spans="1:2" x14ac:dyDescent="0.25">
      <c r="A29" t="s">
        <v>0</v>
      </c>
      <c r="B29" t="s">
        <v>976</v>
      </c>
    </row>
    <row r="30" spans="1:2" x14ac:dyDescent="0.25">
      <c r="A30" t="s">
        <v>3</v>
      </c>
      <c r="B30" cm="1">
        <f t="array" ref="B30">IF(OR('Rewards Dashboard'!$F$3="All",'Rewards Dashboard'!$F$3=A30),SUMPRODUCT(--('Employee Data'!$A$2:$A$493&lt;&gt;""),--(('Rewards Dashboard'!$B$3="All")+('Employee Data'!$E$2:$E$493='Rewards Dashboard'!$B$3)&gt;0),--(('Rewards Dashboard'!$D$3="All")+('Employee Data'!$C$2:$C$493='Rewards Dashboard'!$D$3)&gt;0),--('Employee Data'!$D$2:$D$493=A30)),NA())</f>
        <v>97</v>
      </c>
    </row>
    <row r="31" spans="1:2" x14ac:dyDescent="0.25">
      <c r="A31" t="s">
        <v>12</v>
      </c>
      <c r="B31" cm="1">
        <f t="array" ref="B31">IF(OR('Rewards Dashboard'!$F$3="All",'Rewards Dashboard'!$F$3=A31),SUMPRODUCT(--('Employee Data'!$A$2:$A$493&lt;&gt;""),--(('Rewards Dashboard'!$B$3="All")+('Employee Data'!$E$2:$E$493='Rewards Dashboard'!$B$3)&gt;0),--(('Rewards Dashboard'!$D$3="All")+('Employee Data'!$C$2:$C$493='Rewards Dashboard'!$D$3)&gt;0),--('Employee Data'!$D$2:$D$493=A31)),NA())</f>
        <v>88</v>
      </c>
    </row>
    <row r="32" spans="1:2" x14ac:dyDescent="0.25">
      <c r="A32" t="s">
        <v>8</v>
      </c>
      <c r="B32" cm="1">
        <f t="array" ref="B32">IF(OR('Rewards Dashboard'!$F$3="All",'Rewards Dashboard'!$F$3=A32),SUMPRODUCT(--('Employee Data'!$A$2:$A$493&lt;&gt;""),--(('Rewards Dashboard'!$B$3="All")+('Employee Data'!$E$2:$E$493='Rewards Dashboard'!$B$3)&gt;0),--(('Rewards Dashboard'!$D$3="All")+('Employee Data'!$C$2:$C$493='Rewards Dashboard'!$D$3)&gt;0),--('Employee Data'!$D$2:$D$493=A32)),NA())</f>
        <v>97</v>
      </c>
    </row>
    <row r="33" spans="1:2" x14ac:dyDescent="0.25">
      <c r="A33" t="s">
        <v>14</v>
      </c>
      <c r="B33" cm="1">
        <f t="array" ref="B33">IF(OR('Rewards Dashboard'!$F$3="All",'Rewards Dashboard'!$F$3=A33),SUMPRODUCT(--('Employee Data'!$A$2:$A$493&lt;&gt;""),--(('Rewards Dashboard'!$B$3="All")+('Employee Data'!$E$2:$E$493='Rewards Dashboard'!$B$3)&gt;0),--(('Rewards Dashboard'!$D$3="All")+('Employee Data'!$C$2:$C$493='Rewards Dashboard'!$D$3)&gt;0),--('Employee Data'!$D$2:$D$493=A33)),NA())</f>
        <v>109</v>
      </c>
    </row>
    <row r="34" spans="1:2" x14ac:dyDescent="0.25">
      <c r="A34" t="s">
        <v>11</v>
      </c>
      <c r="B34" cm="1">
        <f t="array" ref="B34">IF(OR('Rewards Dashboard'!$F$3="All",'Rewards Dashboard'!$F$3=A34),SUMPRODUCT(--('Employee Data'!$A$2:$A$493&lt;&gt;""),--(('Rewards Dashboard'!$B$3="All")+('Employee Data'!$E$2:$E$493='Rewards Dashboard'!$B$3)&gt;0),--(('Rewards Dashboard'!$D$3="All")+('Employee Data'!$C$2:$C$493='Rewards Dashboard'!$D$3)&gt;0),--('Employee Data'!$D$2:$D$493=A34)),NA())</f>
        <v>101</v>
      </c>
    </row>
    <row r="39" spans="1:2" x14ac:dyDescent="0.25">
      <c r="A39" t="s">
        <v>1003</v>
      </c>
      <c r="B39" t="s">
        <v>969</v>
      </c>
    </row>
    <row r="40" spans="1:2" x14ac:dyDescent="0.25">
      <c r="A40" t="str">
        <f>'Gender Pay Equity'!H12</f>
        <v>Junior</v>
      </c>
      <c r="B40">
        <f>'Gender Pay Equity'!K12</f>
        <v>2229.5478609625643</v>
      </c>
    </row>
    <row r="41" spans="1:2" x14ac:dyDescent="0.25">
      <c r="A41" t="str">
        <f>'Gender Pay Equity'!H13</f>
        <v>Lead</v>
      </c>
      <c r="B41">
        <f>'Gender Pay Equity'!K13</f>
        <v>-2672.5515051090915</v>
      </c>
    </row>
    <row r="42" spans="1:2" x14ac:dyDescent="0.25">
      <c r="A42" t="str">
        <f>'Gender Pay Equity'!H14</f>
        <v>Mid</v>
      </c>
      <c r="B42">
        <f>'Gender Pay Equity'!K14</f>
        <v>2277.3732095490705</v>
      </c>
    </row>
    <row r="43" spans="1:2" x14ac:dyDescent="0.25">
      <c r="A43" t="str">
        <f>'Gender Pay Equity'!H15</f>
        <v>Senior</v>
      </c>
      <c r="B43">
        <f>'Gender Pay Equity'!K15</f>
        <v>1553.5494535519101</v>
      </c>
    </row>
    <row r="49" spans="1:13" x14ac:dyDescent="0.25">
      <c r="A49" t="s">
        <v>0</v>
      </c>
      <c r="B49" t="s">
        <v>1</v>
      </c>
      <c r="C49" t="s">
        <v>1004</v>
      </c>
      <c r="D49" t="s">
        <v>1005</v>
      </c>
      <c r="E49" t="s">
        <v>976</v>
      </c>
      <c r="F49" t="s">
        <v>1006</v>
      </c>
      <c r="H49" t="s">
        <v>0</v>
      </c>
      <c r="I49" t="s">
        <v>1</v>
      </c>
      <c r="J49" t="s">
        <v>1004</v>
      </c>
      <c r="K49" t="s">
        <v>1005</v>
      </c>
      <c r="L49" t="s">
        <v>976</v>
      </c>
      <c r="M49" t="s">
        <v>1006</v>
      </c>
    </row>
    <row r="50" spans="1:13" x14ac:dyDescent="0.25">
      <c r="A50" t="s">
        <v>3</v>
      </c>
      <c r="B50" t="s">
        <v>13</v>
      </c>
      <c r="C50" cm="1">
        <f t="array" ref="C50">IFERROR(SUMPRODUCT('Employee Data'!$F$2:$F$493,--('Employee Data'!$A$2:$A$493&lt;&gt;""),--(('Rewards Dashboard'!$B$3="All")+('Employee Data'!$E$2:$E$493='Rewards Dashboard'!$B$3)&gt;0),--(('Rewards Dashboard'!$D$3="All")+('Employee Data'!$C$2:$C$493='Rewards Dashboard'!$D$3)&gt;0),--(('Rewards Dashboard'!$F$3="All")+('Employee Data'!$D$2:$D$493='Rewards Dashboard'!$F$3)&gt;0),--('Employee Data'!$D$2:$D$493=A50),--('Employee Data'!$E$2:$E$493=B50))/SUMPRODUCT(--('Employee Data'!$A$2:$A$493&lt;&gt;""),--(('Rewards Dashboard'!$B$3="All")+('Employee Data'!$E$2:$E$493='Rewards Dashboard'!$B$3)&gt;0),--(('Rewards Dashboard'!$D$3="All")+('Employee Data'!$C$2:$C$493='Rewards Dashboard'!$D$3)&gt;0),--(('Rewards Dashboard'!$F$3="All")+('Employee Data'!$D$2:$D$493='Rewards Dashboard'!$F$3)&gt;0),--('Employee Data'!$D$2:$D$493=A50),--('Employee Data'!$E$2:$E$493=B50)),0)</f>
        <v>115477.86363636363</v>
      </c>
      <c r="D50" cm="1">
        <f t="array" ref="D50">IFERROR(SUMPRODUCT('Employee Data'!$I$2:$I$493,--('Employee Data'!$A$2:$A$493&lt;&gt;""),--(('Rewards Dashboard'!$B$3="All")+('Employee Data'!$E$2:$E$493='Rewards Dashboard'!$B$3)&gt;0),--(('Rewards Dashboard'!$D$3="All")+('Employee Data'!$C$2:$C$493='Rewards Dashboard'!$D$3)&gt;0),--(('Rewards Dashboard'!$F$3="All")+('Employee Data'!$D$2:$D$493='Rewards Dashboard'!$F$3)&gt;0),--('Employee Data'!$D$2:$D$493=A50),--('Employee Data'!$E$2:$E$493=B50))/SUMPRODUCT(--('Employee Data'!$A$2:$A$493&lt;&gt;""),--(('Rewards Dashboard'!$B$3="All")+('Employee Data'!$E$2:$E$493='Rewards Dashboard'!$B$3)&gt;0),--(('Rewards Dashboard'!$D$3="All")+('Employee Data'!$C$2:$C$493='Rewards Dashboard'!$D$3)&gt;0),--(('Rewards Dashboard'!$F$3="All")+('Employee Data'!$D$2:$D$493='Rewards Dashboard'!$F$3)&gt;0),--('Employee Data'!$D$2:$D$493=A50),--('Employee Data'!$E$2:$E$493=B50)),0)</f>
        <v>4927.272727272727</v>
      </c>
      <c r="E50" cm="1">
        <f t="array" ref="E50">SUMPRODUCT(--('Employee Data'!$A$2:$A$493&lt;&gt;""),--(('Rewards Dashboard'!$B$3="All")+('Employee Data'!$E$2:$E$493='Rewards Dashboard'!$B$3)&gt;0),--(('Rewards Dashboard'!$D$3="All")+('Employee Data'!$C$2:$C$493='Rewards Dashboard'!$D$3)&gt;0),--(('Rewards Dashboard'!$F$3="All")+('Employee Data'!$D$2:$D$493='Rewards Dashboard'!$F$3)&gt;0),--('Employee Data'!$D$2:$D$493=A50),--('Employee Data'!$E$2:$E$493=B50))</f>
        <v>22</v>
      </c>
      <c r="F50" cm="1">
        <f t="array" ref="F50">IFERROR(SUMPRODUCT(--('Employee Data'!$I$2:$I$493&gt;7000),--('Employee Data'!$A$2:$A$493&lt;&gt;""),--(('Rewards Dashboard'!$B$3="All")+('Employee Data'!$E$2:$E$493='Rewards Dashboard'!$B$3)&gt;0),--(('Rewards Dashboard'!$D$3="All")+('Employee Data'!$C$2:$C$493='Rewards Dashboard'!$D$3)&gt;0),--(('Rewards Dashboard'!$F$3="All")+('Employee Data'!$D$2:$D$493='Rewards Dashboard'!$F$3)&gt;0),--('Employee Data'!$D$2:$D$493=A50),--('Employee Data'!$E$2:$E$493=B50))/E50,0)</f>
        <v>0.18181818181818182</v>
      </c>
      <c r="H50" t="str" cm="1">
        <f t="array" ref="H50:M55">_xlfn.TAKE(_xlfn.SORTBY(_xlfn._xlws.FILTER($A$50:$F$69,$E$50:$E$69&gt;0),_xlfn._xlws.FILTER($F$50:$F$69,$E$50:$E$69&gt;0),-1,_xlfn._xlws.FILTER($D$50:$D$69,$E$50:$E$69&gt;0),-1),6)</f>
        <v>Finance</v>
      </c>
      <c r="I50" t="str">
        <v>Hyderabad</v>
      </c>
      <c r="J50">
        <v>128885.24137931035</v>
      </c>
      <c r="K50">
        <v>5944.8275862068967</v>
      </c>
      <c r="L50">
        <v>29</v>
      </c>
      <c r="M50">
        <v>0.34482758620689657</v>
      </c>
    </row>
    <row r="51" spans="1:13" x14ac:dyDescent="0.25">
      <c r="A51" t="s">
        <v>12</v>
      </c>
      <c r="B51" t="s">
        <v>13</v>
      </c>
      <c r="C51" cm="1">
        <f t="array" ref="C51">IFERROR(SUMPRODUCT('Employee Data'!$F$2:$F$493,--('Employee Data'!$A$2:$A$493&lt;&gt;""),--(('Rewards Dashboard'!$B$3="All")+('Employee Data'!$E$2:$E$493='Rewards Dashboard'!$B$3)&gt;0),--(('Rewards Dashboard'!$D$3="All")+('Employee Data'!$C$2:$C$493='Rewards Dashboard'!$D$3)&gt;0),--(('Rewards Dashboard'!$F$3="All")+('Employee Data'!$D$2:$D$493='Rewards Dashboard'!$F$3)&gt;0),--('Employee Data'!$D$2:$D$493=A51),--('Employee Data'!$E$2:$E$493=B51))/SUMPRODUCT(--('Employee Data'!$A$2:$A$493&lt;&gt;""),--(('Rewards Dashboard'!$B$3="All")+('Employee Data'!$E$2:$E$493='Rewards Dashboard'!$B$3)&gt;0),--(('Rewards Dashboard'!$D$3="All")+('Employee Data'!$C$2:$C$493='Rewards Dashboard'!$D$3)&gt;0),--(('Rewards Dashboard'!$F$3="All")+('Employee Data'!$D$2:$D$493='Rewards Dashboard'!$F$3)&gt;0),--('Employee Data'!$D$2:$D$493=A51),--('Employee Data'!$E$2:$E$493=B51)),0)</f>
        <v>131595.94736842104</v>
      </c>
      <c r="D51" cm="1">
        <f t="array" ref="D51">IFERROR(SUMPRODUCT('Employee Data'!$I$2:$I$493,--('Employee Data'!$A$2:$A$493&lt;&gt;""),--(('Rewards Dashboard'!$B$3="All")+('Employee Data'!$E$2:$E$493='Rewards Dashboard'!$B$3)&gt;0),--(('Rewards Dashboard'!$D$3="All")+('Employee Data'!$C$2:$C$493='Rewards Dashboard'!$D$3)&gt;0),--(('Rewards Dashboard'!$F$3="All")+('Employee Data'!$D$2:$D$493='Rewards Dashboard'!$F$3)&gt;0),--('Employee Data'!$D$2:$D$493=A51),--('Employee Data'!$E$2:$E$493=B51))/SUMPRODUCT(--('Employee Data'!$A$2:$A$493&lt;&gt;""),--(('Rewards Dashboard'!$B$3="All")+('Employee Data'!$E$2:$E$493='Rewards Dashboard'!$B$3)&gt;0),--(('Rewards Dashboard'!$D$3="All")+('Employee Data'!$C$2:$C$493='Rewards Dashboard'!$D$3)&gt;0),--(('Rewards Dashboard'!$F$3="All")+('Employee Data'!$D$2:$D$493='Rewards Dashboard'!$F$3)&gt;0),--('Employee Data'!$D$2:$D$493=A51),--('Employee Data'!$E$2:$E$493=B51)),0)</f>
        <v>5489.4736842105267</v>
      </c>
      <c r="E51" cm="1">
        <f t="array" ref="E51">SUMPRODUCT(--('Employee Data'!$A$2:$A$493&lt;&gt;""),--(('Rewards Dashboard'!$B$3="All")+('Employee Data'!$E$2:$E$493='Rewards Dashboard'!$B$3)&gt;0),--(('Rewards Dashboard'!$D$3="All")+('Employee Data'!$C$2:$C$493='Rewards Dashboard'!$D$3)&gt;0),--(('Rewards Dashboard'!$F$3="All")+('Employee Data'!$D$2:$D$493='Rewards Dashboard'!$F$3)&gt;0),--('Employee Data'!$D$2:$D$493=A51),--('Employee Data'!$E$2:$E$493=B51))</f>
        <v>19</v>
      </c>
      <c r="F51" cm="1">
        <f t="array" ref="F51">IFERROR(SUMPRODUCT(--('Employee Data'!$I$2:$I$493&gt;7000),--('Employee Data'!$A$2:$A$493&lt;&gt;""),--(('Rewards Dashboard'!$B$3="All")+('Employee Data'!$E$2:$E$493='Rewards Dashboard'!$B$3)&gt;0),--(('Rewards Dashboard'!$D$3="All")+('Employee Data'!$C$2:$C$493='Rewards Dashboard'!$D$3)&gt;0),--(('Rewards Dashboard'!$F$3="All")+('Employee Data'!$D$2:$D$493='Rewards Dashboard'!$F$3)&gt;0),--('Employee Data'!$D$2:$D$493=A51),--('Employee Data'!$E$2:$E$493=B51))/E51,0)</f>
        <v>0.26315789473684209</v>
      </c>
      <c r="H51" t="str">
        <v>Sales</v>
      </c>
      <c r="I51" t="str">
        <v>Gurugram</v>
      </c>
      <c r="J51">
        <v>134835.56</v>
      </c>
      <c r="K51">
        <v>6062</v>
      </c>
      <c r="L51">
        <v>25</v>
      </c>
      <c r="M51">
        <v>0.32</v>
      </c>
    </row>
    <row r="52" spans="1:13" x14ac:dyDescent="0.25">
      <c r="A52" t="s">
        <v>8</v>
      </c>
      <c r="B52" t="s">
        <v>13</v>
      </c>
      <c r="C52" cm="1">
        <f t="array" ref="C52">IFERROR(SUMPRODUCT('Employee Data'!$F$2:$F$493,--('Employee Data'!$A$2:$A$493&lt;&gt;""),--(('Rewards Dashboard'!$B$3="All")+('Employee Data'!$E$2:$E$493='Rewards Dashboard'!$B$3)&gt;0),--(('Rewards Dashboard'!$D$3="All")+('Employee Data'!$C$2:$C$493='Rewards Dashboard'!$D$3)&gt;0),--(('Rewards Dashboard'!$F$3="All")+('Employee Data'!$D$2:$D$493='Rewards Dashboard'!$F$3)&gt;0),--('Employee Data'!$D$2:$D$493=A52),--('Employee Data'!$E$2:$E$493=B52))/SUMPRODUCT(--('Employee Data'!$A$2:$A$493&lt;&gt;""),--(('Rewards Dashboard'!$B$3="All")+('Employee Data'!$E$2:$E$493='Rewards Dashboard'!$B$3)&gt;0),--(('Rewards Dashboard'!$D$3="All")+('Employee Data'!$C$2:$C$493='Rewards Dashboard'!$D$3)&gt;0),--(('Rewards Dashboard'!$F$3="All")+('Employee Data'!$D$2:$D$493='Rewards Dashboard'!$F$3)&gt;0),--('Employee Data'!$D$2:$D$493=A52),--('Employee Data'!$E$2:$E$493=B52)),0)</f>
        <v>102408.47368421052</v>
      </c>
      <c r="D52" cm="1">
        <f t="array" ref="D52">IFERROR(SUMPRODUCT('Employee Data'!$I$2:$I$493,--('Employee Data'!$A$2:$A$493&lt;&gt;""),--(('Rewards Dashboard'!$B$3="All")+('Employee Data'!$E$2:$E$493='Rewards Dashboard'!$B$3)&gt;0),--(('Rewards Dashboard'!$D$3="All")+('Employee Data'!$C$2:$C$493='Rewards Dashboard'!$D$3)&gt;0),--(('Rewards Dashboard'!$F$3="All")+('Employee Data'!$D$2:$D$493='Rewards Dashboard'!$F$3)&gt;0),--('Employee Data'!$D$2:$D$493=A52),--('Employee Data'!$E$2:$E$493=B52))/SUMPRODUCT(--('Employee Data'!$A$2:$A$493&lt;&gt;""),--(('Rewards Dashboard'!$B$3="All")+('Employee Data'!$E$2:$E$493='Rewards Dashboard'!$B$3)&gt;0),--(('Rewards Dashboard'!$D$3="All")+('Employee Data'!$C$2:$C$493='Rewards Dashboard'!$D$3)&gt;0),--(('Rewards Dashboard'!$F$3="All")+('Employee Data'!$D$2:$D$493='Rewards Dashboard'!$F$3)&gt;0),--('Employee Data'!$D$2:$D$493=A52),--('Employee Data'!$E$2:$E$493=B52)),0)</f>
        <v>4192.105263157895</v>
      </c>
      <c r="E52" cm="1">
        <f t="array" ref="E52">SUMPRODUCT(--('Employee Data'!$A$2:$A$493&lt;&gt;""),--(('Rewards Dashboard'!$B$3="All")+('Employee Data'!$E$2:$E$493='Rewards Dashboard'!$B$3)&gt;0),--(('Rewards Dashboard'!$D$3="All")+('Employee Data'!$C$2:$C$493='Rewards Dashboard'!$D$3)&gt;0),--(('Rewards Dashboard'!$F$3="All")+('Employee Data'!$D$2:$D$493='Rewards Dashboard'!$F$3)&gt;0),--('Employee Data'!$D$2:$D$493=A52),--('Employee Data'!$E$2:$E$493=B52))</f>
        <v>19</v>
      </c>
      <c r="F52" cm="1">
        <f t="array" ref="F52">IFERROR(SUMPRODUCT(--('Employee Data'!$I$2:$I$493&gt;7000),--('Employee Data'!$A$2:$A$493&lt;&gt;""),--(('Rewards Dashboard'!$B$3="All")+('Employee Data'!$E$2:$E$493='Rewards Dashboard'!$B$3)&gt;0),--(('Rewards Dashboard'!$D$3="All")+('Employee Data'!$C$2:$C$493='Rewards Dashboard'!$D$3)&gt;0),--(('Rewards Dashboard'!$F$3="All")+('Employee Data'!$D$2:$D$493='Rewards Dashboard'!$F$3)&gt;0),--('Employee Data'!$D$2:$D$493=A52),--('Employee Data'!$E$2:$E$493=B52))/E52,0)</f>
        <v>0.21052631578947367</v>
      </c>
      <c r="H52" t="str">
        <v>Operations</v>
      </c>
      <c r="I52" t="str">
        <v>Hyderabad</v>
      </c>
      <c r="J52">
        <v>130724.80769230769</v>
      </c>
      <c r="K52">
        <v>5475</v>
      </c>
      <c r="L52">
        <v>26</v>
      </c>
      <c r="M52">
        <v>0.30769230769230771</v>
      </c>
    </row>
    <row r="53" spans="1:13" x14ac:dyDescent="0.25">
      <c r="A53" t="s">
        <v>14</v>
      </c>
      <c r="B53" t="s">
        <v>13</v>
      </c>
      <c r="C53" cm="1">
        <f t="array" ref="C53">IFERROR(SUMPRODUCT('Employee Data'!$F$2:$F$493,--('Employee Data'!$A$2:$A$493&lt;&gt;""),--(('Rewards Dashboard'!$B$3="All")+('Employee Data'!$E$2:$E$493='Rewards Dashboard'!$B$3)&gt;0),--(('Rewards Dashboard'!$D$3="All")+('Employee Data'!$C$2:$C$493='Rewards Dashboard'!$D$3)&gt;0),--(('Rewards Dashboard'!$F$3="All")+('Employee Data'!$D$2:$D$493='Rewards Dashboard'!$F$3)&gt;0),--('Employee Data'!$D$2:$D$493=A53),--('Employee Data'!$E$2:$E$493=B53))/SUMPRODUCT(--('Employee Data'!$A$2:$A$493&lt;&gt;""),--(('Rewards Dashboard'!$B$3="All")+('Employee Data'!$E$2:$E$493='Rewards Dashboard'!$B$3)&gt;0),--(('Rewards Dashboard'!$D$3="All")+('Employee Data'!$C$2:$C$493='Rewards Dashboard'!$D$3)&gt;0),--(('Rewards Dashboard'!$F$3="All")+('Employee Data'!$D$2:$D$493='Rewards Dashboard'!$F$3)&gt;0),--('Employee Data'!$D$2:$D$493=A53),--('Employee Data'!$E$2:$E$493=B53)),0)</f>
        <v>125256.52</v>
      </c>
      <c r="D53" cm="1">
        <f t="array" ref="D53">IFERROR(SUMPRODUCT('Employee Data'!$I$2:$I$493,--('Employee Data'!$A$2:$A$493&lt;&gt;""),--(('Rewards Dashboard'!$B$3="All")+('Employee Data'!$E$2:$E$493='Rewards Dashboard'!$B$3)&gt;0),--(('Rewards Dashboard'!$D$3="All")+('Employee Data'!$C$2:$C$493='Rewards Dashboard'!$D$3)&gt;0),--(('Rewards Dashboard'!$F$3="All")+('Employee Data'!$D$2:$D$493='Rewards Dashboard'!$F$3)&gt;0),--('Employee Data'!$D$2:$D$493=A53),--('Employee Data'!$E$2:$E$493=B53))/SUMPRODUCT(--('Employee Data'!$A$2:$A$493&lt;&gt;""),--(('Rewards Dashboard'!$B$3="All")+('Employee Data'!$E$2:$E$493='Rewards Dashboard'!$B$3)&gt;0),--(('Rewards Dashboard'!$D$3="All")+('Employee Data'!$C$2:$C$493='Rewards Dashboard'!$D$3)&gt;0),--(('Rewards Dashboard'!$F$3="All")+('Employee Data'!$D$2:$D$493='Rewards Dashboard'!$F$3)&gt;0),--('Employee Data'!$D$2:$D$493=A53),--('Employee Data'!$E$2:$E$493=B53)),0)</f>
        <v>5430</v>
      </c>
      <c r="E53" cm="1">
        <f t="array" ref="E53">SUMPRODUCT(--('Employee Data'!$A$2:$A$493&lt;&gt;""),--(('Rewards Dashboard'!$B$3="All")+('Employee Data'!$E$2:$E$493='Rewards Dashboard'!$B$3)&gt;0),--(('Rewards Dashboard'!$D$3="All")+('Employee Data'!$C$2:$C$493='Rewards Dashboard'!$D$3)&gt;0),--(('Rewards Dashboard'!$F$3="All")+('Employee Data'!$D$2:$D$493='Rewards Dashboard'!$F$3)&gt;0),--('Employee Data'!$D$2:$D$493=A53),--('Employee Data'!$E$2:$E$493=B53))</f>
        <v>25</v>
      </c>
      <c r="F53" cm="1">
        <f t="array" ref="F53">IFERROR(SUMPRODUCT(--('Employee Data'!$I$2:$I$493&gt;7000),--('Employee Data'!$A$2:$A$493&lt;&gt;""),--(('Rewards Dashboard'!$B$3="All")+('Employee Data'!$E$2:$E$493='Rewards Dashboard'!$B$3)&gt;0),--(('Rewards Dashboard'!$D$3="All")+('Employee Data'!$C$2:$C$493='Rewards Dashboard'!$D$3)&gt;0),--(('Rewards Dashboard'!$F$3="All")+('Employee Data'!$D$2:$D$493='Rewards Dashboard'!$F$3)&gt;0),--('Employee Data'!$D$2:$D$493=A53),--('Employee Data'!$E$2:$E$493=B53))/E53,0)</f>
        <v>0.2</v>
      </c>
      <c r="H53" t="str">
        <v>Sales</v>
      </c>
      <c r="I53" t="str">
        <v>Noida</v>
      </c>
      <c r="J53">
        <v>110101.08333333333</v>
      </c>
      <c r="K53">
        <v>5293.75</v>
      </c>
      <c r="L53">
        <v>24</v>
      </c>
      <c r="M53">
        <v>0.29166666666666669</v>
      </c>
    </row>
    <row r="54" spans="1:13" x14ac:dyDescent="0.25">
      <c r="A54" t="s">
        <v>11</v>
      </c>
      <c r="B54" t="s">
        <v>13</v>
      </c>
      <c r="C54" cm="1">
        <f t="array" ref="C54">IFERROR(SUMPRODUCT('Employee Data'!$F$2:$F$493,--('Employee Data'!$A$2:$A$493&lt;&gt;""),--(('Rewards Dashboard'!$B$3="All")+('Employee Data'!$E$2:$E$493='Rewards Dashboard'!$B$3)&gt;0),--(('Rewards Dashboard'!$D$3="All")+('Employee Data'!$C$2:$C$493='Rewards Dashboard'!$D$3)&gt;0),--(('Rewards Dashboard'!$F$3="All")+('Employee Data'!$D$2:$D$493='Rewards Dashboard'!$F$3)&gt;0),--('Employee Data'!$D$2:$D$493=A54),--('Employee Data'!$E$2:$E$493=B54))/SUMPRODUCT(--('Employee Data'!$A$2:$A$493&lt;&gt;""),--(('Rewards Dashboard'!$B$3="All")+('Employee Data'!$E$2:$E$493='Rewards Dashboard'!$B$3)&gt;0),--(('Rewards Dashboard'!$D$3="All")+('Employee Data'!$C$2:$C$493='Rewards Dashboard'!$D$3)&gt;0),--(('Rewards Dashboard'!$F$3="All")+('Employee Data'!$D$2:$D$493='Rewards Dashboard'!$F$3)&gt;0),--('Employee Data'!$D$2:$D$493=A54),--('Employee Data'!$E$2:$E$493=B54)),0)</f>
        <v>122661.32</v>
      </c>
      <c r="D54" cm="1">
        <f t="array" ref="D54">IFERROR(SUMPRODUCT('Employee Data'!$I$2:$I$493,--('Employee Data'!$A$2:$A$493&lt;&gt;""),--(('Rewards Dashboard'!$B$3="All")+('Employee Data'!$E$2:$E$493='Rewards Dashboard'!$B$3)&gt;0),--(('Rewards Dashboard'!$D$3="All")+('Employee Data'!$C$2:$C$493='Rewards Dashboard'!$D$3)&gt;0),--(('Rewards Dashboard'!$F$3="All")+('Employee Data'!$D$2:$D$493='Rewards Dashboard'!$F$3)&gt;0),--('Employee Data'!$D$2:$D$493=A54),--('Employee Data'!$E$2:$E$493=B54))/SUMPRODUCT(--('Employee Data'!$A$2:$A$493&lt;&gt;""),--(('Rewards Dashboard'!$B$3="All")+('Employee Data'!$E$2:$E$493='Rewards Dashboard'!$B$3)&gt;0),--(('Rewards Dashboard'!$D$3="All")+('Employee Data'!$C$2:$C$493='Rewards Dashboard'!$D$3)&gt;0),--(('Rewards Dashboard'!$F$3="All")+('Employee Data'!$D$2:$D$493='Rewards Dashboard'!$F$3)&gt;0),--('Employee Data'!$D$2:$D$493=A54),--('Employee Data'!$E$2:$E$493=B54)),0)</f>
        <v>5174</v>
      </c>
      <c r="E54" cm="1">
        <f t="array" ref="E54">SUMPRODUCT(--('Employee Data'!$A$2:$A$493&lt;&gt;""),--(('Rewards Dashboard'!$B$3="All")+('Employee Data'!$E$2:$E$493='Rewards Dashboard'!$B$3)&gt;0),--(('Rewards Dashboard'!$D$3="All")+('Employee Data'!$C$2:$C$493='Rewards Dashboard'!$D$3)&gt;0),--(('Rewards Dashboard'!$F$3="All")+('Employee Data'!$D$2:$D$493='Rewards Dashboard'!$F$3)&gt;0),--('Employee Data'!$D$2:$D$493=A54),--('Employee Data'!$E$2:$E$493=B54))</f>
        <v>25</v>
      </c>
      <c r="F54" cm="1">
        <f t="array" ref="F54">IFERROR(SUMPRODUCT(--('Employee Data'!$I$2:$I$493&gt;7000),--('Employee Data'!$A$2:$A$493&lt;&gt;""),--(('Rewards Dashboard'!$B$3="All")+('Employee Data'!$E$2:$E$493='Rewards Dashboard'!$B$3)&gt;0),--(('Rewards Dashboard'!$D$3="All")+('Employee Data'!$C$2:$C$493='Rewards Dashboard'!$D$3)&gt;0),--(('Rewards Dashboard'!$F$3="All")+('Employee Data'!$D$2:$D$493='Rewards Dashboard'!$F$3)&gt;0),--('Employee Data'!$D$2:$D$493=A54),--('Employee Data'!$E$2:$E$493=B54))/E54,0)</f>
        <v>0.16</v>
      </c>
      <c r="H54" t="str">
        <v>HR</v>
      </c>
      <c r="I54" t="str">
        <v>Bengaluru</v>
      </c>
      <c r="J54">
        <v>131595.94736842104</v>
      </c>
      <c r="K54">
        <v>5489.4736842105267</v>
      </c>
      <c r="L54">
        <v>19</v>
      </c>
      <c r="M54">
        <v>0.26315789473684209</v>
      </c>
    </row>
    <row r="55" spans="1:13" x14ac:dyDescent="0.25">
      <c r="A55" t="s">
        <v>3</v>
      </c>
      <c r="B55" t="s">
        <v>9</v>
      </c>
      <c r="C55" cm="1">
        <f t="array" ref="C55">IFERROR(SUMPRODUCT('Employee Data'!$F$2:$F$493,--('Employee Data'!$A$2:$A$493&lt;&gt;""),--(('Rewards Dashboard'!$B$3="All")+('Employee Data'!$E$2:$E$493='Rewards Dashboard'!$B$3)&gt;0),--(('Rewards Dashboard'!$D$3="All")+('Employee Data'!$C$2:$C$493='Rewards Dashboard'!$D$3)&gt;0),--(('Rewards Dashboard'!$F$3="All")+('Employee Data'!$D$2:$D$493='Rewards Dashboard'!$F$3)&gt;0),--('Employee Data'!$D$2:$D$493=A55),--('Employee Data'!$E$2:$E$493=B55))/SUMPRODUCT(--('Employee Data'!$A$2:$A$493&lt;&gt;""),--(('Rewards Dashboard'!$B$3="All")+('Employee Data'!$E$2:$E$493='Rewards Dashboard'!$B$3)&gt;0),--(('Rewards Dashboard'!$D$3="All")+('Employee Data'!$C$2:$C$493='Rewards Dashboard'!$D$3)&gt;0),--(('Rewards Dashboard'!$F$3="All")+('Employee Data'!$D$2:$D$493='Rewards Dashboard'!$F$3)&gt;0),--('Employee Data'!$D$2:$D$493=A55),--('Employee Data'!$E$2:$E$493=B55)),0)</f>
        <v>113401.59090909091</v>
      </c>
      <c r="D55" cm="1">
        <f t="array" ref="D55">IFERROR(SUMPRODUCT('Employee Data'!$I$2:$I$493,--('Employee Data'!$A$2:$A$493&lt;&gt;""),--(('Rewards Dashboard'!$B$3="All")+('Employee Data'!$E$2:$E$493='Rewards Dashboard'!$B$3)&gt;0),--(('Rewards Dashboard'!$D$3="All")+('Employee Data'!$C$2:$C$493='Rewards Dashboard'!$D$3)&gt;0),--(('Rewards Dashboard'!$F$3="All")+('Employee Data'!$D$2:$D$493='Rewards Dashboard'!$F$3)&gt;0),--('Employee Data'!$D$2:$D$493=A55),--('Employee Data'!$E$2:$E$493=B55))/SUMPRODUCT(--('Employee Data'!$A$2:$A$493&lt;&gt;""),--(('Rewards Dashboard'!$B$3="All")+('Employee Data'!$E$2:$E$493='Rewards Dashboard'!$B$3)&gt;0),--(('Rewards Dashboard'!$D$3="All")+('Employee Data'!$C$2:$C$493='Rewards Dashboard'!$D$3)&gt;0),--(('Rewards Dashboard'!$F$3="All")+('Employee Data'!$D$2:$D$493='Rewards Dashboard'!$F$3)&gt;0),--('Employee Data'!$D$2:$D$493=A55),--('Employee Data'!$E$2:$E$493=B55)),0)</f>
        <v>5190.909090909091</v>
      </c>
      <c r="E55" cm="1">
        <f t="array" ref="E55">SUMPRODUCT(--('Employee Data'!$A$2:$A$493&lt;&gt;""),--(('Rewards Dashboard'!$B$3="All")+('Employee Data'!$E$2:$E$493='Rewards Dashboard'!$B$3)&gt;0),--(('Rewards Dashboard'!$D$3="All")+('Employee Data'!$C$2:$C$493='Rewards Dashboard'!$D$3)&gt;0),--(('Rewards Dashboard'!$F$3="All")+('Employee Data'!$D$2:$D$493='Rewards Dashboard'!$F$3)&gt;0),--('Employee Data'!$D$2:$D$493=A55),--('Employee Data'!$E$2:$E$493=B55))</f>
        <v>22</v>
      </c>
      <c r="F55" cm="1">
        <f t="array" ref="F55">IFERROR(SUMPRODUCT(--('Employee Data'!$I$2:$I$493&gt;7000),--('Employee Data'!$A$2:$A$493&lt;&gt;""),--(('Rewards Dashboard'!$B$3="All")+('Employee Data'!$E$2:$E$493='Rewards Dashboard'!$B$3)&gt;0),--(('Rewards Dashboard'!$D$3="All")+('Employee Data'!$C$2:$C$493='Rewards Dashboard'!$D$3)&gt;0),--(('Rewards Dashboard'!$F$3="All")+('Employee Data'!$D$2:$D$493='Rewards Dashboard'!$F$3)&gt;0),--('Employee Data'!$D$2:$D$493=A55),--('Employee Data'!$E$2:$E$493=B55))/E55,0)</f>
        <v>0.22727272727272727</v>
      </c>
      <c r="H55" t="str">
        <v>Operations</v>
      </c>
      <c r="I55" t="str">
        <v>Gurugram</v>
      </c>
      <c r="J55">
        <v>117910.11111111111</v>
      </c>
      <c r="K55">
        <v>5490.7407407407409</v>
      </c>
      <c r="L55">
        <v>27</v>
      </c>
      <c r="M55">
        <v>0.25925925925925924</v>
      </c>
    </row>
    <row r="56" spans="1:13" x14ac:dyDescent="0.25">
      <c r="A56" t="s">
        <v>12</v>
      </c>
      <c r="B56" t="s">
        <v>9</v>
      </c>
      <c r="C56" cm="1">
        <f t="array" ref="C56">IFERROR(SUMPRODUCT('Employee Data'!$F$2:$F$493,--('Employee Data'!$A$2:$A$493&lt;&gt;""),--(('Rewards Dashboard'!$B$3="All")+('Employee Data'!$E$2:$E$493='Rewards Dashboard'!$B$3)&gt;0),--(('Rewards Dashboard'!$D$3="All")+('Employee Data'!$C$2:$C$493='Rewards Dashboard'!$D$3)&gt;0),--(('Rewards Dashboard'!$F$3="All")+('Employee Data'!$D$2:$D$493='Rewards Dashboard'!$F$3)&gt;0),--('Employee Data'!$D$2:$D$493=A56),--('Employee Data'!$E$2:$E$493=B56))/SUMPRODUCT(--('Employee Data'!$A$2:$A$493&lt;&gt;""),--(('Rewards Dashboard'!$B$3="All")+('Employee Data'!$E$2:$E$493='Rewards Dashboard'!$B$3)&gt;0),--(('Rewards Dashboard'!$D$3="All")+('Employee Data'!$C$2:$C$493='Rewards Dashboard'!$D$3)&gt;0),--(('Rewards Dashboard'!$F$3="All")+('Employee Data'!$D$2:$D$493='Rewards Dashboard'!$F$3)&gt;0),--('Employee Data'!$D$2:$D$493=A56),--('Employee Data'!$E$2:$E$493=B56)),0)</f>
        <v>117717.61904761905</v>
      </c>
      <c r="D56" cm="1">
        <f t="array" ref="D56">IFERROR(SUMPRODUCT('Employee Data'!$I$2:$I$493,--('Employee Data'!$A$2:$A$493&lt;&gt;""),--(('Rewards Dashboard'!$B$3="All")+('Employee Data'!$E$2:$E$493='Rewards Dashboard'!$B$3)&gt;0),--(('Rewards Dashboard'!$D$3="All")+('Employee Data'!$C$2:$C$493='Rewards Dashboard'!$D$3)&gt;0),--(('Rewards Dashboard'!$F$3="All")+('Employee Data'!$D$2:$D$493='Rewards Dashboard'!$F$3)&gt;0),--('Employee Data'!$D$2:$D$493=A56),--('Employee Data'!$E$2:$E$493=B56))/SUMPRODUCT(--('Employee Data'!$A$2:$A$493&lt;&gt;""),--(('Rewards Dashboard'!$B$3="All")+('Employee Data'!$E$2:$E$493='Rewards Dashboard'!$B$3)&gt;0),--(('Rewards Dashboard'!$D$3="All")+('Employee Data'!$C$2:$C$493='Rewards Dashboard'!$D$3)&gt;0),--(('Rewards Dashboard'!$F$3="All")+('Employee Data'!$D$2:$D$493='Rewards Dashboard'!$F$3)&gt;0),--('Employee Data'!$D$2:$D$493=A56),--('Employee Data'!$E$2:$E$493=B56)),0)</f>
        <v>5064.2857142857147</v>
      </c>
      <c r="E56" cm="1">
        <f t="array" ref="E56">SUMPRODUCT(--('Employee Data'!$A$2:$A$493&lt;&gt;""),--(('Rewards Dashboard'!$B$3="All")+('Employee Data'!$E$2:$E$493='Rewards Dashboard'!$B$3)&gt;0),--(('Rewards Dashboard'!$D$3="All")+('Employee Data'!$C$2:$C$493='Rewards Dashboard'!$D$3)&gt;0),--(('Rewards Dashboard'!$F$3="All")+('Employee Data'!$D$2:$D$493='Rewards Dashboard'!$F$3)&gt;0),--('Employee Data'!$D$2:$D$493=A56),--('Employee Data'!$E$2:$E$493=B56))</f>
        <v>21</v>
      </c>
      <c r="F56" cm="1">
        <f t="array" ref="F56">IFERROR(SUMPRODUCT(--('Employee Data'!$I$2:$I$493&gt;7000),--('Employee Data'!$A$2:$A$493&lt;&gt;""),--(('Rewards Dashboard'!$B$3="All")+('Employee Data'!$E$2:$E$493='Rewards Dashboard'!$B$3)&gt;0),--(('Rewards Dashboard'!$D$3="All")+('Employee Data'!$C$2:$C$493='Rewards Dashboard'!$D$3)&gt;0),--(('Rewards Dashboard'!$F$3="All")+('Employee Data'!$D$2:$D$493='Rewards Dashboard'!$F$3)&gt;0),--('Employee Data'!$D$2:$D$493=A56),--('Employee Data'!$E$2:$E$493=B56))/E56,0)</f>
        <v>0.19047619047619047</v>
      </c>
    </row>
    <row r="57" spans="1:13" x14ac:dyDescent="0.25">
      <c r="A57" t="s">
        <v>8</v>
      </c>
      <c r="B57" t="s">
        <v>9</v>
      </c>
      <c r="C57" cm="1">
        <f t="array" ref="C57">IFERROR(SUMPRODUCT('Employee Data'!$F$2:$F$493,--('Employee Data'!$A$2:$A$493&lt;&gt;""),--(('Rewards Dashboard'!$B$3="All")+('Employee Data'!$E$2:$E$493='Rewards Dashboard'!$B$3)&gt;0),--(('Rewards Dashboard'!$D$3="All")+('Employee Data'!$C$2:$C$493='Rewards Dashboard'!$D$3)&gt;0),--(('Rewards Dashboard'!$F$3="All")+('Employee Data'!$D$2:$D$493='Rewards Dashboard'!$F$3)&gt;0),--('Employee Data'!$D$2:$D$493=A57),--('Employee Data'!$E$2:$E$493=B57))/SUMPRODUCT(--('Employee Data'!$A$2:$A$493&lt;&gt;""),--(('Rewards Dashboard'!$B$3="All")+('Employee Data'!$E$2:$E$493='Rewards Dashboard'!$B$3)&gt;0),--(('Rewards Dashboard'!$D$3="All")+('Employee Data'!$C$2:$C$493='Rewards Dashboard'!$D$3)&gt;0),--(('Rewards Dashboard'!$F$3="All")+('Employee Data'!$D$2:$D$493='Rewards Dashboard'!$F$3)&gt;0),--('Employee Data'!$D$2:$D$493=A57),--('Employee Data'!$E$2:$E$493=B57)),0)</f>
        <v>117910.11111111111</v>
      </c>
      <c r="D57" cm="1">
        <f t="array" ref="D57">IFERROR(SUMPRODUCT('Employee Data'!$I$2:$I$493,--('Employee Data'!$A$2:$A$493&lt;&gt;""),--(('Rewards Dashboard'!$B$3="All")+('Employee Data'!$E$2:$E$493='Rewards Dashboard'!$B$3)&gt;0),--(('Rewards Dashboard'!$D$3="All")+('Employee Data'!$C$2:$C$493='Rewards Dashboard'!$D$3)&gt;0),--(('Rewards Dashboard'!$F$3="All")+('Employee Data'!$D$2:$D$493='Rewards Dashboard'!$F$3)&gt;0),--('Employee Data'!$D$2:$D$493=A57),--('Employee Data'!$E$2:$E$493=B57))/SUMPRODUCT(--('Employee Data'!$A$2:$A$493&lt;&gt;""),--(('Rewards Dashboard'!$B$3="All")+('Employee Data'!$E$2:$E$493='Rewards Dashboard'!$B$3)&gt;0),--(('Rewards Dashboard'!$D$3="All")+('Employee Data'!$C$2:$C$493='Rewards Dashboard'!$D$3)&gt;0),--(('Rewards Dashboard'!$F$3="All")+('Employee Data'!$D$2:$D$493='Rewards Dashboard'!$F$3)&gt;0),--('Employee Data'!$D$2:$D$493=A57),--('Employee Data'!$E$2:$E$493=B57)),0)</f>
        <v>5490.7407407407409</v>
      </c>
      <c r="E57" cm="1">
        <f t="array" ref="E57">SUMPRODUCT(--('Employee Data'!$A$2:$A$493&lt;&gt;""),--(('Rewards Dashboard'!$B$3="All")+('Employee Data'!$E$2:$E$493='Rewards Dashboard'!$B$3)&gt;0),--(('Rewards Dashboard'!$D$3="All")+('Employee Data'!$C$2:$C$493='Rewards Dashboard'!$D$3)&gt;0),--(('Rewards Dashboard'!$F$3="All")+('Employee Data'!$D$2:$D$493='Rewards Dashboard'!$F$3)&gt;0),--('Employee Data'!$D$2:$D$493=A57),--('Employee Data'!$E$2:$E$493=B57))</f>
        <v>27</v>
      </c>
      <c r="F57" cm="1">
        <f t="array" ref="F57">IFERROR(SUMPRODUCT(--('Employee Data'!$I$2:$I$493&gt;7000),--('Employee Data'!$A$2:$A$493&lt;&gt;""),--(('Rewards Dashboard'!$B$3="All")+('Employee Data'!$E$2:$E$493='Rewards Dashboard'!$B$3)&gt;0),--(('Rewards Dashboard'!$D$3="All")+('Employee Data'!$C$2:$C$493='Rewards Dashboard'!$D$3)&gt;0),--(('Rewards Dashboard'!$F$3="All")+('Employee Data'!$D$2:$D$493='Rewards Dashboard'!$F$3)&gt;0),--('Employee Data'!$D$2:$D$493=A57),--('Employee Data'!$E$2:$E$493=B57))/E57,0)</f>
        <v>0.25925925925925924</v>
      </c>
    </row>
    <row r="58" spans="1:13" x14ac:dyDescent="0.25">
      <c r="A58" t="s">
        <v>14</v>
      </c>
      <c r="B58" t="s">
        <v>9</v>
      </c>
      <c r="C58" cm="1">
        <f t="array" ref="C58">IFERROR(SUMPRODUCT('Employee Data'!$F$2:$F$493,--('Employee Data'!$A$2:$A$493&lt;&gt;""),--(('Rewards Dashboard'!$B$3="All")+('Employee Data'!$E$2:$E$493='Rewards Dashboard'!$B$3)&gt;0),--(('Rewards Dashboard'!$D$3="All")+('Employee Data'!$C$2:$C$493='Rewards Dashboard'!$D$3)&gt;0),--(('Rewards Dashboard'!$F$3="All")+('Employee Data'!$D$2:$D$493='Rewards Dashboard'!$F$3)&gt;0),--('Employee Data'!$D$2:$D$493=A58),--('Employee Data'!$E$2:$E$493=B58))/SUMPRODUCT(--('Employee Data'!$A$2:$A$493&lt;&gt;""),--(('Rewards Dashboard'!$B$3="All")+('Employee Data'!$E$2:$E$493='Rewards Dashboard'!$B$3)&gt;0),--(('Rewards Dashboard'!$D$3="All")+('Employee Data'!$C$2:$C$493='Rewards Dashboard'!$D$3)&gt;0),--(('Rewards Dashboard'!$F$3="All")+('Employee Data'!$D$2:$D$493='Rewards Dashboard'!$F$3)&gt;0),--('Employee Data'!$D$2:$D$493=A58),--('Employee Data'!$E$2:$E$493=B58)),0)</f>
        <v>134835.56</v>
      </c>
      <c r="D58" cm="1">
        <f t="array" ref="D58">IFERROR(SUMPRODUCT('Employee Data'!$I$2:$I$493,--('Employee Data'!$A$2:$A$493&lt;&gt;""),--(('Rewards Dashboard'!$B$3="All")+('Employee Data'!$E$2:$E$493='Rewards Dashboard'!$B$3)&gt;0),--(('Rewards Dashboard'!$D$3="All")+('Employee Data'!$C$2:$C$493='Rewards Dashboard'!$D$3)&gt;0),--(('Rewards Dashboard'!$F$3="All")+('Employee Data'!$D$2:$D$493='Rewards Dashboard'!$F$3)&gt;0),--('Employee Data'!$D$2:$D$493=A58),--('Employee Data'!$E$2:$E$493=B58))/SUMPRODUCT(--('Employee Data'!$A$2:$A$493&lt;&gt;""),--(('Rewards Dashboard'!$B$3="All")+('Employee Data'!$E$2:$E$493='Rewards Dashboard'!$B$3)&gt;0),--(('Rewards Dashboard'!$D$3="All")+('Employee Data'!$C$2:$C$493='Rewards Dashboard'!$D$3)&gt;0),--(('Rewards Dashboard'!$F$3="All")+('Employee Data'!$D$2:$D$493='Rewards Dashboard'!$F$3)&gt;0),--('Employee Data'!$D$2:$D$493=A58),--('Employee Data'!$E$2:$E$493=B58)),0)</f>
        <v>6062</v>
      </c>
      <c r="E58" cm="1">
        <f t="array" ref="E58">SUMPRODUCT(--('Employee Data'!$A$2:$A$493&lt;&gt;""),--(('Rewards Dashboard'!$B$3="All")+('Employee Data'!$E$2:$E$493='Rewards Dashboard'!$B$3)&gt;0),--(('Rewards Dashboard'!$D$3="All")+('Employee Data'!$C$2:$C$493='Rewards Dashboard'!$D$3)&gt;0),--(('Rewards Dashboard'!$F$3="All")+('Employee Data'!$D$2:$D$493='Rewards Dashboard'!$F$3)&gt;0),--('Employee Data'!$D$2:$D$493=A58),--('Employee Data'!$E$2:$E$493=B58))</f>
        <v>25</v>
      </c>
      <c r="F58" cm="1">
        <f t="array" ref="F58">IFERROR(SUMPRODUCT(--('Employee Data'!$I$2:$I$493&gt;7000),--('Employee Data'!$A$2:$A$493&lt;&gt;""),--(('Rewards Dashboard'!$B$3="All")+('Employee Data'!$E$2:$E$493='Rewards Dashboard'!$B$3)&gt;0),--(('Rewards Dashboard'!$D$3="All")+('Employee Data'!$C$2:$C$493='Rewards Dashboard'!$D$3)&gt;0),--(('Rewards Dashboard'!$F$3="All")+('Employee Data'!$D$2:$D$493='Rewards Dashboard'!$F$3)&gt;0),--('Employee Data'!$D$2:$D$493=A58),--('Employee Data'!$E$2:$E$493=B58))/E58,0)</f>
        <v>0.32</v>
      </c>
    </row>
    <row r="59" spans="1:13" x14ac:dyDescent="0.25">
      <c r="A59" t="s">
        <v>11</v>
      </c>
      <c r="B59" t="s">
        <v>9</v>
      </c>
      <c r="C59" cm="1">
        <f t="array" ref="C59">IFERROR(SUMPRODUCT('Employee Data'!$F$2:$F$493,--('Employee Data'!$A$2:$A$493&lt;&gt;""),--(('Rewards Dashboard'!$B$3="All")+('Employee Data'!$E$2:$E$493='Rewards Dashboard'!$B$3)&gt;0),--(('Rewards Dashboard'!$D$3="All")+('Employee Data'!$C$2:$C$493='Rewards Dashboard'!$D$3)&gt;0),--(('Rewards Dashboard'!$F$3="All")+('Employee Data'!$D$2:$D$493='Rewards Dashboard'!$F$3)&gt;0),--('Employee Data'!$D$2:$D$493=A59),--('Employee Data'!$E$2:$E$493=B59))/SUMPRODUCT(--('Employee Data'!$A$2:$A$493&lt;&gt;""),--(('Rewards Dashboard'!$B$3="All")+('Employee Data'!$E$2:$E$493='Rewards Dashboard'!$B$3)&gt;0),--(('Rewards Dashboard'!$D$3="All")+('Employee Data'!$C$2:$C$493='Rewards Dashboard'!$D$3)&gt;0),--(('Rewards Dashboard'!$F$3="All")+('Employee Data'!$D$2:$D$493='Rewards Dashboard'!$F$3)&gt;0),--('Employee Data'!$D$2:$D$493=A59),--('Employee Data'!$E$2:$E$493=B59)),0)</f>
        <v>113808.76</v>
      </c>
      <c r="D59" cm="1">
        <f t="array" ref="D59">IFERROR(SUMPRODUCT('Employee Data'!$I$2:$I$493,--('Employee Data'!$A$2:$A$493&lt;&gt;""),--(('Rewards Dashboard'!$B$3="All")+('Employee Data'!$E$2:$E$493='Rewards Dashboard'!$B$3)&gt;0),--(('Rewards Dashboard'!$D$3="All")+('Employee Data'!$C$2:$C$493='Rewards Dashboard'!$D$3)&gt;0),--(('Rewards Dashboard'!$F$3="All")+('Employee Data'!$D$2:$D$493='Rewards Dashboard'!$F$3)&gt;0),--('Employee Data'!$D$2:$D$493=A59),--('Employee Data'!$E$2:$E$493=B59))/SUMPRODUCT(--('Employee Data'!$A$2:$A$493&lt;&gt;""),--(('Rewards Dashboard'!$B$3="All")+('Employee Data'!$E$2:$E$493='Rewards Dashboard'!$B$3)&gt;0),--(('Rewards Dashboard'!$D$3="All")+('Employee Data'!$C$2:$C$493='Rewards Dashboard'!$D$3)&gt;0),--(('Rewards Dashboard'!$F$3="All")+('Employee Data'!$D$2:$D$493='Rewards Dashboard'!$F$3)&gt;0),--('Employee Data'!$D$2:$D$493=A59),--('Employee Data'!$E$2:$E$493=B59)),0)</f>
        <v>5066</v>
      </c>
      <c r="E59" cm="1">
        <f t="array" ref="E59">SUMPRODUCT(--('Employee Data'!$A$2:$A$493&lt;&gt;""),--(('Rewards Dashboard'!$B$3="All")+('Employee Data'!$E$2:$E$493='Rewards Dashboard'!$B$3)&gt;0),--(('Rewards Dashboard'!$D$3="All")+('Employee Data'!$C$2:$C$493='Rewards Dashboard'!$D$3)&gt;0),--(('Rewards Dashboard'!$F$3="All")+('Employee Data'!$D$2:$D$493='Rewards Dashboard'!$F$3)&gt;0),--('Employee Data'!$D$2:$D$493=A59),--('Employee Data'!$E$2:$E$493=B59))</f>
        <v>25</v>
      </c>
      <c r="F59" cm="1">
        <f t="array" ref="F59">IFERROR(SUMPRODUCT(--('Employee Data'!$I$2:$I$493&gt;7000),--('Employee Data'!$A$2:$A$493&lt;&gt;""),--(('Rewards Dashboard'!$B$3="All")+('Employee Data'!$E$2:$E$493='Rewards Dashboard'!$B$3)&gt;0),--(('Rewards Dashboard'!$D$3="All")+('Employee Data'!$C$2:$C$493='Rewards Dashboard'!$D$3)&gt;0),--(('Rewards Dashboard'!$F$3="All")+('Employee Data'!$D$2:$D$493='Rewards Dashboard'!$F$3)&gt;0),--('Employee Data'!$D$2:$D$493=A59),--('Employee Data'!$E$2:$E$493=B59))/E59,0)</f>
        <v>0.2</v>
      </c>
    </row>
    <row r="60" spans="1:13" x14ac:dyDescent="0.25">
      <c r="A60" t="s">
        <v>3</v>
      </c>
      <c r="B60" t="s">
        <v>7</v>
      </c>
      <c r="C60" cm="1">
        <f t="array" ref="C60">IFERROR(SUMPRODUCT('Employee Data'!$F$2:$F$493,--('Employee Data'!$A$2:$A$493&lt;&gt;""),--(('Rewards Dashboard'!$B$3="All")+('Employee Data'!$E$2:$E$493='Rewards Dashboard'!$B$3)&gt;0),--(('Rewards Dashboard'!$D$3="All")+('Employee Data'!$C$2:$C$493='Rewards Dashboard'!$D$3)&gt;0),--(('Rewards Dashboard'!$F$3="All")+('Employee Data'!$D$2:$D$493='Rewards Dashboard'!$F$3)&gt;0),--('Employee Data'!$D$2:$D$493=A60),--('Employee Data'!$E$2:$E$493=B60))/SUMPRODUCT(--('Employee Data'!$A$2:$A$493&lt;&gt;""),--(('Rewards Dashboard'!$B$3="All")+('Employee Data'!$E$2:$E$493='Rewards Dashboard'!$B$3)&gt;0),--(('Rewards Dashboard'!$D$3="All")+('Employee Data'!$C$2:$C$493='Rewards Dashboard'!$D$3)&gt;0),--(('Rewards Dashboard'!$F$3="All")+('Employee Data'!$D$2:$D$493='Rewards Dashboard'!$F$3)&gt;0),--('Employee Data'!$D$2:$D$493=A60),--('Employee Data'!$E$2:$E$493=B60)),0)</f>
        <v>128885.24137931035</v>
      </c>
      <c r="D60" cm="1">
        <f t="array" ref="D60">IFERROR(SUMPRODUCT('Employee Data'!$I$2:$I$493,--('Employee Data'!$A$2:$A$493&lt;&gt;""),--(('Rewards Dashboard'!$B$3="All")+('Employee Data'!$E$2:$E$493='Rewards Dashboard'!$B$3)&gt;0),--(('Rewards Dashboard'!$D$3="All")+('Employee Data'!$C$2:$C$493='Rewards Dashboard'!$D$3)&gt;0),--(('Rewards Dashboard'!$F$3="All")+('Employee Data'!$D$2:$D$493='Rewards Dashboard'!$F$3)&gt;0),--('Employee Data'!$D$2:$D$493=A60),--('Employee Data'!$E$2:$E$493=B60))/SUMPRODUCT(--('Employee Data'!$A$2:$A$493&lt;&gt;""),--(('Rewards Dashboard'!$B$3="All")+('Employee Data'!$E$2:$E$493='Rewards Dashboard'!$B$3)&gt;0),--(('Rewards Dashboard'!$D$3="All")+('Employee Data'!$C$2:$C$493='Rewards Dashboard'!$D$3)&gt;0),--(('Rewards Dashboard'!$F$3="All")+('Employee Data'!$D$2:$D$493='Rewards Dashboard'!$F$3)&gt;0),--('Employee Data'!$D$2:$D$493=A60),--('Employee Data'!$E$2:$E$493=B60)),0)</f>
        <v>5944.8275862068967</v>
      </c>
      <c r="E60" cm="1">
        <f t="array" ref="E60">SUMPRODUCT(--('Employee Data'!$A$2:$A$493&lt;&gt;""),--(('Rewards Dashboard'!$B$3="All")+('Employee Data'!$E$2:$E$493='Rewards Dashboard'!$B$3)&gt;0),--(('Rewards Dashboard'!$D$3="All")+('Employee Data'!$C$2:$C$493='Rewards Dashboard'!$D$3)&gt;0),--(('Rewards Dashboard'!$F$3="All")+('Employee Data'!$D$2:$D$493='Rewards Dashboard'!$F$3)&gt;0),--('Employee Data'!$D$2:$D$493=A60),--('Employee Data'!$E$2:$E$493=B60))</f>
        <v>29</v>
      </c>
      <c r="F60" cm="1">
        <f t="array" ref="F60">IFERROR(SUMPRODUCT(--('Employee Data'!$I$2:$I$493&gt;7000),--('Employee Data'!$A$2:$A$493&lt;&gt;""),--(('Rewards Dashboard'!$B$3="All")+('Employee Data'!$E$2:$E$493='Rewards Dashboard'!$B$3)&gt;0),--(('Rewards Dashboard'!$D$3="All")+('Employee Data'!$C$2:$C$493='Rewards Dashboard'!$D$3)&gt;0),--(('Rewards Dashboard'!$F$3="All")+('Employee Data'!$D$2:$D$493='Rewards Dashboard'!$F$3)&gt;0),--('Employee Data'!$D$2:$D$493=A60),--('Employee Data'!$E$2:$E$493=B60))/E60,0)</f>
        <v>0.34482758620689657</v>
      </c>
    </row>
    <row r="61" spans="1:13" x14ac:dyDescent="0.25">
      <c r="A61" t="s">
        <v>12</v>
      </c>
      <c r="B61" t="s">
        <v>7</v>
      </c>
      <c r="C61" cm="1">
        <f t="array" ref="C61">IFERROR(SUMPRODUCT('Employee Data'!$F$2:$F$493,--('Employee Data'!$A$2:$A$493&lt;&gt;""),--(('Rewards Dashboard'!$B$3="All")+('Employee Data'!$E$2:$E$493='Rewards Dashboard'!$B$3)&gt;0),--(('Rewards Dashboard'!$D$3="All")+('Employee Data'!$C$2:$C$493='Rewards Dashboard'!$D$3)&gt;0),--(('Rewards Dashboard'!$F$3="All")+('Employee Data'!$D$2:$D$493='Rewards Dashboard'!$F$3)&gt;0),--('Employee Data'!$D$2:$D$493=A61),--('Employee Data'!$E$2:$E$493=B61))/SUMPRODUCT(--('Employee Data'!$A$2:$A$493&lt;&gt;""),--(('Rewards Dashboard'!$B$3="All")+('Employee Data'!$E$2:$E$493='Rewards Dashboard'!$B$3)&gt;0),--(('Rewards Dashboard'!$D$3="All")+('Employee Data'!$C$2:$C$493='Rewards Dashboard'!$D$3)&gt;0),--(('Rewards Dashboard'!$F$3="All")+('Employee Data'!$D$2:$D$493='Rewards Dashboard'!$F$3)&gt;0),--('Employee Data'!$D$2:$D$493=A61),--('Employee Data'!$E$2:$E$493=B61)),0)</f>
        <v>116479.5</v>
      </c>
      <c r="D61" cm="1">
        <f t="array" ref="D61">IFERROR(SUMPRODUCT('Employee Data'!$I$2:$I$493,--('Employee Data'!$A$2:$A$493&lt;&gt;""),--(('Rewards Dashboard'!$B$3="All")+('Employee Data'!$E$2:$E$493='Rewards Dashboard'!$B$3)&gt;0),--(('Rewards Dashboard'!$D$3="All")+('Employee Data'!$C$2:$C$493='Rewards Dashboard'!$D$3)&gt;0),--(('Rewards Dashboard'!$F$3="All")+('Employee Data'!$D$2:$D$493='Rewards Dashboard'!$F$3)&gt;0),--('Employee Data'!$D$2:$D$493=A61),--('Employee Data'!$E$2:$E$493=B61))/SUMPRODUCT(--('Employee Data'!$A$2:$A$493&lt;&gt;""),--(('Rewards Dashboard'!$B$3="All")+('Employee Data'!$E$2:$E$493='Rewards Dashboard'!$B$3)&gt;0),--(('Rewards Dashboard'!$D$3="All")+('Employee Data'!$C$2:$C$493='Rewards Dashboard'!$D$3)&gt;0),--(('Rewards Dashboard'!$F$3="All")+('Employee Data'!$D$2:$D$493='Rewards Dashboard'!$F$3)&gt;0),--('Employee Data'!$D$2:$D$493=A61),--('Employee Data'!$E$2:$E$493=B61)),0)</f>
        <v>4819.2307692307695</v>
      </c>
      <c r="E61" cm="1">
        <f t="array" ref="E61">SUMPRODUCT(--('Employee Data'!$A$2:$A$493&lt;&gt;""),--(('Rewards Dashboard'!$B$3="All")+('Employee Data'!$E$2:$E$493='Rewards Dashboard'!$B$3)&gt;0),--(('Rewards Dashboard'!$D$3="All")+('Employee Data'!$C$2:$C$493='Rewards Dashboard'!$D$3)&gt;0),--(('Rewards Dashboard'!$F$3="All")+('Employee Data'!$D$2:$D$493='Rewards Dashboard'!$F$3)&gt;0),--('Employee Data'!$D$2:$D$493=A61),--('Employee Data'!$E$2:$E$493=B61))</f>
        <v>26</v>
      </c>
      <c r="F61" cm="1">
        <f t="array" ref="F61">IFERROR(SUMPRODUCT(--('Employee Data'!$I$2:$I$493&gt;7000),--('Employee Data'!$A$2:$A$493&lt;&gt;""),--(('Rewards Dashboard'!$B$3="All")+('Employee Data'!$E$2:$E$493='Rewards Dashboard'!$B$3)&gt;0),--(('Rewards Dashboard'!$D$3="All")+('Employee Data'!$C$2:$C$493='Rewards Dashboard'!$D$3)&gt;0),--(('Rewards Dashboard'!$F$3="All")+('Employee Data'!$D$2:$D$493='Rewards Dashboard'!$F$3)&gt;0),--('Employee Data'!$D$2:$D$493=A61),--('Employee Data'!$E$2:$E$493=B61))/E61,0)</f>
        <v>0.19230769230769232</v>
      </c>
    </row>
    <row r="62" spans="1:13" x14ac:dyDescent="0.25">
      <c r="A62" t="s">
        <v>8</v>
      </c>
      <c r="B62" t="s">
        <v>7</v>
      </c>
      <c r="C62" cm="1">
        <f t="array" ref="C62">IFERROR(SUMPRODUCT('Employee Data'!$F$2:$F$493,--('Employee Data'!$A$2:$A$493&lt;&gt;""),--(('Rewards Dashboard'!$B$3="All")+('Employee Data'!$E$2:$E$493='Rewards Dashboard'!$B$3)&gt;0),--(('Rewards Dashboard'!$D$3="All")+('Employee Data'!$C$2:$C$493='Rewards Dashboard'!$D$3)&gt;0),--(('Rewards Dashboard'!$F$3="All")+('Employee Data'!$D$2:$D$493='Rewards Dashboard'!$F$3)&gt;0),--('Employee Data'!$D$2:$D$493=A62),--('Employee Data'!$E$2:$E$493=B62))/SUMPRODUCT(--('Employee Data'!$A$2:$A$493&lt;&gt;""),--(('Rewards Dashboard'!$B$3="All")+('Employee Data'!$E$2:$E$493='Rewards Dashboard'!$B$3)&gt;0),--(('Rewards Dashboard'!$D$3="All")+('Employee Data'!$C$2:$C$493='Rewards Dashboard'!$D$3)&gt;0),--(('Rewards Dashboard'!$F$3="All")+('Employee Data'!$D$2:$D$493='Rewards Dashboard'!$F$3)&gt;0),--('Employee Data'!$D$2:$D$493=A62),--('Employee Data'!$E$2:$E$493=B62)),0)</f>
        <v>130724.80769230769</v>
      </c>
      <c r="D62" cm="1">
        <f t="array" ref="D62">IFERROR(SUMPRODUCT('Employee Data'!$I$2:$I$493,--('Employee Data'!$A$2:$A$493&lt;&gt;""),--(('Rewards Dashboard'!$B$3="All")+('Employee Data'!$E$2:$E$493='Rewards Dashboard'!$B$3)&gt;0),--(('Rewards Dashboard'!$D$3="All")+('Employee Data'!$C$2:$C$493='Rewards Dashboard'!$D$3)&gt;0),--(('Rewards Dashboard'!$F$3="All")+('Employee Data'!$D$2:$D$493='Rewards Dashboard'!$F$3)&gt;0),--('Employee Data'!$D$2:$D$493=A62),--('Employee Data'!$E$2:$E$493=B62))/SUMPRODUCT(--('Employee Data'!$A$2:$A$493&lt;&gt;""),--(('Rewards Dashboard'!$B$3="All")+('Employee Data'!$E$2:$E$493='Rewards Dashboard'!$B$3)&gt;0),--(('Rewards Dashboard'!$D$3="All")+('Employee Data'!$C$2:$C$493='Rewards Dashboard'!$D$3)&gt;0),--(('Rewards Dashboard'!$F$3="All")+('Employee Data'!$D$2:$D$493='Rewards Dashboard'!$F$3)&gt;0),--('Employee Data'!$D$2:$D$493=A62),--('Employee Data'!$E$2:$E$493=B62)),0)</f>
        <v>5475</v>
      </c>
      <c r="E62" cm="1">
        <f t="array" ref="E62">SUMPRODUCT(--('Employee Data'!$A$2:$A$493&lt;&gt;""),--(('Rewards Dashboard'!$B$3="All")+('Employee Data'!$E$2:$E$493='Rewards Dashboard'!$B$3)&gt;0),--(('Rewards Dashboard'!$D$3="All")+('Employee Data'!$C$2:$C$493='Rewards Dashboard'!$D$3)&gt;0),--(('Rewards Dashboard'!$F$3="All")+('Employee Data'!$D$2:$D$493='Rewards Dashboard'!$F$3)&gt;0),--('Employee Data'!$D$2:$D$493=A62),--('Employee Data'!$E$2:$E$493=B62))</f>
        <v>26</v>
      </c>
      <c r="F62" cm="1">
        <f t="array" ref="F62">IFERROR(SUMPRODUCT(--('Employee Data'!$I$2:$I$493&gt;7000),--('Employee Data'!$A$2:$A$493&lt;&gt;""),--(('Rewards Dashboard'!$B$3="All")+('Employee Data'!$E$2:$E$493='Rewards Dashboard'!$B$3)&gt;0),--(('Rewards Dashboard'!$D$3="All")+('Employee Data'!$C$2:$C$493='Rewards Dashboard'!$D$3)&gt;0),--(('Rewards Dashboard'!$F$3="All")+('Employee Data'!$D$2:$D$493='Rewards Dashboard'!$F$3)&gt;0),--('Employee Data'!$D$2:$D$493=A62),--('Employee Data'!$E$2:$E$493=B62))/E62,0)</f>
        <v>0.30769230769230771</v>
      </c>
    </row>
    <row r="63" spans="1:13" x14ac:dyDescent="0.25">
      <c r="A63" t="s">
        <v>14</v>
      </c>
      <c r="B63" t="s">
        <v>7</v>
      </c>
      <c r="C63" cm="1">
        <f t="array" ref="C63">IFERROR(SUMPRODUCT('Employee Data'!$F$2:$F$493,--('Employee Data'!$A$2:$A$493&lt;&gt;""),--(('Rewards Dashboard'!$B$3="All")+('Employee Data'!$E$2:$E$493='Rewards Dashboard'!$B$3)&gt;0),--(('Rewards Dashboard'!$D$3="All")+('Employee Data'!$C$2:$C$493='Rewards Dashboard'!$D$3)&gt;0),--(('Rewards Dashboard'!$F$3="All")+('Employee Data'!$D$2:$D$493='Rewards Dashboard'!$F$3)&gt;0),--('Employee Data'!$D$2:$D$493=A63),--('Employee Data'!$E$2:$E$493=B63))/SUMPRODUCT(--('Employee Data'!$A$2:$A$493&lt;&gt;""),--(('Rewards Dashboard'!$B$3="All")+('Employee Data'!$E$2:$E$493='Rewards Dashboard'!$B$3)&gt;0),--(('Rewards Dashboard'!$D$3="All")+('Employee Data'!$C$2:$C$493='Rewards Dashboard'!$D$3)&gt;0),--(('Rewards Dashboard'!$F$3="All")+('Employee Data'!$D$2:$D$493='Rewards Dashboard'!$F$3)&gt;0),--('Employee Data'!$D$2:$D$493=A63),--('Employee Data'!$E$2:$E$493=B63)),0)</f>
        <v>117752.25714285714</v>
      </c>
      <c r="D63" cm="1">
        <f t="array" ref="D63">IFERROR(SUMPRODUCT('Employee Data'!$I$2:$I$493,--('Employee Data'!$A$2:$A$493&lt;&gt;""),--(('Rewards Dashboard'!$B$3="All")+('Employee Data'!$E$2:$E$493='Rewards Dashboard'!$B$3)&gt;0),--(('Rewards Dashboard'!$D$3="All")+('Employee Data'!$C$2:$C$493='Rewards Dashboard'!$D$3)&gt;0),--(('Rewards Dashboard'!$F$3="All")+('Employee Data'!$D$2:$D$493='Rewards Dashboard'!$F$3)&gt;0),--('Employee Data'!$D$2:$D$493=A63),--('Employee Data'!$E$2:$E$493=B63))/SUMPRODUCT(--('Employee Data'!$A$2:$A$493&lt;&gt;""),--(('Rewards Dashboard'!$B$3="All")+('Employee Data'!$E$2:$E$493='Rewards Dashboard'!$B$3)&gt;0),--(('Rewards Dashboard'!$D$3="All")+('Employee Data'!$C$2:$C$493='Rewards Dashboard'!$D$3)&gt;0),--(('Rewards Dashboard'!$F$3="All")+('Employee Data'!$D$2:$D$493='Rewards Dashboard'!$F$3)&gt;0),--('Employee Data'!$D$2:$D$493=A63),--('Employee Data'!$E$2:$E$493=B63)),0)</f>
        <v>5268.5714285714284</v>
      </c>
      <c r="E63" cm="1">
        <f t="array" ref="E63">SUMPRODUCT(--('Employee Data'!$A$2:$A$493&lt;&gt;""),--(('Rewards Dashboard'!$B$3="All")+('Employee Data'!$E$2:$E$493='Rewards Dashboard'!$B$3)&gt;0),--(('Rewards Dashboard'!$D$3="All")+('Employee Data'!$C$2:$C$493='Rewards Dashboard'!$D$3)&gt;0),--(('Rewards Dashboard'!$F$3="All")+('Employee Data'!$D$2:$D$493='Rewards Dashboard'!$F$3)&gt;0),--('Employee Data'!$D$2:$D$493=A63),--('Employee Data'!$E$2:$E$493=B63))</f>
        <v>35</v>
      </c>
      <c r="F63" cm="1">
        <f t="array" ref="F63">IFERROR(SUMPRODUCT(--('Employee Data'!$I$2:$I$493&gt;7000),--('Employee Data'!$A$2:$A$493&lt;&gt;""),--(('Rewards Dashboard'!$B$3="All")+('Employee Data'!$E$2:$E$493='Rewards Dashboard'!$B$3)&gt;0),--(('Rewards Dashboard'!$D$3="All")+('Employee Data'!$C$2:$C$493='Rewards Dashboard'!$D$3)&gt;0),--(('Rewards Dashboard'!$F$3="All")+('Employee Data'!$D$2:$D$493='Rewards Dashboard'!$F$3)&gt;0),--('Employee Data'!$D$2:$D$493=A63),--('Employee Data'!$E$2:$E$493=B63))/E63,0)</f>
        <v>0.22857142857142856</v>
      </c>
    </row>
    <row r="64" spans="1:13" x14ac:dyDescent="0.25">
      <c r="A64" t="s">
        <v>11</v>
      </c>
      <c r="B64" t="s">
        <v>7</v>
      </c>
      <c r="C64" cm="1">
        <f t="array" ref="C64">IFERROR(SUMPRODUCT('Employee Data'!$F$2:$F$493,--('Employee Data'!$A$2:$A$493&lt;&gt;""),--(('Rewards Dashboard'!$B$3="All")+('Employee Data'!$E$2:$E$493='Rewards Dashboard'!$B$3)&gt;0),--(('Rewards Dashboard'!$D$3="All")+('Employee Data'!$C$2:$C$493='Rewards Dashboard'!$D$3)&gt;0),--(('Rewards Dashboard'!$F$3="All")+('Employee Data'!$D$2:$D$493='Rewards Dashboard'!$F$3)&gt;0),--('Employee Data'!$D$2:$D$493=A64),--('Employee Data'!$E$2:$E$493=B64))/SUMPRODUCT(--('Employee Data'!$A$2:$A$493&lt;&gt;""),--(('Rewards Dashboard'!$B$3="All")+('Employee Data'!$E$2:$E$493='Rewards Dashboard'!$B$3)&gt;0),--(('Rewards Dashboard'!$D$3="All")+('Employee Data'!$C$2:$C$493='Rewards Dashboard'!$D$3)&gt;0),--(('Rewards Dashboard'!$F$3="All")+('Employee Data'!$D$2:$D$493='Rewards Dashboard'!$F$3)&gt;0),--('Employee Data'!$D$2:$D$493=A64),--('Employee Data'!$E$2:$E$493=B64)),0)</f>
        <v>99810.75</v>
      </c>
      <c r="D64" cm="1">
        <f t="array" ref="D64">IFERROR(SUMPRODUCT('Employee Data'!$I$2:$I$493,--('Employee Data'!$A$2:$A$493&lt;&gt;""),--(('Rewards Dashboard'!$B$3="All")+('Employee Data'!$E$2:$E$493='Rewards Dashboard'!$B$3)&gt;0),--(('Rewards Dashboard'!$D$3="All")+('Employee Data'!$C$2:$C$493='Rewards Dashboard'!$D$3)&gt;0),--(('Rewards Dashboard'!$F$3="All")+('Employee Data'!$D$2:$D$493='Rewards Dashboard'!$F$3)&gt;0),--('Employee Data'!$D$2:$D$493=A64),--('Employee Data'!$E$2:$E$493=B64))/SUMPRODUCT(--('Employee Data'!$A$2:$A$493&lt;&gt;""),--(('Rewards Dashboard'!$B$3="All")+('Employee Data'!$E$2:$E$493='Rewards Dashboard'!$B$3)&gt;0),--(('Rewards Dashboard'!$D$3="All")+('Employee Data'!$C$2:$C$493='Rewards Dashboard'!$D$3)&gt;0),--(('Rewards Dashboard'!$F$3="All")+('Employee Data'!$D$2:$D$493='Rewards Dashboard'!$F$3)&gt;0),--('Employee Data'!$D$2:$D$493=A64),--('Employee Data'!$E$2:$E$493=B64)),0)</f>
        <v>4591.666666666667</v>
      </c>
      <c r="E64" cm="1">
        <f t="array" ref="E64">SUMPRODUCT(--('Employee Data'!$A$2:$A$493&lt;&gt;""),--(('Rewards Dashboard'!$B$3="All")+('Employee Data'!$E$2:$E$493='Rewards Dashboard'!$B$3)&gt;0),--(('Rewards Dashboard'!$D$3="All")+('Employee Data'!$C$2:$C$493='Rewards Dashboard'!$D$3)&gt;0),--(('Rewards Dashboard'!$F$3="All")+('Employee Data'!$D$2:$D$493='Rewards Dashboard'!$F$3)&gt;0),--('Employee Data'!$D$2:$D$493=A64),--('Employee Data'!$E$2:$E$493=B64))</f>
        <v>24</v>
      </c>
      <c r="F64" cm="1">
        <f t="array" ref="F64">IFERROR(SUMPRODUCT(--('Employee Data'!$I$2:$I$493&gt;7000),--('Employee Data'!$A$2:$A$493&lt;&gt;""),--(('Rewards Dashboard'!$B$3="All")+('Employee Data'!$E$2:$E$493='Rewards Dashboard'!$B$3)&gt;0),--(('Rewards Dashboard'!$D$3="All")+('Employee Data'!$C$2:$C$493='Rewards Dashboard'!$D$3)&gt;0),--(('Rewards Dashboard'!$F$3="All")+('Employee Data'!$D$2:$D$493='Rewards Dashboard'!$F$3)&gt;0),--('Employee Data'!$D$2:$D$493=A64),--('Employee Data'!$E$2:$E$493=B64))/E64,0)</f>
        <v>0.25</v>
      </c>
    </row>
    <row r="65" spans="1:6" x14ac:dyDescent="0.25">
      <c r="A65" t="s">
        <v>3</v>
      </c>
      <c r="B65" t="s">
        <v>4</v>
      </c>
      <c r="C65" cm="1">
        <f t="array" ref="C65">IFERROR(SUMPRODUCT('Employee Data'!$F$2:$F$493,--('Employee Data'!$A$2:$A$493&lt;&gt;""),--(('Rewards Dashboard'!$B$3="All")+('Employee Data'!$E$2:$E$493='Rewards Dashboard'!$B$3)&gt;0),--(('Rewards Dashboard'!$D$3="All")+('Employee Data'!$C$2:$C$493='Rewards Dashboard'!$D$3)&gt;0),--(('Rewards Dashboard'!$F$3="All")+('Employee Data'!$D$2:$D$493='Rewards Dashboard'!$F$3)&gt;0),--('Employee Data'!$D$2:$D$493=A65),--('Employee Data'!$E$2:$E$493=B65))/SUMPRODUCT(--('Employee Data'!$A$2:$A$493&lt;&gt;""),--(('Rewards Dashboard'!$B$3="All")+('Employee Data'!$E$2:$E$493='Rewards Dashboard'!$B$3)&gt;0),--(('Rewards Dashboard'!$D$3="All")+('Employee Data'!$C$2:$C$493='Rewards Dashboard'!$D$3)&gt;0),--(('Rewards Dashboard'!$F$3="All")+('Employee Data'!$D$2:$D$493='Rewards Dashboard'!$F$3)&gt;0),--('Employee Data'!$D$2:$D$493=A65),--('Employee Data'!$E$2:$E$493=B65)),0)</f>
        <v>126815</v>
      </c>
      <c r="D65" cm="1">
        <f t="array" ref="D65">IFERROR(SUMPRODUCT('Employee Data'!$I$2:$I$493,--('Employee Data'!$A$2:$A$493&lt;&gt;""),--(('Rewards Dashboard'!$B$3="All")+('Employee Data'!$E$2:$E$493='Rewards Dashboard'!$B$3)&gt;0),--(('Rewards Dashboard'!$D$3="All")+('Employee Data'!$C$2:$C$493='Rewards Dashboard'!$D$3)&gt;0),--(('Rewards Dashboard'!$F$3="All")+('Employee Data'!$D$2:$D$493='Rewards Dashboard'!$F$3)&gt;0),--('Employee Data'!$D$2:$D$493=A65),--('Employee Data'!$E$2:$E$493=B65))/SUMPRODUCT(--('Employee Data'!$A$2:$A$493&lt;&gt;""),--(('Rewards Dashboard'!$B$3="All")+('Employee Data'!$E$2:$E$493='Rewards Dashboard'!$B$3)&gt;0),--(('Rewards Dashboard'!$D$3="All")+('Employee Data'!$C$2:$C$493='Rewards Dashboard'!$D$3)&gt;0),--(('Rewards Dashboard'!$F$3="All")+('Employee Data'!$D$2:$D$493='Rewards Dashboard'!$F$3)&gt;0),--('Employee Data'!$D$2:$D$493=A65),--('Employee Data'!$E$2:$E$493=B65)),0)</f>
        <v>5785.416666666667</v>
      </c>
      <c r="E65" cm="1">
        <f t="array" ref="E65">SUMPRODUCT(--('Employee Data'!$A$2:$A$493&lt;&gt;""),--(('Rewards Dashboard'!$B$3="All")+('Employee Data'!$E$2:$E$493='Rewards Dashboard'!$B$3)&gt;0),--(('Rewards Dashboard'!$D$3="All")+('Employee Data'!$C$2:$C$493='Rewards Dashboard'!$D$3)&gt;0),--(('Rewards Dashboard'!$F$3="All")+('Employee Data'!$D$2:$D$493='Rewards Dashboard'!$F$3)&gt;0),--('Employee Data'!$D$2:$D$493=A65),--('Employee Data'!$E$2:$E$493=B65))</f>
        <v>24</v>
      </c>
      <c r="F65" cm="1">
        <f t="array" ref="F65">IFERROR(SUMPRODUCT(--('Employee Data'!$I$2:$I$493&gt;7000),--('Employee Data'!$A$2:$A$493&lt;&gt;""),--(('Rewards Dashboard'!$B$3="All")+('Employee Data'!$E$2:$E$493='Rewards Dashboard'!$B$3)&gt;0),--(('Rewards Dashboard'!$D$3="All")+('Employee Data'!$C$2:$C$493='Rewards Dashboard'!$D$3)&gt;0),--(('Rewards Dashboard'!$F$3="All")+('Employee Data'!$D$2:$D$493='Rewards Dashboard'!$F$3)&gt;0),--('Employee Data'!$D$2:$D$493=A65),--('Employee Data'!$E$2:$E$493=B65))/E65,0)</f>
        <v>0.25</v>
      </c>
    </row>
    <row r="66" spans="1:6" x14ac:dyDescent="0.25">
      <c r="A66" t="s">
        <v>12</v>
      </c>
      <c r="B66" t="s">
        <v>4</v>
      </c>
      <c r="C66" cm="1">
        <f t="array" ref="C66">IFERROR(SUMPRODUCT('Employee Data'!$F$2:$F$493,--('Employee Data'!$A$2:$A$493&lt;&gt;""),--(('Rewards Dashboard'!$B$3="All")+('Employee Data'!$E$2:$E$493='Rewards Dashboard'!$B$3)&gt;0),--(('Rewards Dashboard'!$D$3="All")+('Employee Data'!$C$2:$C$493='Rewards Dashboard'!$D$3)&gt;0),--(('Rewards Dashboard'!$F$3="All")+('Employee Data'!$D$2:$D$493='Rewards Dashboard'!$F$3)&gt;0),--('Employee Data'!$D$2:$D$493=A66),--('Employee Data'!$E$2:$E$493=B66))/SUMPRODUCT(--('Employee Data'!$A$2:$A$493&lt;&gt;""),--(('Rewards Dashboard'!$B$3="All")+('Employee Data'!$E$2:$E$493='Rewards Dashboard'!$B$3)&gt;0),--(('Rewards Dashboard'!$D$3="All")+('Employee Data'!$C$2:$C$493='Rewards Dashboard'!$D$3)&gt;0),--(('Rewards Dashboard'!$F$3="All")+('Employee Data'!$D$2:$D$493='Rewards Dashboard'!$F$3)&gt;0),--('Employee Data'!$D$2:$D$493=A66),--('Employee Data'!$E$2:$E$493=B66)),0)</f>
        <v>99674</v>
      </c>
      <c r="D66" cm="1">
        <f t="array" ref="D66">IFERROR(SUMPRODUCT('Employee Data'!$I$2:$I$493,--('Employee Data'!$A$2:$A$493&lt;&gt;""),--(('Rewards Dashboard'!$B$3="All")+('Employee Data'!$E$2:$E$493='Rewards Dashboard'!$B$3)&gt;0),--(('Rewards Dashboard'!$D$3="All")+('Employee Data'!$C$2:$C$493='Rewards Dashboard'!$D$3)&gt;0),--(('Rewards Dashboard'!$F$3="All")+('Employee Data'!$D$2:$D$493='Rewards Dashboard'!$F$3)&gt;0),--('Employee Data'!$D$2:$D$493=A66),--('Employee Data'!$E$2:$E$493=B66))/SUMPRODUCT(--('Employee Data'!$A$2:$A$493&lt;&gt;""),--(('Rewards Dashboard'!$B$3="All")+('Employee Data'!$E$2:$E$493='Rewards Dashboard'!$B$3)&gt;0),--(('Rewards Dashboard'!$D$3="All")+('Employee Data'!$C$2:$C$493='Rewards Dashboard'!$D$3)&gt;0),--(('Rewards Dashboard'!$F$3="All")+('Employee Data'!$D$2:$D$493='Rewards Dashboard'!$F$3)&gt;0),--('Employee Data'!$D$2:$D$493=A66),--('Employee Data'!$E$2:$E$493=B66)),0)</f>
        <v>4577.272727272727</v>
      </c>
      <c r="E66" cm="1">
        <f t="array" ref="E66">SUMPRODUCT(--('Employee Data'!$A$2:$A$493&lt;&gt;""),--(('Rewards Dashboard'!$B$3="All")+('Employee Data'!$E$2:$E$493='Rewards Dashboard'!$B$3)&gt;0),--(('Rewards Dashboard'!$D$3="All")+('Employee Data'!$C$2:$C$493='Rewards Dashboard'!$D$3)&gt;0),--(('Rewards Dashboard'!$F$3="All")+('Employee Data'!$D$2:$D$493='Rewards Dashboard'!$F$3)&gt;0),--('Employee Data'!$D$2:$D$493=A66),--('Employee Data'!$E$2:$E$493=B66))</f>
        <v>22</v>
      </c>
      <c r="F66" cm="1">
        <f t="array" ref="F66">IFERROR(SUMPRODUCT(--('Employee Data'!$I$2:$I$493&gt;7000),--('Employee Data'!$A$2:$A$493&lt;&gt;""),--(('Rewards Dashboard'!$B$3="All")+('Employee Data'!$E$2:$E$493='Rewards Dashboard'!$B$3)&gt;0),--(('Rewards Dashboard'!$D$3="All")+('Employee Data'!$C$2:$C$493='Rewards Dashboard'!$D$3)&gt;0),--(('Rewards Dashboard'!$F$3="All")+('Employee Data'!$D$2:$D$493='Rewards Dashboard'!$F$3)&gt;0),--('Employee Data'!$D$2:$D$493=A66),--('Employee Data'!$E$2:$E$493=B66))/E66,0)</f>
        <v>0.18181818181818182</v>
      </c>
    </row>
    <row r="67" spans="1:6" x14ac:dyDescent="0.25">
      <c r="A67" t="s">
        <v>8</v>
      </c>
      <c r="B67" t="s">
        <v>4</v>
      </c>
      <c r="C67" cm="1">
        <f t="array" ref="C67">IFERROR(SUMPRODUCT('Employee Data'!$F$2:$F$493,--('Employee Data'!$A$2:$A$493&lt;&gt;""),--(('Rewards Dashboard'!$B$3="All")+('Employee Data'!$E$2:$E$493='Rewards Dashboard'!$B$3)&gt;0),--(('Rewards Dashboard'!$D$3="All")+('Employee Data'!$C$2:$C$493='Rewards Dashboard'!$D$3)&gt;0),--(('Rewards Dashboard'!$F$3="All")+('Employee Data'!$D$2:$D$493='Rewards Dashboard'!$F$3)&gt;0),--('Employee Data'!$D$2:$D$493=A67),--('Employee Data'!$E$2:$E$493=B67))/SUMPRODUCT(--('Employee Data'!$A$2:$A$493&lt;&gt;""),--(('Rewards Dashboard'!$B$3="All")+('Employee Data'!$E$2:$E$493='Rewards Dashboard'!$B$3)&gt;0),--(('Rewards Dashboard'!$D$3="All")+('Employee Data'!$C$2:$C$493='Rewards Dashboard'!$D$3)&gt;0),--(('Rewards Dashboard'!$F$3="All")+('Employee Data'!$D$2:$D$493='Rewards Dashboard'!$F$3)&gt;0),--('Employee Data'!$D$2:$D$493=A67),--('Employee Data'!$E$2:$E$493=B67)),0)</f>
        <v>116921</v>
      </c>
      <c r="D67" cm="1">
        <f t="array" ref="D67">IFERROR(SUMPRODUCT('Employee Data'!$I$2:$I$493,--('Employee Data'!$A$2:$A$493&lt;&gt;""),--(('Rewards Dashboard'!$B$3="All")+('Employee Data'!$E$2:$E$493='Rewards Dashboard'!$B$3)&gt;0),--(('Rewards Dashboard'!$D$3="All")+('Employee Data'!$C$2:$C$493='Rewards Dashboard'!$D$3)&gt;0),--(('Rewards Dashboard'!$F$3="All")+('Employee Data'!$D$2:$D$493='Rewards Dashboard'!$F$3)&gt;0),--('Employee Data'!$D$2:$D$493=A67),--('Employee Data'!$E$2:$E$493=B67))/SUMPRODUCT(--('Employee Data'!$A$2:$A$493&lt;&gt;""),--(('Rewards Dashboard'!$B$3="All")+('Employee Data'!$E$2:$E$493='Rewards Dashboard'!$B$3)&gt;0),--(('Rewards Dashboard'!$D$3="All")+('Employee Data'!$C$2:$C$493='Rewards Dashboard'!$D$3)&gt;0),--(('Rewards Dashboard'!$F$3="All")+('Employee Data'!$D$2:$D$493='Rewards Dashboard'!$F$3)&gt;0),--('Employee Data'!$D$2:$D$493=A67),--('Employee Data'!$E$2:$E$493=B67)),0)</f>
        <v>5140</v>
      </c>
      <c r="E67" cm="1">
        <f t="array" ref="E67">SUMPRODUCT(--('Employee Data'!$A$2:$A$493&lt;&gt;""),--(('Rewards Dashboard'!$B$3="All")+('Employee Data'!$E$2:$E$493='Rewards Dashboard'!$B$3)&gt;0),--(('Rewards Dashboard'!$D$3="All")+('Employee Data'!$C$2:$C$493='Rewards Dashboard'!$D$3)&gt;0),--(('Rewards Dashboard'!$F$3="All")+('Employee Data'!$D$2:$D$493='Rewards Dashboard'!$F$3)&gt;0),--('Employee Data'!$D$2:$D$493=A67),--('Employee Data'!$E$2:$E$493=B67))</f>
        <v>25</v>
      </c>
      <c r="F67" cm="1">
        <f t="array" ref="F67">IFERROR(SUMPRODUCT(--('Employee Data'!$I$2:$I$493&gt;7000),--('Employee Data'!$A$2:$A$493&lt;&gt;""),--(('Rewards Dashboard'!$B$3="All")+('Employee Data'!$E$2:$E$493='Rewards Dashboard'!$B$3)&gt;0),--(('Rewards Dashboard'!$D$3="All")+('Employee Data'!$C$2:$C$493='Rewards Dashboard'!$D$3)&gt;0),--(('Rewards Dashboard'!$F$3="All")+('Employee Data'!$D$2:$D$493='Rewards Dashboard'!$F$3)&gt;0),--('Employee Data'!$D$2:$D$493=A67),--('Employee Data'!$E$2:$E$493=B67))/E67,0)</f>
        <v>0.16</v>
      </c>
    </row>
    <row r="68" spans="1:6" x14ac:dyDescent="0.25">
      <c r="A68" t="s">
        <v>14</v>
      </c>
      <c r="B68" t="s">
        <v>4</v>
      </c>
      <c r="C68" cm="1">
        <f t="array" ref="C68">IFERROR(SUMPRODUCT('Employee Data'!$F$2:$F$493,--('Employee Data'!$A$2:$A$493&lt;&gt;""),--(('Rewards Dashboard'!$B$3="All")+('Employee Data'!$E$2:$E$493='Rewards Dashboard'!$B$3)&gt;0),--(('Rewards Dashboard'!$D$3="All")+('Employee Data'!$C$2:$C$493='Rewards Dashboard'!$D$3)&gt;0),--(('Rewards Dashboard'!$F$3="All")+('Employee Data'!$D$2:$D$493='Rewards Dashboard'!$F$3)&gt;0),--('Employee Data'!$D$2:$D$493=A68),--('Employee Data'!$E$2:$E$493=B68))/SUMPRODUCT(--('Employee Data'!$A$2:$A$493&lt;&gt;""),--(('Rewards Dashboard'!$B$3="All")+('Employee Data'!$E$2:$E$493='Rewards Dashboard'!$B$3)&gt;0),--(('Rewards Dashboard'!$D$3="All")+('Employee Data'!$C$2:$C$493='Rewards Dashboard'!$D$3)&gt;0),--(('Rewards Dashboard'!$F$3="All")+('Employee Data'!$D$2:$D$493='Rewards Dashboard'!$F$3)&gt;0),--('Employee Data'!$D$2:$D$493=A68),--('Employee Data'!$E$2:$E$493=B68)),0)</f>
        <v>110101.08333333333</v>
      </c>
      <c r="D68" cm="1">
        <f t="array" ref="D68">IFERROR(SUMPRODUCT('Employee Data'!$I$2:$I$493,--('Employee Data'!$A$2:$A$493&lt;&gt;""),--(('Rewards Dashboard'!$B$3="All")+('Employee Data'!$E$2:$E$493='Rewards Dashboard'!$B$3)&gt;0),--(('Rewards Dashboard'!$D$3="All")+('Employee Data'!$C$2:$C$493='Rewards Dashboard'!$D$3)&gt;0),--(('Rewards Dashboard'!$F$3="All")+('Employee Data'!$D$2:$D$493='Rewards Dashboard'!$F$3)&gt;0),--('Employee Data'!$D$2:$D$493=A68),--('Employee Data'!$E$2:$E$493=B68))/SUMPRODUCT(--('Employee Data'!$A$2:$A$493&lt;&gt;""),--(('Rewards Dashboard'!$B$3="All")+('Employee Data'!$E$2:$E$493='Rewards Dashboard'!$B$3)&gt;0),--(('Rewards Dashboard'!$D$3="All")+('Employee Data'!$C$2:$C$493='Rewards Dashboard'!$D$3)&gt;0),--(('Rewards Dashboard'!$F$3="All")+('Employee Data'!$D$2:$D$493='Rewards Dashboard'!$F$3)&gt;0),--('Employee Data'!$D$2:$D$493=A68),--('Employee Data'!$E$2:$E$493=B68)),0)</f>
        <v>5293.75</v>
      </c>
      <c r="E68" cm="1">
        <f t="array" ref="E68">SUMPRODUCT(--('Employee Data'!$A$2:$A$493&lt;&gt;""),--(('Rewards Dashboard'!$B$3="All")+('Employee Data'!$E$2:$E$493='Rewards Dashboard'!$B$3)&gt;0),--(('Rewards Dashboard'!$D$3="All")+('Employee Data'!$C$2:$C$493='Rewards Dashboard'!$D$3)&gt;0),--(('Rewards Dashboard'!$F$3="All")+('Employee Data'!$D$2:$D$493='Rewards Dashboard'!$F$3)&gt;0),--('Employee Data'!$D$2:$D$493=A68),--('Employee Data'!$E$2:$E$493=B68))</f>
        <v>24</v>
      </c>
      <c r="F68" cm="1">
        <f t="array" ref="F68">IFERROR(SUMPRODUCT(--('Employee Data'!$I$2:$I$493&gt;7000),--('Employee Data'!$A$2:$A$493&lt;&gt;""),--(('Rewards Dashboard'!$B$3="All")+('Employee Data'!$E$2:$E$493='Rewards Dashboard'!$B$3)&gt;0),--(('Rewards Dashboard'!$D$3="All")+('Employee Data'!$C$2:$C$493='Rewards Dashboard'!$D$3)&gt;0),--(('Rewards Dashboard'!$F$3="All")+('Employee Data'!$D$2:$D$493='Rewards Dashboard'!$F$3)&gt;0),--('Employee Data'!$D$2:$D$493=A68),--('Employee Data'!$E$2:$E$493=B68))/E68,0)</f>
        <v>0.29166666666666669</v>
      </c>
    </row>
    <row r="69" spans="1:6" x14ac:dyDescent="0.25">
      <c r="A69" t="s">
        <v>11</v>
      </c>
      <c r="B69" t="s">
        <v>4</v>
      </c>
      <c r="C69" cm="1">
        <f t="array" ref="C69">IFERROR(SUMPRODUCT('Employee Data'!$F$2:$F$493,--('Employee Data'!$A$2:$A$493&lt;&gt;""),--(('Rewards Dashboard'!$B$3="All")+('Employee Data'!$E$2:$E$493='Rewards Dashboard'!$B$3)&gt;0),--(('Rewards Dashboard'!$D$3="All")+('Employee Data'!$C$2:$C$493='Rewards Dashboard'!$D$3)&gt;0),--(('Rewards Dashboard'!$F$3="All")+('Employee Data'!$D$2:$D$493='Rewards Dashboard'!$F$3)&gt;0),--('Employee Data'!$D$2:$D$493=A69),--('Employee Data'!$E$2:$E$493=B69))/SUMPRODUCT(--('Employee Data'!$A$2:$A$493&lt;&gt;""),--(('Rewards Dashboard'!$B$3="All")+('Employee Data'!$E$2:$E$493='Rewards Dashboard'!$B$3)&gt;0),--(('Rewards Dashboard'!$D$3="All")+('Employee Data'!$C$2:$C$493='Rewards Dashboard'!$D$3)&gt;0),--(('Rewards Dashboard'!$F$3="All")+('Employee Data'!$D$2:$D$493='Rewards Dashboard'!$F$3)&gt;0),--('Employee Data'!$D$2:$D$493=A69),--('Employee Data'!$E$2:$E$493=B69)),0)</f>
        <v>124199.25925925926</v>
      </c>
      <c r="D69" cm="1">
        <f t="array" ref="D69">IFERROR(SUMPRODUCT('Employee Data'!$I$2:$I$493,--('Employee Data'!$A$2:$A$493&lt;&gt;""),--(('Rewards Dashboard'!$B$3="All")+('Employee Data'!$E$2:$E$493='Rewards Dashboard'!$B$3)&gt;0),--(('Rewards Dashboard'!$D$3="All")+('Employee Data'!$C$2:$C$493='Rewards Dashboard'!$D$3)&gt;0),--(('Rewards Dashboard'!$F$3="All")+('Employee Data'!$D$2:$D$493='Rewards Dashboard'!$F$3)&gt;0),--('Employee Data'!$D$2:$D$493=A69),--('Employee Data'!$E$2:$E$493=B69))/SUMPRODUCT(--('Employee Data'!$A$2:$A$493&lt;&gt;""),--(('Rewards Dashboard'!$B$3="All")+('Employee Data'!$E$2:$E$493='Rewards Dashboard'!$B$3)&gt;0),--(('Rewards Dashboard'!$D$3="All")+('Employee Data'!$C$2:$C$493='Rewards Dashboard'!$D$3)&gt;0),--(('Rewards Dashboard'!$F$3="All")+('Employee Data'!$D$2:$D$493='Rewards Dashboard'!$F$3)&gt;0),--('Employee Data'!$D$2:$D$493=A69),--('Employee Data'!$E$2:$E$493=B69)),0)</f>
        <v>5511.1111111111113</v>
      </c>
      <c r="E69" cm="1">
        <f t="array" ref="E69">SUMPRODUCT(--('Employee Data'!$A$2:$A$493&lt;&gt;""),--(('Rewards Dashboard'!$B$3="All")+('Employee Data'!$E$2:$E$493='Rewards Dashboard'!$B$3)&gt;0),--(('Rewards Dashboard'!$D$3="All")+('Employee Data'!$C$2:$C$493='Rewards Dashboard'!$D$3)&gt;0),--(('Rewards Dashboard'!$F$3="All")+('Employee Data'!$D$2:$D$493='Rewards Dashboard'!$F$3)&gt;0),--('Employee Data'!$D$2:$D$493=A69),--('Employee Data'!$E$2:$E$493=B69))</f>
        <v>27</v>
      </c>
      <c r="F69" cm="1">
        <f t="array" ref="F69">IFERROR(SUMPRODUCT(--('Employee Data'!$I$2:$I$493&gt;7000),--('Employee Data'!$A$2:$A$493&lt;&gt;""),--(('Rewards Dashboard'!$B$3="All")+('Employee Data'!$E$2:$E$493='Rewards Dashboard'!$B$3)&gt;0),--(('Rewards Dashboard'!$D$3="All")+('Employee Data'!$C$2:$C$493='Rewards Dashboard'!$D$3)&gt;0),--(('Rewards Dashboard'!$F$3="All")+('Employee Data'!$D$2:$D$493='Rewards Dashboard'!$F$3)&gt;0),--('Employee Data'!$D$2:$D$493=A69),--('Employee Data'!$E$2:$E$493=B69))/E69,0)</f>
        <v>0.22222222222222221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79E3-A62E-4DEA-B215-4F14423E12E0}">
  <dimension ref="A1:AB33"/>
  <sheetViews>
    <sheetView topLeftCell="K1" workbookViewId="0">
      <selection activeCell="K1048576" sqref="K1048576"/>
    </sheetView>
  </sheetViews>
  <sheetFormatPr defaultRowHeight="15" x14ac:dyDescent="0.25"/>
  <cols>
    <col min="1" max="1" width="20.42578125" bestFit="1" customWidth="1"/>
    <col min="2" max="2" width="16.85546875" bestFit="1" customWidth="1"/>
    <col min="3" max="3" width="3.7109375" bestFit="1" customWidth="1"/>
    <col min="4" max="4" width="11" bestFit="1" customWidth="1"/>
    <col min="5" max="5" width="5.85546875" bestFit="1" customWidth="1"/>
    <col min="6" max="6" width="5.28515625" bestFit="1" customWidth="1"/>
    <col min="7" max="7" width="11.28515625" bestFit="1" customWidth="1"/>
    <col min="8" max="8" width="3.7109375" bestFit="1" customWidth="1"/>
    <col min="9" max="9" width="20.42578125" bestFit="1" customWidth="1"/>
    <col min="10" max="10" width="16.85546875" bestFit="1" customWidth="1"/>
    <col min="11" max="11" width="9.85546875" bestFit="1" customWidth="1"/>
    <col min="12" max="12" width="10.7109375" bestFit="1" customWidth="1"/>
    <col min="13" max="13" width="6.28515625" bestFit="1" customWidth="1"/>
    <col min="14" max="14" width="11.28515625" bestFit="1" customWidth="1"/>
    <col min="15" max="15" width="9.85546875" bestFit="1" customWidth="1"/>
    <col min="16" max="16" width="22.140625" bestFit="1" customWidth="1"/>
    <col min="17" max="17" width="13.5703125" bestFit="1" customWidth="1"/>
    <col min="18" max="18" width="5.28515625" bestFit="1" customWidth="1"/>
    <col min="19" max="19" width="4.28515625" bestFit="1" customWidth="1"/>
    <col min="20" max="20" width="6.85546875" bestFit="1" customWidth="1"/>
    <col min="21" max="21" width="11.28515625" bestFit="1" customWidth="1"/>
    <col min="22" max="22" width="10" bestFit="1" customWidth="1"/>
    <col min="23" max="23" width="31" bestFit="1" customWidth="1"/>
    <col min="24" max="24" width="16.85546875" bestFit="1" customWidth="1"/>
    <col min="25" max="27" width="9.5703125" bestFit="1" customWidth="1"/>
    <col min="28" max="28" width="11.28515625" bestFit="1" customWidth="1"/>
    <col min="29" max="29" width="18.28515625" customWidth="1"/>
    <col min="30" max="30" width="22.140625" bestFit="1" customWidth="1"/>
    <col min="31" max="31" width="31.42578125" bestFit="1" customWidth="1"/>
    <col min="32" max="32" width="27.140625" bestFit="1" customWidth="1"/>
    <col min="33" max="33" width="36.42578125" bestFit="1" customWidth="1"/>
  </cols>
  <sheetData>
    <row r="1" spans="1:28" x14ac:dyDescent="0.25">
      <c r="A1" s="2" t="s">
        <v>932</v>
      </c>
      <c r="B1" s="2" t="s">
        <v>28</v>
      </c>
      <c r="I1" s="2" t="s">
        <v>932</v>
      </c>
      <c r="J1" s="2" t="s">
        <v>28</v>
      </c>
      <c r="P1" s="2" t="s">
        <v>960</v>
      </c>
      <c r="Q1" s="2" t="s">
        <v>971</v>
      </c>
      <c r="W1" s="2" t="s">
        <v>961</v>
      </c>
      <c r="X1" s="2" t="s">
        <v>28</v>
      </c>
    </row>
    <row r="2" spans="1:28" x14ac:dyDescent="0.25">
      <c r="A2" s="2" t="s">
        <v>26</v>
      </c>
      <c r="B2" t="s">
        <v>3</v>
      </c>
      <c r="C2" t="s">
        <v>12</v>
      </c>
      <c r="D2" t="s">
        <v>8</v>
      </c>
      <c r="E2" t="s">
        <v>14</v>
      </c>
      <c r="F2" t="s">
        <v>11</v>
      </c>
      <c r="G2" t="s">
        <v>27</v>
      </c>
      <c r="I2" s="2" t="s">
        <v>26</v>
      </c>
      <c r="J2" t="s">
        <v>13</v>
      </c>
      <c r="K2" t="s">
        <v>9</v>
      </c>
      <c r="L2" t="s">
        <v>7</v>
      </c>
      <c r="M2" t="s">
        <v>4</v>
      </c>
      <c r="N2" t="s">
        <v>27</v>
      </c>
      <c r="P2" s="2" t="s">
        <v>1018</v>
      </c>
      <c r="Q2" t="s">
        <v>939</v>
      </c>
      <c r="R2" t="s">
        <v>941</v>
      </c>
      <c r="S2" t="s">
        <v>938</v>
      </c>
      <c r="T2" t="s">
        <v>940</v>
      </c>
      <c r="U2" t="s">
        <v>27</v>
      </c>
      <c r="W2" s="2" t="s">
        <v>26</v>
      </c>
      <c r="X2" t="s">
        <v>939</v>
      </c>
      <c r="Y2" t="s">
        <v>941</v>
      </c>
      <c r="Z2" t="s">
        <v>938</v>
      </c>
      <c r="AA2" t="s">
        <v>940</v>
      </c>
      <c r="AB2" t="s">
        <v>27</v>
      </c>
    </row>
    <row r="3" spans="1:28" x14ac:dyDescent="0.25">
      <c r="A3" s="3" t="s">
        <v>939</v>
      </c>
      <c r="I3" s="3" t="s">
        <v>939</v>
      </c>
      <c r="P3" s="3" t="s">
        <v>5</v>
      </c>
      <c r="Q3">
        <v>54</v>
      </c>
      <c r="R3">
        <v>2</v>
      </c>
      <c r="S3">
        <v>1</v>
      </c>
      <c r="T3">
        <v>2</v>
      </c>
      <c r="U3">
        <v>59</v>
      </c>
      <c r="W3" s="3" t="s">
        <v>3</v>
      </c>
      <c r="X3" s="4">
        <v>77431</v>
      </c>
      <c r="Y3" s="4">
        <v>230431</v>
      </c>
      <c r="Z3" s="4">
        <v>112943</v>
      </c>
      <c r="AA3" s="4">
        <v>151206</v>
      </c>
      <c r="AB3" s="4">
        <v>230431</v>
      </c>
    </row>
    <row r="4" spans="1:28" x14ac:dyDescent="0.25">
      <c r="A4" s="10" t="s">
        <v>23</v>
      </c>
      <c r="B4">
        <v>7</v>
      </c>
      <c r="C4">
        <v>11</v>
      </c>
      <c r="D4">
        <v>14</v>
      </c>
      <c r="E4">
        <v>12</v>
      </c>
      <c r="F4">
        <v>11</v>
      </c>
      <c r="G4">
        <v>55</v>
      </c>
      <c r="I4" s="10" t="s">
        <v>23</v>
      </c>
      <c r="J4">
        <v>13</v>
      </c>
      <c r="K4">
        <v>11</v>
      </c>
      <c r="L4">
        <v>21</v>
      </c>
      <c r="M4">
        <v>10</v>
      </c>
      <c r="N4">
        <v>55</v>
      </c>
      <c r="P4" s="3" t="s">
        <v>17</v>
      </c>
      <c r="R4">
        <v>122</v>
      </c>
      <c r="T4">
        <v>94</v>
      </c>
      <c r="U4">
        <v>216</v>
      </c>
      <c r="W4" s="3" t="s">
        <v>12</v>
      </c>
      <c r="X4" s="4">
        <v>77592</v>
      </c>
      <c r="Y4" s="4">
        <v>226495</v>
      </c>
      <c r="Z4" s="4">
        <v>111621</v>
      </c>
      <c r="AA4" s="4">
        <v>152558</v>
      </c>
      <c r="AB4" s="4">
        <v>226495</v>
      </c>
    </row>
    <row r="5" spans="1:28" x14ac:dyDescent="0.25">
      <c r="A5" s="10" t="s">
        <v>24</v>
      </c>
      <c r="B5">
        <v>12</v>
      </c>
      <c r="C5">
        <v>11</v>
      </c>
      <c r="D5">
        <v>13</v>
      </c>
      <c r="E5">
        <v>14</v>
      </c>
      <c r="F5">
        <v>18</v>
      </c>
      <c r="G5">
        <v>68</v>
      </c>
      <c r="I5" s="10" t="s">
        <v>24</v>
      </c>
      <c r="J5">
        <v>16</v>
      </c>
      <c r="K5">
        <v>14</v>
      </c>
      <c r="L5">
        <v>16</v>
      </c>
      <c r="M5">
        <v>22</v>
      </c>
      <c r="N5">
        <v>68</v>
      </c>
      <c r="P5" s="3" t="s">
        <v>10</v>
      </c>
      <c r="Q5">
        <v>69</v>
      </c>
      <c r="S5">
        <v>122</v>
      </c>
      <c r="T5">
        <v>26</v>
      </c>
      <c r="U5">
        <v>217</v>
      </c>
      <c r="W5" s="3" t="s">
        <v>8</v>
      </c>
      <c r="X5" s="4">
        <v>77183</v>
      </c>
      <c r="Y5" s="4">
        <v>233542</v>
      </c>
      <c r="Z5" s="4">
        <v>112449</v>
      </c>
      <c r="AA5" s="4">
        <v>152788</v>
      </c>
      <c r="AB5" s="4">
        <v>233542</v>
      </c>
    </row>
    <row r="6" spans="1:28" x14ac:dyDescent="0.25">
      <c r="A6" s="3" t="s">
        <v>941</v>
      </c>
      <c r="I6" s="3" t="s">
        <v>941</v>
      </c>
      <c r="P6" s="3" t="s">
        <v>27</v>
      </c>
      <c r="Q6">
        <v>123</v>
      </c>
      <c r="R6">
        <v>124</v>
      </c>
      <c r="S6">
        <v>123</v>
      </c>
      <c r="T6">
        <v>122</v>
      </c>
      <c r="U6">
        <v>492</v>
      </c>
      <c r="W6" s="3" t="s">
        <v>14</v>
      </c>
      <c r="X6" s="4">
        <v>78895</v>
      </c>
      <c r="Y6" s="4">
        <v>230880</v>
      </c>
      <c r="Z6" s="4">
        <v>112838</v>
      </c>
      <c r="AA6" s="4">
        <v>152013</v>
      </c>
      <c r="AB6" s="4">
        <v>230880</v>
      </c>
    </row>
    <row r="7" spans="1:28" x14ac:dyDescent="0.25">
      <c r="A7" s="10" t="s">
        <v>23</v>
      </c>
      <c r="B7">
        <v>8</v>
      </c>
      <c r="C7">
        <v>13</v>
      </c>
      <c r="D7">
        <v>12</v>
      </c>
      <c r="E7">
        <v>12</v>
      </c>
      <c r="F7">
        <v>6</v>
      </c>
      <c r="G7">
        <v>51</v>
      </c>
      <c r="I7" s="10" t="s">
        <v>23</v>
      </c>
      <c r="J7">
        <v>17</v>
      </c>
      <c r="K7">
        <v>13</v>
      </c>
      <c r="L7">
        <v>12</v>
      </c>
      <c r="M7">
        <v>9</v>
      </c>
      <c r="N7">
        <v>51</v>
      </c>
      <c r="W7" s="3" t="s">
        <v>11</v>
      </c>
      <c r="X7" s="4">
        <v>78635</v>
      </c>
      <c r="Y7" s="4">
        <v>215780</v>
      </c>
      <c r="Z7" s="4">
        <v>111986</v>
      </c>
      <c r="AA7" s="4">
        <v>152988</v>
      </c>
      <c r="AB7" s="4">
        <v>215780</v>
      </c>
    </row>
    <row r="8" spans="1:28" x14ac:dyDescent="0.25">
      <c r="A8" s="10" t="s">
        <v>24</v>
      </c>
      <c r="B8">
        <v>13</v>
      </c>
      <c r="C8">
        <v>9</v>
      </c>
      <c r="D8">
        <v>13</v>
      </c>
      <c r="E8">
        <v>18</v>
      </c>
      <c r="F8">
        <v>18</v>
      </c>
      <c r="G8">
        <v>71</v>
      </c>
      <c r="I8" s="10" t="s">
        <v>24</v>
      </c>
      <c r="J8">
        <v>12</v>
      </c>
      <c r="K8">
        <v>18</v>
      </c>
      <c r="L8">
        <v>20</v>
      </c>
      <c r="M8">
        <v>21</v>
      </c>
      <c r="N8">
        <v>71</v>
      </c>
      <c r="P8" s="2" t="s">
        <v>964</v>
      </c>
      <c r="Q8" s="2" t="s">
        <v>28</v>
      </c>
      <c r="W8" s="3" t="s">
        <v>27</v>
      </c>
      <c r="X8" s="4">
        <v>78895</v>
      </c>
      <c r="Y8" s="4">
        <v>233542</v>
      </c>
      <c r="Z8" s="4">
        <v>112943</v>
      </c>
      <c r="AA8" s="4">
        <v>152988</v>
      </c>
      <c r="AB8" s="4">
        <v>233542</v>
      </c>
    </row>
    <row r="9" spans="1:28" x14ac:dyDescent="0.25">
      <c r="A9" s="10" t="s">
        <v>25</v>
      </c>
      <c r="B9">
        <v>2</v>
      </c>
      <c r="G9">
        <v>2</v>
      </c>
      <c r="I9" s="10" t="s">
        <v>25</v>
      </c>
      <c r="L9">
        <v>1</v>
      </c>
      <c r="M9">
        <v>1</v>
      </c>
      <c r="N9">
        <v>2</v>
      </c>
      <c r="P9" s="2" t="s">
        <v>26</v>
      </c>
      <c r="Q9" t="s">
        <v>939</v>
      </c>
      <c r="R9" t="s">
        <v>941</v>
      </c>
      <c r="S9" t="s">
        <v>938</v>
      </c>
      <c r="T9" t="s">
        <v>940</v>
      </c>
      <c r="U9" t="s">
        <v>27</v>
      </c>
    </row>
    <row r="10" spans="1:28" x14ac:dyDescent="0.25">
      <c r="A10" s="3" t="s">
        <v>938</v>
      </c>
      <c r="I10" s="3" t="s">
        <v>938</v>
      </c>
      <c r="P10" s="3" t="s">
        <v>5</v>
      </c>
      <c r="Q10" s="4">
        <v>1500</v>
      </c>
      <c r="R10" s="4">
        <v>9500</v>
      </c>
      <c r="S10" s="4">
        <v>9500</v>
      </c>
      <c r="T10" s="4">
        <v>9500</v>
      </c>
      <c r="U10" s="4">
        <v>9500</v>
      </c>
      <c r="W10" s="2" t="s">
        <v>962</v>
      </c>
      <c r="X10" s="2" t="s">
        <v>28</v>
      </c>
    </row>
    <row r="11" spans="1:28" x14ac:dyDescent="0.25">
      <c r="A11" s="10" t="s">
        <v>23</v>
      </c>
      <c r="B11">
        <v>11</v>
      </c>
      <c r="C11">
        <v>11</v>
      </c>
      <c r="D11">
        <v>12</v>
      </c>
      <c r="E11">
        <v>16</v>
      </c>
      <c r="F11">
        <v>8</v>
      </c>
      <c r="G11">
        <v>58</v>
      </c>
      <c r="I11" s="10" t="s">
        <v>23</v>
      </c>
      <c r="J11">
        <v>12</v>
      </c>
      <c r="K11">
        <v>11</v>
      </c>
      <c r="L11">
        <v>16</v>
      </c>
      <c r="M11">
        <v>19</v>
      </c>
      <c r="N11">
        <v>58</v>
      </c>
      <c r="P11" s="3" t="s">
        <v>17</v>
      </c>
      <c r="Q11" s="4"/>
      <c r="R11" s="4">
        <v>9000</v>
      </c>
      <c r="S11" s="4"/>
      <c r="T11" s="4">
        <v>9000</v>
      </c>
      <c r="U11" s="4">
        <v>9000</v>
      </c>
      <c r="W11" s="2" t="s">
        <v>26</v>
      </c>
      <c r="X11" t="s">
        <v>939</v>
      </c>
      <c r="Y11" t="s">
        <v>941</v>
      </c>
      <c r="Z11" t="s">
        <v>938</v>
      </c>
      <c r="AA11" t="s">
        <v>940</v>
      </c>
      <c r="AB11" t="s">
        <v>27</v>
      </c>
    </row>
    <row r="12" spans="1:28" x14ac:dyDescent="0.25">
      <c r="A12" s="10" t="s">
        <v>24</v>
      </c>
      <c r="B12">
        <v>13</v>
      </c>
      <c r="C12">
        <v>16</v>
      </c>
      <c r="D12">
        <v>11</v>
      </c>
      <c r="E12">
        <v>13</v>
      </c>
      <c r="F12">
        <v>12</v>
      </c>
      <c r="G12">
        <v>65</v>
      </c>
      <c r="I12" s="10" t="s">
        <v>24</v>
      </c>
      <c r="J12">
        <v>16</v>
      </c>
      <c r="K12">
        <v>21</v>
      </c>
      <c r="L12">
        <v>16</v>
      </c>
      <c r="M12">
        <v>12</v>
      </c>
      <c r="N12">
        <v>65</v>
      </c>
      <c r="P12" s="3" t="s">
        <v>10</v>
      </c>
      <c r="Q12" s="4">
        <v>4200</v>
      </c>
      <c r="R12" s="4"/>
      <c r="S12" s="4">
        <v>4200</v>
      </c>
      <c r="T12" s="4">
        <v>4200</v>
      </c>
      <c r="U12" s="4">
        <v>4200</v>
      </c>
      <c r="W12" s="3" t="s">
        <v>3</v>
      </c>
      <c r="X12" s="4">
        <v>40601</v>
      </c>
      <c r="Y12" s="4">
        <v>156954</v>
      </c>
      <c r="Z12" s="4">
        <v>79394</v>
      </c>
      <c r="AA12" s="4">
        <v>113244</v>
      </c>
      <c r="AB12" s="4">
        <v>40601</v>
      </c>
    </row>
    <row r="13" spans="1:28" x14ac:dyDescent="0.25">
      <c r="A13" s="3" t="s">
        <v>940</v>
      </c>
      <c r="I13" s="3" t="s">
        <v>940</v>
      </c>
      <c r="P13" s="3" t="s">
        <v>27</v>
      </c>
      <c r="Q13" s="4">
        <v>4200</v>
      </c>
      <c r="R13" s="4">
        <v>9500</v>
      </c>
      <c r="S13" s="4">
        <v>9500</v>
      </c>
      <c r="T13" s="4">
        <v>9500</v>
      </c>
      <c r="U13" s="4">
        <v>9500</v>
      </c>
      <c r="W13" s="3" t="s">
        <v>12</v>
      </c>
      <c r="X13" s="4">
        <v>45515</v>
      </c>
      <c r="Y13" s="4">
        <v>154178</v>
      </c>
      <c r="Z13" s="4">
        <v>81071</v>
      </c>
      <c r="AA13" s="4">
        <v>113535</v>
      </c>
      <c r="AB13" s="4">
        <v>45515</v>
      </c>
    </row>
    <row r="14" spans="1:28" x14ac:dyDescent="0.25">
      <c r="A14" s="10" t="s">
        <v>23</v>
      </c>
      <c r="B14">
        <v>18</v>
      </c>
      <c r="C14">
        <v>8</v>
      </c>
      <c r="D14">
        <v>9</v>
      </c>
      <c r="E14">
        <v>15</v>
      </c>
      <c r="F14">
        <v>10</v>
      </c>
      <c r="G14">
        <v>60</v>
      </c>
      <c r="I14" s="10" t="s">
        <v>23</v>
      </c>
      <c r="J14">
        <v>9</v>
      </c>
      <c r="K14">
        <v>21</v>
      </c>
      <c r="L14">
        <v>19</v>
      </c>
      <c r="M14">
        <v>11</v>
      </c>
      <c r="N14">
        <v>60</v>
      </c>
      <c r="W14" s="3" t="s">
        <v>8</v>
      </c>
      <c r="X14" s="4">
        <v>37393</v>
      </c>
      <c r="Y14" s="4">
        <v>155897</v>
      </c>
      <c r="Z14" s="4">
        <v>79993</v>
      </c>
      <c r="AA14" s="4">
        <v>114498</v>
      </c>
      <c r="AB14" s="4">
        <v>37393</v>
      </c>
    </row>
    <row r="15" spans="1:28" x14ac:dyDescent="0.25">
      <c r="A15" s="10" t="s">
        <v>24</v>
      </c>
      <c r="B15">
        <v>13</v>
      </c>
      <c r="C15">
        <v>9</v>
      </c>
      <c r="D15">
        <v>13</v>
      </c>
      <c r="E15">
        <v>9</v>
      </c>
      <c r="F15">
        <v>17</v>
      </c>
      <c r="G15">
        <v>61</v>
      </c>
      <c r="I15" s="10" t="s">
        <v>24</v>
      </c>
      <c r="J15">
        <v>14</v>
      </c>
      <c r="K15">
        <v>11</v>
      </c>
      <c r="L15">
        <v>19</v>
      </c>
      <c r="M15">
        <v>17</v>
      </c>
      <c r="N15">
        <v>61</v>
      </c>
      <c r="P15" s="2" t="s">
        <v>965</v>
      </c>
      <c r="Q15" s="2" t="s">
        <v>28</v>
      </c>
      <c r="W15" s="3" t="s">
        <v>14</v>
      </c>
      <c r="X15" s="4">
        <v>37078</v>
      </c>
      <c r="Y15" s="4">
        <v>159056</v>
      </c>
      <c r="Z15" s="4">
        <v>79153</v>
      </c>
      <c r="AA15" s="4">
        <v>117304</v>
      </c>
      <c r="AB15" s="4">
        <v>37078</v>
      </c>
    </row>
    <row r="16" spans="1:28" x14ac:dyDescent="0.25">
      <c r="A16" s="10" t="s">
        <v>25</v>
      </c>
      <c r="F16">
        <v>1</v>
      </c>
      <c r="G16">
        <v>1</v>
      </c>
      <c r="I16" s="10" t="s">
        <v>25</v>
      </c>
      <c r="J16">
        <v>1</v>
      </c>
      <c r="N16">
        <v>1</v>
      </c>
      <c r="P16" s="2" t="s">
        <v>26</v>
      </c>
      <c r="Q16" t="s">
        <v>939</v>
      </c>
      <c r="R16" t="s">
        <v>941</v>
      </c>
      <c r="S16" t="s">
        <v>938</v>
      </c>
      <c r="T16" t="s">
        <v>940</v>
      </c>
      <c r="U16" t="s">
        <v>27</v>
      </c>
      <c r="W16" s="3" t="s">
        <v>11</v>
      </c>
      <c r="X16" s="4">
        <v>38296</v>
      </c>
      <c r="Y16" s="4">
        <v>153444</v>
      </c>
      <c r="Z16" s="4">
        <v>79816</v>
      </c>
      <c r="AA16" s="4">
        <v>113887</v>
      </c>
      <c r="AB16" s="4">
        <v>38296</v>
      </c>
    </row>
    <row r="17" spans="1:28" x14ac:dyDescent="0.25">
      <c r="A17" s="3" t="s">
        <v>27</v>
      </c>
      <c r="B17">
        <v>97</v>
      </c>
      <c r="C17">
        <v>88</v>
      </c>
      <c r="D17">
        <v>97</v>
      </c>
      <c r="E17">
        <v>109</v>
      </c>
      <c r="F17">
        <v>101</v>
      </c>
      <c r="G17">
        <v>492</v>
      </c>
      <c r="I17" s="3" t="s">
        <v>27</v>
      </c>
      <c r="J17">
        <v>110</v>
      </c>
      <c r="K17">
        <v>120</v>
      </c>
      <c r="L17">
        <v>140</v>
      </c>
      <c r="M17">
        <v>122</v>
      </c>
      <c r="N17">
        <v>492</v>
      </c>
      <c r="P17" s="3" t="s">
        <v>5</v>
      </c>
      <c r="Q17" s="4">
        <v>1500</v>
      </c>
      <c r="R17" s="4">
        <v>9500</v>
      </c>
      <c r="S17" s="4">
        <v>9500</v>
      </c>
      <c r="T17" s="4">
        <v>9500</v>
      </c>
      <c r="U17" s="4">
        <v>1500</v>
      </c>
      <c r="W17" s="3" t="s">
        <v>27</v>
      </c>
      <c r="X17" s="4">
        <v>37078</v>
      </c>
      <c r="Y17" s="4">
        <v>153444</v>
      </c>
      <c r="Z17" s="4">
        <v>79153</v>
      </c>
      <c r="AA17" s="4">
        <v>113244</v>
      </c>
      <c r="AB17" s="4">
        <v>37078</v>
      </c>
    </row>
    <row r="18" spans="1:28" x14ac:dyDescent="0.25">
      <c r="P18" s="3" t="s">
        <v>17</v>
      </c>
      <c r="Q18" s="4"/>
      <c r="R18" s="4">
        <v>6750</v>
      </c>
      <c r="S18" s="4"/>
      <c r="T18" s="4">
        <v>6750</v>
      </c>
      <c r="U18" s="4">
        <v>6750</v>
      </c>
    </row>
    <row r="19" spans="1:28" x14ac:dyDescent="0.25">
      <c r="P19" s="3" t="s">
        <v>10</v>
      </c>
      <c r="Q19" s="4">
        <v>2800</v>
      </c>
      <c r="R19" s="4"/>
      <c r="S19" s="4">
        <v>2800</v>
      </c>
      <c r="T19" s="4">
        <v>2800</v>
      </c>
      <c r="U19" s="4">
        <v>2800</v>
      </c>
    </row>
    <row r="20" spans="1:28" ht="27" customHeight="1" x14ac:dyDescent="0.25">
      <c r="A20" s="2" t="s">
        <v>1018</v>
      </c>
      <c r="B20" t="s">
        <v>960</v>
      </c>
      <c r="P20" s="3" t="s">
        <v>27</v>
      </c>
      <c r="Q20" s="4">
        <v>1500</v>
      </c>
      <c r="R20" s="4">
        <v>6750</v>
      </c>
      <c r="S20" s="4">
        <v>2800</v>
      </c>
      <c r="T20" s="4">
        <v>2800</v>
      </c>
      <c r="U20" s="4">
        <v>1500</v>
      </c>
    </row>
    <row r="21" spans="1:28" x14ac:dyDescent="0.25">
      <c r="A21" s="3" t="s">
        <v>5</v>
      </c>
      <c r="B21">
        <v>59</v>
      </c>
    </row>
    <row r="22" spans="1:28" x14ac:dyDescent="0.25">
      <c r="A22" s="3" t="s">
        <v>17</v>
      </c>
      <c r="B22">
        <v>216</v>
      </c>
      <c r="P22" s="2" t="s">
        <v>966</v>
      </c>
      <c r="Q22" s="2" t="s">
        <v>28</v>
      </c>
    </row>
    <row r="23" spans="1:28" x14ac:dyDescent="0.25">
      <c r="A23" s="3" t="s">
        <v>10</v>
      </c>
      <c r="B23">
        <v>217</v>
      </c>
      <c r="P23" s="2" t="s">
        <v>26</v>
      </c>
      <c r="Q23" t="s">
        <v>939</v>
      </c>
      <c r="R23" t="s">
        <v>941</v>
      </c>
      <c r="S23" t="s">
        <v>938</v>
      </c>
      <c r="T23" t="s">
        <v>940</v>
      </c>
      <c r="U23" t="s">
        <v>27</v>
      </c>
    </row>
    <row r="24" spans="1:28" x14ac:dyDescent="0.25">
      <c r="A24" s="3" t="s">
        <v>27</v>
      </c>
      <c r="B24">
        <v>492</v>
      </c>
      <c r="P24" s="3" t="s">
        <v>5</v>
      </c>
    </row>
    <row r="25" spans="1:28" x14ac:dyDescent="0.25">
      <c r="P25" s="10" t="s">
        <v>6</v>
      </c>
      <c r="Q25">
        <v>54</v>
      </c>
      <c r="U25">
        <v>54</v>
      </c>
    </row>
    <row r="26" spans="1:28" x14ac:dyDescent="0.25">
      <c r="P26" s="10" t="s">
        <v>19</v>
      </c>
      <c r="R26">
        <v>2</v>
      </c>
      <c r="S26">
        <v>1</v>
      </c>
      <c r="T26">
        <v>2</v>
      </c>
      <c r="U26">
        <v>5</v>
      </c>
    </row>
    <row r="27" spans="1:28" x14ac:dyDescent="0.25">
      <c r="P27" s="3" t="s">
        <v>17</v>
      </c>
    </row>
    <row r="28" spans="1:28" x14ac:dyDescent="0.25">
      <c r="P28" s="10" t="s">
        <v>16</v>
      </c>
      <c r="R28">
        <v>59</v>
      </c>
      <c r="T28">
        <v>48</v>
      </c>
      <c r="U28">
        <v>107</v>
      </c>
    </row>
    <row r="29" spans="1:28" x14ac:dyDescent="0.25">
      <c r="P29" s="10" t="s">
        <v>19</v>
      </c>
      <c r="R29">
        <v>63</v>
      </c>
      <c r="T29">
        <v>46</v>
      </c>
      <c r="U29">
        <v>109</v>
      </c>
    </row>
    <row r="30" spans="1:28" x14ac:dyDescent="0.25">
      <c r="P30" s="3" t="s">
        <v>10</v>
      </c>
    </row>
    <row r="31" spans="1:28" x14ac:dyDescent="0.25">
      <c r="P31" s="10" t="s">
        <v>16</v>
      </c>
      <c r="Q31">
        <v>35</v>
      </c>
      <c r="S31">
        <v>58</v>
      </c>
      <c r="T31">
        <v>8</v>
      </c>
      <c r="U31">
        <v>101</v>
      </c>
    </row>
    <row r="32" spans="1:28" x14ac:dyDescent="0.25">
      <c r="P32" s="10" t="s">
        <v>6</v>
      </c>
      <c r="Q32">
        <v>34</v>
      </c>
      <c r="S32">
        <v>64</v>
      </c>
      <c r="T32">
        <v>18</v>
      </c>
      <c r="U32">
        <v>116</v>
      </c>
    </row>
    <row r="33" spans="16:21" x14ac:dyDescent="0.25">
      <c r="P33" s="3" t="s">
        <v>27</v>
      </c>
      <c r="Q33">
        <v>123</v>
      </c>
      <c r="R33">
        <v>124</v>
      </c>
      <c r="S33">
        <v>123</v>
      </c>
      <c r="T33">
        <v>122</v>
      </c>
      <c r="U33">
        <v>492</v>
      </c>
    </row>
  </sheetData>
  <conditionalFormatting sqref="A1:E1 D2:E2">
    <cfRule type="colorScale" priority="12">
      <colorScale>
        <cfvo type="min"/>
        <cfvo type="percentile" val="50"/>
        <cfvo type="max"/>
        <color rgb="FFF8696B"/>
        <color rgb="FFFCFCFF"/>
        <color theme="9"/>
      </colorScale>
    </cfRule>
  </conditionalFormatting>
  <conditionalFormatting sqref="A20:E20 D21:E21">
    <cfRule type="colorScale" priority="1">
      <colorScale>
        <cfvo type="min"/>
        <cfvo type="percentile" val="50"/>
        <cfvo type="max"/>
        <color rgb="FFF8696B"/>
        <color rgb="FFFCFCFF"/>
        <color theme="9"/>
      </colorScale>
    </cfRule>
  </conditionalFormatting>
  <conditionalFormatting sqref="H1:H3 H5:H8">
    <cfRule type="colorScale" priority="10">
      <colorScale>
        <cfvo type="min"/>
        <cfvo type="percentile" val="50"/>
        <cfvo type="max"/>
        <color rgb="FFF8696B"/>
        <color rgb="FFFCFCFF"/>
        <color theme="9"/>
      </colorScale>
    </cfRule>
  </conditionalFormatting>
  <conditionalFormatting sqref="I1:M1 L2:M2">
    <cfRule type="colorScale" priority="8">
      <colorScale>
        <cfvo type="min"/>
        <cfvo type="percentile" val="50"/>
        <cfvo type="max"/>
        <color rgb="FFF8696B"/>
        <color rgb="FFFCFCFF"/>
        <color theme="9"/>
      </colorScale>
    </cfRule>
  </conditionalFormatting>
  <conditionalFormatting sqref="P1:T1 S2:T2">
    <cfRule type="colorScale" priority="7">
      <colorScale>
        <cfvo type="min"/>
        <cfvo type="percentile" val="50"/>
        <cfvo type="max"/>
        <color rgb="FFF8696B"/>
        <color rgb="FFFCFCFF"/>
        <color theme="9"/>
      </colorScale>
    </cfRule>
  </conditionalFormatting>
  <conditionalFormatting sqref="P8:T8 S9:T9">
    <cfRule type="colorScale" priority="4">
      <colorScale>
        <cfvo type="min"/>
        <cfvo type="percentile" val="50"/>
        <cfvo type="max"/>
        <color rgb="FFF8696B"/>
        <color rgb="FFFCFCFF"/>
        <color theme="9"/>
      </colorScale>
    </cfRule>
  </conditionalFormatting>
  <conditionalFormatting sqref="P15:T15 S16:T16">
    <cfRule type="colorScale" priority="3">
      <colorScale>
        <cfvo type="min"/>
        <cfvo type="percentile" val="50"/>
        <cfvo type="max"/>
        <color rgb="FFF8696B"/>
        <color rgb="FFFCFCFF"/>
        <color theme="9"/>
      </colorScale>
    </cfRule>
  </conditionalFormatting>
  <conditionalFormatting sqref="P22:T22 S23:T23">
    <cfRule type="colorScale" priority="2">
      <colorScale>
        <cfvo type="min"/>
        <cfvo type="percentile" val="50"/>
        <cfvo type="max"/>
        <color rgb="FFF8696B"/>
        <color rgb="FFFCFCFF"/>
        <color theme="9"/>
      </colorScale>
    </cfRule>
  </conditionalFormatting>
  <conditionalFormatting sqref="W1:AA1 Z2:AA2">
    <cfRule type="colorScale" priority="6">
      <colorScale>
        <cfvo type="min"/>
        <cfvo type="percentile" val="50"/>
        <cfvo type="max"/>
        <color rgb="FFF8696B"/>
        <color rgb="FFFCFCFF"/>
        <color theme="9"/>
      </colorScale>
    </cfRule>
  </conditionalFormatting>
  <conditionalFormatting sqref="W10:AA10 Z11:AA11">
    <cfRule type="colorScale" priority="5">
      <colorScale>
        <cfvo type="min"/>
        <cfvo type="percentile" val="50"/>
        <cfvo type="max"/>
        <color rgb="FFF8696B"/>
        <color rgb="FFFCFCFF"/>
        <color theme="9"/>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7986-D7F2-47A3-9B5D-3BE62A87A80F}">
  <dimension ref="A1:M26"/>
  <sheetViews>
    <sheetView topLeftCell="B1" workbookViewId="0">
      <selection activeCell="K1048576" sqref="K1048576"/>
    </sheetView>
  </sheetViews>
  <sheetFormatPr defaultRowHeight="15" x14ac:dyDescent="0.25"/>
  <cols>
    <col min="1" max="1" width="14.5703125" bestFit="1" customWidth="1"/>
    <col min="2" max="2" width="10.85546875" bestFit="1" customWidth="1"/>
    <col min="3" max="3" width="27" bestFit="1" customWidth="1"/>
    <col min="4" max="4" width="14.140625" bestFit="1" customWidth="1"/>
    <col min="5" max="5" width="22" bestFit="1" customWidth="1"/>
    <col min="8" max="8" width="28.28515625" bestFit="1" customWidth="1"/>
    <col min="9" max="9" width="12" bestFit="1" customWidth="1"/>
    <col min="10" max="10" width="9.85546875" bestFit="1" customWidth="1"/>
    <col min="11" max="11" width="10.7109375" bestFit="1" customWidth="1"/>
    <col min="12" max="12" width="7" bestFit="1" customWidth="1"/>
    <col min="13" max="13" width="11.28515625" bestFit="1" customWidth="1"/>
    <col min="14" max="14" width="9.85546875" bestFit="1" customWidth="1"/>
    <col min="15" max="15" width="10.7109375" bestFit="1" customWidth="1"/>
    <col min="16" max="16" width="7.140625" bestFit="1" customWidth="1"/>
    <col min="17" max="17" width="12.85546875" bestFit="1" customWidth="1"/>
    <col min="18" max="18" width="9.85546875" bestFit="1" customWidth="1"/>
    <col min="19" max="19" width="10.7109375" bestFit="1" customWidth="1"/>
    <col min="20" max="20" width="7.140625" bestFit="1" customWidth="1"/>
    <col min="21" max="21" width="10" bestFit="1" customWidth="1"/>
    <col min="22" max="22" width="9.85546875" bestFit="1" customWidth="1"/>
    <col min="23" max="23" width="10.7109375" bestFit="1" customWidth="1"/>
    <col min="24" max="24" width="7.140625" bestFit="1" customWidth="1"/>
    <col min="25" max="25" width="10" bestFit="1" customWidth="1"/>
    <col min="26" max="26" width="9.85546875" bestFit="1" customWidth="1"/>
    <col min="27" max="27" width="10.7109375" bestFit="1" customWidth="1"/>
    <col min="28" max="28" width="7.140625" bestFit="1" customWidth="1"/>
    <col min="29" max="29" width="11.28515625" bestFit="1" customWidth="1"/>
  </cols>
  <sheetData>
    <row r="1" spans="1:13" x14ac:dyDescent="0.25">
      <c r="A1" s="2" t="s">
        <v>26</v>
      </c>
      <c r="B1" t="s">
        <v>976</v>
      </c>
      <c r="C1" t="s">
        <v>977</v>
      </c>
      <c r="D1" t="s">
        <v>978</v>
      </c>
      <c r="E1" t="s">
        <v>979</v>
      </c>
      <c r="H1" s="2" t="s">
        <v>963</v>
      </c>
      <c r="I1" s="2" t="s">
        <v>996</v>
      </c>
    </row>
    <row r="2" spans="1:13" x14ac:dyDescent="0.25">
      <c r="A2" s="3" t="s">
        <v>13</v>
      </c>
      <c r="E2" s="13"/>
      <c r="H2" s="2" t="s">
        <v>0</v>
      </c>
      <c r="I2" t="s">
        <v>13</v>
      </c>
      <c r="J2" t="s">
        <v>9</v>
      </c>
      <c r="K2" t="s">
        <v>7</v>
      </c>
      <c r="L2" t="s">
        <v>4</v>
      </c>
      <c r="M2" t="s">
        <v>27</v>
      </c>
    </row>
    <row r="3" spans="1:13" x14ac:dyDescent="0.25">
      <c r="A3" s="10" t="s">
        <v>3</v>
      </c>
      <c r="B3" s="6">
        <v>22</v>
      </c>
      <c r="C3" s="40">
        <v>108400</v>
      </c>
      <c r="D3" s="40">
        <v>115477.86363636363</v>
      </c>
      <c r="E3" s="13">
        <v>0.18181818181818182</v>
      </c>
      <c r="H3" s="3" t="s">
        <v>3</v>
      </c>
      <c r="I3" s="4">
        <v>4927.272727272727</v>
      </c>
      <c r="J3" s="4">
        <v>5190.909090909091</v>
      </c>
      <c r="K3" s="4">
        <v>5944.8275862068967</v>
      </c>
      <c r="L3" s="4">
        <v>5785.416666666667</v>
      </c>
      <c r="M3" s="4">
        <v>5503.6082474226805</v>
      </c>
    </row>
    <row r="4" spans="1:13" x14ac:dyDescent="0.25">
      <c r="A4" s="10" t="s">
        <v>12</v>
      </c>
      <c r="B4" s="6">
        <v>19</v>
      </c>
      <c r="C4" s="40">
        <v>104300</v>
      </c>
      <c r="D4" s="40">
        <v>131595.94736842104</v>
      </c>
      <c r="E4" s="13">
        <v>0.26315789473684209</v>
      </c>
      <c r="H4" s="3" t="s">
        <v>12</v>
      </c>
      <c r="I4" s="4">
        <v>5489.4736842105267</v>
      </c>
      <c r="J4" s="4">
        <v>5064.2857142857147</v>
      </c>
      <c r="K4" s="4">
        <v>4819.2307692307695</v>
      </c>
      <c r="L4" s="4">
        <v>4577.272727272727</v>
      </c>
      <c r="M4" s="4">
        <v>4961.931818181818</v>
      </c>
    </row>
    <row r="5" spans="1:13" x14ac:dyDescent="0.25">
      <c r="A5" s="10" t="s">
        <v>8</v>
      </c>
      <c r="B5" s="6">
        <v>19</v>
      </c>
      <c r="C5" s="40">
        <v>79650</v>
      </c>
      <c r="D5" s="40">
        <v>102408.47368421052</v>
      </c>
      <c r="E5" s="13">
        <v>0.21052631578947367</v>
      </c>
      <c r="H5" s="3" t="s">
        <v>8</v>
      </c>
      <c r="I5" s="4">
        <v>4192.105263157895</v>
      </c>
      <c r="J5" s="4">
        <v>5490.7407407407409</v>
      </c>
      <c r="K5" s="4">
        <v>5475</v>
      </c>
      <c r="L5" s="4">
        <v>5140</v>
      </c>
      <c r="M5" s="4">
        <v>5141.7525773195875</v>
      </c>
    </row>
    <row r="6" spans="1:13" x14ac:dyDescent="0.25">
      <c r="A6" s="10" t="s">
        <v>14</v>
      </c>
      <c r="B6" s="6">
        <v>25</v>
      </c>
      <c r="C6" s="40">
        <v>135750</v>
      </c>
      <c r="D6" s="40">
        <v>125256.52</v>
      </c>
      <c r="E6" s="13">
        <v>0.2</v>
      </c>
      <c r="H6" s="3" t="s">
        <v>14</v>
      </c>
      <c r="I6" s="4">
        <v>5430</v>
      </c>
      <c r="J6" s="4">
        <v>6062</v>
      </c>
      <c r="K6" s="4">
        <v>5268.5714285714284</v>
      </c>
      <c r="L6" s="4">
        <v>5293.75</v>
      </c>
      <c r="M6" s="4">
        <v>5493.119266055046</v>
      </c>
    </row>
    <row r="7" spans="1:13" x14ac:dyDescent="0.25">
      <c r="A7" s="10" t="s">
        <v>11</v>
      </c>
      <c r="B7" s="6">
        <v>25</v>
      </c>
      <c r="C7" s="40">
        <v>129350</v>
      </c>
      <c r="D7" s="40">
        <v>122661.32</v>
      </c>
      <c r="E7" s="13">
        <v>0.16</v>
      </c>
      <c r="H7" s="3" t="s">
        <v>11</v>
      </c>
      <c r="I7" s="4">
        <v>5174</v>
      </c>
      <c r="J7" s="4">
        <v>5066</v>
      </c>
      <c r="K7" s="4">
        <v>4591.666666666667</v>
      </c>
      <c r="L7" s="4">
        <v>5511.1111111111113</v>
      </c>
      <c r="M7" s="4">
        <v>5099.0099009900987</v>
      </c>
    </row>
    <row r="8" spans="1:13" x14ac:dyDescent="0.25">
      <c r="A8" s="3" t="s">
        <v>9</v>
      </c>
      <c r="E8" s="13"/>
      <c r="H8" s="3" t="s">
        <v>27</v>
      </c>
      <c r="I8" s="4">
        <v>5067.727272727273</v>
      </c>
      <c r="J8" s="4">
        <v>5391.666666666667</v>
      </c>
      <c r="K8" s="4">
        <v>5247.5</v>
      </c>
      <c r="L8" s="4">
        <v>5277.8688524590161</v>
      </c>
      <c r="M8" s="4">
        <v>5250</v>
      </c>
    </row>
    <row r="9" spans="1:13" x14ac:dyDescent="0.25">
      <c r="A9" s="10" t="s">
        <v>3</v>
      </c>
      <c r="B9" s="6">
        <v>22</v>
      </c>
      <c r="C9" s="40">
        <v>114200</v>
      </c>
      <c r="D9" s="40">
        <v>113401.59090909091</v>
      </c>
      <c r="E9" s="13">
        <v>0.22727272727272727</v>
      </c>
    </row>
    <row r="10" spans="1:13" x14ac:dyDescent="0.25">
      <c r="A10" s="10" t="s">
        <v>12</v>
      </c>
      <c r="B10" s="6">
        <v>21</v>
      </c>
      <c r="C10" s="40">
        <v>106350</v>
      </c>
      <c r="D10" s="40">
        <v>117717.61904761905</v>
      </c>
      <c r="E10" s="13">
        <v>0.19047619047619047</v>
      </c>
    </row>
    <row r="11" spans="1:13" x14ac:dyDescent="0.25">
      <c r="A11" s="10" t="s">
        <v>8</v>
      </c>
      <c r="B11" s="6">
        <v>27</v>
      </c>
      <c r="C11" s="40">
        <v>148250</v>
      </c>
      <c r="D11" s="40">
        <v>117910.11111111111</v>
      </c>
      <c r="E11" s="13">
        <v>0.25925925925925924</v>
      </c>
    </row>
    <row r="12" spans="1:13" x14ac:dyDescent="0.25">
      <c r="A12" s="10" t="s">
        <v>14</v>
      </c>
      <c r="B12" s="6">
        <v>25</v>
      </c>
      <c r="C12" s="40">
        <v>151550</v>
      </c>
      <c r="D12" s="40">
        <v>134835.56</v>
      </c>
      <c r="E12" s="13">
        <v>0.32</v>
      </c>
    </row>
    <row r="13" spans="1:13" x14ac:dyDescent="0.25">
      <c r="A13" s="10" t="s">
        <v>11</v>
      </c>
      <c r="B13" s="6">
        <v>25</v>
      </c>
      <c r="C13" s="40">
        <v>126650</v>
      </c>
      <c r="D13" s="40">
        <v>113808.76</v>
      </c>
      <c r="E13" s="13">
        <v>0.2</v>
      </c>
    </row>
    <row r="14" spans="1:13" x14ac:dyDescent="0.25">
      <c r="A14" s="3" t="s">
        <v>7</v>
      </c>
      <c r="E14" s="13"/>
    </row>
    <row r="15" spans="1:13" x14ac:dyDescent="0.25">
      <c r="A15" s="10" t="s">
        <v>3</v>
      </c>
      <c r="B15" s="6">
        <v>29</v>
      </c>
      <c r="C15" s="40">
        <v>172400</v>
      </c>
      <c r="D15" s="40">
        <v>128885.24137931035</v>
      </c>
      <c r="E15" s="13">
        <v>0.34482758620689657</v>
      </c>
    </row>
    <row r="16" spans="1:13" x14ac:dyDescent="0.25">
      <c r="A16" s="10" t="s">
        <v>12</v>
      </c>
      <c r="B16" s="6">
        <v>26</v>
      </c>
      <c r="C16" s="40">
        <v>125300</v>
      </c>
      <c r="D16" s="40">
        <v>116479.5</v>
      </c>
      <c r="E16" s="13">
        <v>0.19230769230769232</v>
      </c>
    </row>
    <row r="17" spans="1:5" x14ac:dyDescent="0.25">
      <c r="A17" s="10" t="s">
        <v>8</v>
      </c>
      <c r="B17" s="6">
        <v>26</v>
      </c>
      <c r="C17" s="40">
        <v>142350</v>
      </c>
      <c r="D17" s="40">
        <v>130724.80769230769</v>
      </c>
      <c r="E17" s="13">
        <v>0.30769230769230771</v>
      </c>
    </row>
    <row r="18" spans="1:5" x14ac:dyDescent="0.25">
      <c r="A18" s="10" t="s">
        <v>14</v>
      </c>
      <c r="B18" s="6">
        <v>35</v>
      </c>
      <c r="C18" s="40">
        <v>184400</v>
      </c>
      <c r="D18" s="40">
        <v>117752.25714285714</v>
      </c>
      <c r="E18" s="13">
        <v>0.22857142857142856</v>
      </c>
    </row>
    <row r="19" spans="1:5" x14ac:dyDescent="0.25">
      <c r="A19" s="10" t="s">
        <v>11</v>
      </c>
      <c r="B19" s="6">
        <v>24</v>
      </c>
      <c r="C19" s="40">
        <v>110200</v>
      </c>
      <c r="D19" s="40">
        <v>99810.75</v>
      </c>
      <c r="E19" s="13">
        <v>0.25</v>
      </c>
    </row>
    <row r="20" spans="1:5" x14ac:dyDescent="0.25">
      <c r="A20" s="3" t="s">
        <v>4</v>
      </c>
      <c r="E20" s="13"/>
    </row>
    <row r="21" spans="1:5" x14ac:dyDescent="0.25">
      <c r="A21" s="10" t="s">
        <v>3</v>
      </c>
      <c r="B21" s="6">
        <v>24</v>
      </c>
      <c r="C21" s="40">
        <v>138850</v>
      </c>
      <c r="D21" s="40">
        <v>126815</v>
      </c>
      <c r="E21" s="13">
        <v>0.25</v>
      </c>
    </row>
    <row r="22" spans="1:5" x14ac:dyDescent="0.25">
      <c r="A22" s="10" t="s">
        <v>12</v>
      </c>
      <c r="B22" s="6">
        <v>22</v>
      </c>
      <c r="C22" s="40">
        <v>100700</v>
      </c>
      <c r="D22" s="40">
        <v>99674</v>
      </c>
      <c r="E22" s="13">
        <v>0.18181818181818182</v>
      </c>
    </row>
    <row r="23" spans="1:5" x14ac:dyDescent="0.25">
      <c r="A23" s="10" t="s">
        <v>8</v>
      </c>
      <c r="B23" s="6">
        <v>25</v>
      </c>
      <c r="C23" s="40">
        <v>128500</v>
      </c>
      <c r="D23" s="40">
        <v>116921</v>
      </c>
      <c r="E23" s="13">
        <v>0.16</v>
      </c>
    </row>
    <row r="24" spans="1:5" x14ac:dyDescent="0.25">
      <c r="A24" s="10" t="s">
        <v>14</v>
      </c>
      <c r="B24" s="6">
        <v>24</v>
      </c>
      <c r="C24" s="40">
        <v>127050</v>
      </c>
      <c r="D24" s="40">
        <v>110101.08333333333</v>
      </c>
      <c r="E24" s="13">
        <v>0.29166666666666669</v>
      </c>
    </row>
    <row r="25" spans="1:5" x14ac:dyDescent="0.25">
      <c r="A25" s="10" t="s">
        <v>11</v>
      </c>
      <c r="B25" s="6">
        <v>27</v>
      </c>
      <c r="C25" s="40">
        <v>148800</v>
      </c>
      <c r="D25" s="40">
        <v>124199.25925925926</v>
      </c>
      <c r="E25" s="13">
        <v>0.22222222222222221</v>
      </c>
    </row>
    <row r="26" spans="1:5" x14ac:dyDescent="0.25">
      <c r="A26" s="3" t="s">
        <v>27</v>
      </c>
      <c r="B26" s="6">
        <v>492</v>
      </c>
      <c r="C26" s="40">
        <v>2583000</v>
      </c>
      <c r="D26" s="40">
        <v>118675.03861788618</v>
      </c>
      <c r="E26" s="13">
        <v>0.23373983739837398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4A2C-BD36-4854-8030-C6A78187E7FD}">
  <dimension ref="A1:K18"/>
  <sheetViews>
    <sheetView topLeftCell="A12" workbookViewId="0">
      <selection activeCell="K1048576" sqref="K1048576"/>
    </sheetView>
  </sheetViews>
  <sheetFormatPr defaultRowHeight="15" x14ac:dyDescent="0.25"/>
  <cols>
    <col min="1" max="1" width="15.42578125" bestFit="1" customWidth="1"/>
    <col min="2" max="2" width="16.85546875" bestFit="1" customWidth="1"/>
    <col min="3" max="3" width="10.5703125" bestFit="1" customWidth="1"/>
    <col min="4" max="5" width="10.28515625" bestFit="1" customWidth="1"/>
    <col min="6" max="6" width="11.28515625" bestFit="1" customWidth="1"/>
    <col min="7" max="10" width="10.28515625" bestFit="1" customWidth="1"/>
    <col min="11" max="11" width="12.140625" bestFit="1" customWidth="1"/>
    <col min="12" max="12" width="11.28515625" bestFit="1" customWidth="1"/>
  </cols>
  <sheetData>
    <row r="1" spans="1:11" x14ac:dyDescent="0.25">
      <c r="A1" s="2" t="s">
        <v>930</v>
      </c>
      <c r="B1" s="2" t="s">
        <v>28</v>
      </c>
    </row>
    <row r="2" spans="1:11" x14ac:dyDescent="0.25">
      <c r="A2" s="2" t="s">
        <v>26</v>
      </c>
      <c r="B2" t="s">
        <v>939</v>
      </c>
      <c r="C2" t="s">
        <v>941</v>
      </c>
      <c r="D2" t="s">
        <v>938</v>
      </c>
      <c r="E2" t="s">
        <v>940</v>
      </c>
      <c r="F2" t="s">
        <v>27</v>
      </c>
    </row>
    <row r="3" spans="1:11" x14ac:dyDescent="0.25">
      <c r="A3" s="3" t="s">
        <v>3</v>
      </c>
      <c r="B3" s="5">
        <v>4285.9761904761908</v>
      </c>
      <c r="C3" s="5">
        <v>-6018.2307692307804</v>
      </c>
      <c r="D3" s="5">
        <v>2288.6573426573304</v>
      </c>
      <c r="E3" s="5">
        <v>-2005.8418803419045</v>
      </c>
      <c r="F3" s="5">
        <v>-2435.8912655971508</v>
      </c>
    </row>
    <row r="4" spans="1:11" x14ac:dyDescent="0.25">
      <c r="A4" s="3" t="s">
        <v>12</v>
      </c>
      <c r="B4" s="5">
        <v>-1292</v>
      </c>
      <c r="C4" s="5">
        <v>7213.8803418803436</v>
      </c>
      <c r="D4" s="5">
        <v>-5557.2954545454559</v>
      </c>
      <c r="E4" s="5">
        <v>-6347.6388888888905</v>
      </c>
      <c r="F4" s="5">
        <v>-9700.6635658914747</v>
      </c>
    </row>
    <row r="5" spans="1:11" x14ac:dyDescent="0.25">
      <c r="A5" s="3" t="s">
        <v>8</v>
      </c>
      <c r="B5" s="5">
        <v>2094.3296703296655</v>
      </c>
      <c r="C5" s="5">
        <v>13906.871794871811</v>
      </c>
      <c r="D5" s="5">
        <v>1276.8787878787844</v>
      </c>
      <c r="E5" s="5">
        <v>989.68376068375073</v>
      </c>
      <c r="F5" s="5">
        <v>8769.110638297876</v>
      </c>
    </row>
    <row r="6" spans="1:11" x14ac:dyDescent="0.25">
      <c r="A6" s="3" t="s">
        <v>14</v>
      </c>
      <c r="B6" s="5">
        <v>-5698.7619047619082</v>
      </c>
      <c r="C6" s="5">
        <v>-2950.1388888889051</v>
      </c>
      <c r="D6" s="5">
        <v>-4477.6538461538439</v>
      </c>
      <c r="E6" s="5">
        <v>-4772.111111111124</v>
      </c>
      <c r="F6" s="5">
        <v>1035.6824915824982</v>
      </c>
    </row>
    <row r="7" spans="1:11" x14ac:dyDescent="0.25">
      <c r="A7" s="3" t="s">
        <v>11</v>
      </c>
      <c r="B7" s="5">
        <v>-6402.2929292929257</v>
      </c>
      <c r="C7" s="5">
        <v>3260.166666666657</v>
      </c>
      <c r="D7" s="5">
        <v>-4871.0416666666715</v>
      </c>
      <c r="E7" s="5">
        <v>5366.3000000000029</v>
      </c>
      <c r="F7" s="5">
        <v>8851.2439560439525</v>
      </c>
    </row>
    <row r="8" spans="1:11" x14ac:dyDescent="0.25">
      <c r="A8" s="3" t="s">
        <v>27</v>
      </c>
      <c r="B8" s="5">
        <v>-2229.5478609625643</v>
      </c>
      <c r="C8" s="5">
        <v>2672.5515051090915</v>
      </c>
      <c r="D8" s="5">
        <v>-2277.3732095490705</v>
      </c>
      <c r="E8" s="5">
        <v>-1553.5494535519101</v>
      </c>
      <c r="F8" s="5">
        <v>1047.4824123989238</v>
      </c>
    </row>
    <row r="10" spans="1:11" ht="15" customHeight="1" x14ac:dyDescent="0.25">
      <c r="A10" s="2" t="s">
        <v>931</v>
      </c>
      <c r="B10" s="2" t="s">
        <v>28</v>
      </c>
      <c r="D10" s="8"/>
      <c r="E10" s="46" t="s">
        <v>967</v>
      </c>
      <c r="F10" s="46"/>
      <c r="H10" t="s">
        <v>931</v>
      </c>
    </row>
    <row r="11" spans="1:11" x14ac:dyDescent="0.25">
      <c r="A11" s="2" t="s">
        <v>26</v>
      </c>
      <c r="B11" t="s">
        <v>23</v>
      </c>
      <c r="C11" t="s">
        <v>24</v>
      </c>
      <c r="D11" s="9" t="s">
        <v>969</v>
      </c>
      <c r="E11" s="46"/>
      <c r="F11" s="46"/>
      <c r="H11" t="s">
        <v>971</v>
      </c>
      <c r="I11" t="s">
        <v>23</v>
      </c>
      <c r="J11" t="s">
        <v>24</v>
      </c>
      <c r="K11" t="s">
        <v>969</v>
      </c>
    </row>
    <row r="12" spans="1:11" x14ac:dyDescent="0.25">
      <c r="A12" s="3" t="s">
        <v>939</v>
      </c>
      <c r="B12" s="4">
        <v>62039.327272727271</v>
      </c>
      <c r="C12" s="4">
        <v>59809.779411764706</v>
      </c>
      <c r="D12" s="4">
        <f>B12-C12</f>
        <v>2229.5478609625643</v>
      </c>
      <c r="E12" s="46"/>
      <c r="F12" s="46"/>
      <c r="H12" t="s">
        <v>939</v>
      </c>
      <c r="I12">
        <v>62039.327272727271</v>
      </c>
      <c r="J12">
        <v>59809.779411764706</v>
      </c>
      <c r="K12">
        <v>2229.5478609625643</v>
      </c>
    </row>
    <row r="13" spans="1:11" x14ac:dyDescent="0.25">
      <c r="A13" s="3" t="s">
        <v>941</v>
      </c>
      <c r="B13" s="4">
        <v>184793.39215686274</v>
      </c>
      <c r="C13" s="4">
        <v>187465.94366197183</v>
      </c>
      <c r="D13" s="4">
        <f>B13-C13</f>
        <v>-2672.5515051090915</v>
      </c>
      <c r="E13" s="46"/>
      <c r="F13" s="46"/>
      <c r="H13" t="s">
        <v>941</v>
      </c>
      <c r="I13">
        <v>184793.39215686274</v>
      </c>
      <c r="J13">
        <v>187465.94366197183</v>
      </c>
      <c r="K13">
        <v>-2672.5515051090915</v>
      </c>
    </row>
    <row r="14" spans="1:11" x14ac:dyDescent="0.25">
      <c r="A14" s="3" t="s">
        <v>938</v>
      </c>
      <c r="B14" s="4">
        <v>95928.465517241377</v>
      </c>
      <c r="C14" s="4">
        <v>93651.092307692306</v>
      </c>
      <c r="D14" s="4">
        <f>B14-C14</f>
        <v>2277.3732095490705</v>
      </c>
      <c r="E14" s="46"/>
      <c r="F14" s="46"/>
      <c r="H14" t="s">
        <v>938</v>
      </c>
      <c r="I14">
        <v>95928.465517241377</v>
      </c>
      <c r="J14">
        <v>93651.092307692306</v>
      </c>
      <c r="K14">
        <v>2277.3732095490705</v>
      </c>
    </row>
    <row r="15" spans="1:11" x14ac:dyDescent="0.25">
      <c r="A15" s="3" t="s">
        <v>940</v>
      </c>
      <c r="B15" s="4">
        <v>132606.51666666666</v>
      </c>
      <c r="C15" s="4">
        <v>131052.96721311475</v>
      </c>
      <c r="D15" s="4">
        <f>B15-C15</f>
        <v>1553.5494535519101</v>
      </c>
      <c r="E15" s="46"/>
      <c r="F15" s="46"/>
      <c r="H15" t="s">
        <v>940</v>
      </c>
      <c r="I15">
        <v>132606.51666666666</v>
      </c>
      <c r="J15">
        <v>131052.96721311475</v>
      </c>
      <c r="K15">
        <v>1553.5494535519101</v>
      </c>
    </row>
    <row r="16" spans="1:11" x14ac:dyDescent="0.25">
      <c r="A16" s="3" t="s">
        <v>27</v>
      </c>
      <c r="B16" s="4">
        <v>117664.58928571429</v>
      </c>
      <c r="C16" s="4">
        <v>118712.07169811321</v>
      </c>
      <c r="D16" s="12">
        <f>B16-C16</f>
        <v>-1047.4824123989238</v>
      </c>
      <c r="E16" s="46"/>
      <c r="F16" s="46"/>
      <c r="H16" t="s">
        <v>27</v>
      </c>
      <c r="I16">
        <v>117664.58928571429</v>
      </c>
      <c r="J16">
        <v>118712.07169811321</v>
      </c>
      <c r="K16">
        <v>-1047.4824123989238</v>
      </c>
    </row>
    <row r="18" spans="1:1" ht="70.5" customHeight="1" x14ac:dyDescent="0.25">
      <c r="A18" s="11" t="s">
        <v>968</v>
      </c>
    </row>
  </sheetData>
  <mergeCells count="1">
    <mergeCell ref="E10:F16"/>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52F14-0415-4A33-A5AC-6A5D98F97B43}">
  <dimension ref="A1:D6"/>
  <sheetViews>
    <sheetView workbookViewId="0">
      <selection activeCell="K1048576" sqref="K1048576"/>
    </sheetView>
  </sheetViews>
  <sheetFormatPr defaultRowHeight="15" x14ac:dyDescent="0.25"/>
  <cols>
    <col min="1" max="1" width="21.85546875" bestFit="1" customWidth="1"/>
    <col min="2" max="2" width="25.42578125" bestFit="1" customWidth="1"/>
    <col min="3" max="3" width="28.28515625" bestFit="1" customWidth="1"/>
    <col min="4" max="4" width="24.140625" bestFit="1" customWidth="1"/>
    <col min="5" max="5" width="18.85546875" bestFit="1" customWidth="1"/>
    <col min="6" max="6" width="22" bestFit="1" customWidth="1"/>
    <col min="7" max="7" width="25.7109375" bestFit="1" customWidth="1"/>
    <col min="8" max="8" width="20.5703125" bestFit="1" customWidth="1"/>
  </cols>
  <sheetData>
    <row r="1" spans="1:4" x14ac:dyDescent="0.25">
      <c r="A1" t="s">
        <v>942</v>
      </c>
      <c r="B1" t="s">
        <v>943</v>
      </c>
      <c r="C1" t="s">
        <v>944</v>
      </c>
      <c r="D1" t="s">
        <v>945</v>
      </c>
    </row>
    <row r="2" spans="1:4" x14ac:dyDescent="0.25">
      <c r="A2" t="s">
        <v>11</v>
      </c>
      <c r="B2" t="s">
        <v>946</v>
      </c>
      <c r="C2" t="s">
        <v>947</v>
      </c>
      <c r="D2" t="s">
        <v>948</v>
      </c>
    </row>
    <row r="3" spans="1:4" x14ac:dyDescent="0.25">
      <c r="A3" t="s">
        <v>8</v>
      </c>
      <c r="B3" t="s">
        <v>949</v>
      </c>
      <c r="C3" t="s">
        <v>950</v>
      </c>
      <c r="D3" t="s">
        <v>951</v>
      </c>
    </row>
    <row r="4" spans="1:4" x14ac:dyDescent="0.25">
      <c r="A4" t="s">
        <v>14</v>
      </c>
      <c r="B4" t="s">
        <v>952</v>
      </c>
      <c r="C4" t="s">
        <v>953</v>
      </c>
      <c r="D4" t="s">
        <v>954</v>
      </c>
    </row>
    <row r="5" spans="1:4" x14ac:dyDescent="0.25">
      <c r="A5" t="s">
        <v>3</v>
      </c>
      <c r="B5" t="s">
        <v>955</v>
      </c>
      <c r="C5" t="s">
        <v>956</v>
      </c>
      <c r="D5" t="s">
        <v>957</v>
      </c>
    </row>
    <row r="6" spans="1:4" x14ac:dyDescent="0.25">
      <c r="A6" t="s">
        <v>12</v>
      </c>
      <c r="B6" t="s">
        <v>958</v>
      </c>
      <c r="C6" t="s">
        <v>959</v>
      </c>
      <c r="D6" t="s">
        <v>957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CEC7-7F44-44CE-9895-C30E8F400EAC}">
  <dimension ref="A1:M1"/>
  <sheetViews>
    <sheetView workbookViewId="0">
      <selection activeCell="K1048576" sqref="K1048576"/>
    </sheetView>
  </sheetViews>
  <sheetFormatPr defaultRowHeight="15" x14ac:dyDescent="0.25"/>
  <cols>
    <col min="1" max="1" width="14.7109375" bestFit="1" customWidth="1"/>
    <col min="2" max="2" width="12.28515625" bestFit="1" customWidth="1"/>
    <col min="3" max="3" width="10" bestFit="1" customWidth="1"/>
    <col min="4" max="4" width="14.140625" bestFit="1" customWidth="1"/>
    <col min="5" max="5" width="11" bestFit="1" customWidth="1"/>
    <col min="6" max="6" width="26.7109375" bestFit="1" customWidth="1"/>
    <col min="7" max="7" width="24.140625" bestFit="1" customWidth="1"/>
    <col min="8" max="8" width="15.85546875" bestFit="1" customWidth="1"/>
    <col min="9" max="9" width="20.42578125" bestFit="1" customWidth="1"/>
    <col min="10" max="10" width="16" bestFit="1" customWidth="1"/>
    <col min="11" max="11" width="12.5703125" bestFit="1" customWidth="1"/>
    <col min="12" max="12" width="25.42578125" bestFit="1" customWidth="1"/>
    <col min="13" max="13" width="28.28515625" bestFit="1" customWidth="1"/>
  </cols>
  <sheetData>
    <row r="1" spans="1:13" x14ac:dyDescent="0.25">
      <c r="A1" t="s">
        <v>29</v>
      </c>
      <c r="B1" t="s">
        <v>30</v>
      </c>
      <c r="C1" t="s">
        <v>22</v>
      </c>
      <c r="D1" t="s">
        <v>0</v>
      </c>
      <c r="E1" t="s">
        <v>1</v>
      </c>
      <c r="F1" t="s">
        <v>31</v>
      </c>
      <c r="G1" t="s">
        <v>2</v>
      </c>
      <c r="H1" t="s">
        <v>15</v>
      </c>
      <c r="I1" t="s">
        <v>32</v>
      </c>
      <c r="J1" t="s">
        <v>33</v>
      </c>
      <c r="K1" t="s">
        <v>934</v>
      </c>
      <c r="L1" t="s">
        <v>943</v>
      </c>
      <c r="M1" t="s">
        <v>944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905E-5CE8-451B-B8E4-2B3E6CC1E3BA}">
  <dimension ref="A1:R493"/>
  <sheetViews>
    <sheetView workbookViewId="0">
      <selection activeCell="N1" sqref="N1:P1048576"/>
    </sheetView>
  </sheetViews>
  <sheetFormatPr defaultRowHeight="15" x14ac:dyDescent="0.25"/>
  <cols>
    <col min="1" max="1" width="14.7109375" bestFit="1" customWidth="1"/>
    <col min="2" max="2" width="28.5703125" bestFit="1" customWidth="1"/>
    <col min="3" max="3" width="12" bestFit="1" customWidth="1"/>
    <col min="4" max="4" width="14.140625" bestFit="1" customWidth="1"/>
    <col min="5" max="5" width="11" bestFit="1" customWidth="1"/>
    <col min="6" max="6" width="26.7109375" style="5" bestFit="1" customWidth="1"/>
    <col min="7" max="7" width="24.140625" bestFit="1" customWidth="1"/>
    <col min="8" max="8" width="15.85546875" bestFit="1" customWidth="1"/>
    <col min="9" max="9" width="20.42578125" bestFit="1" customWidth="1"/>
    <col min="10" max="10" width="20.28515625" bestFit="1" customWidth="1"/>
    <col min="11" max="11" width="12.5703125" bestFit="1" customWidth="1"/>
    <col min="12" max="12" width="25.42578125" bestFit="1" customWidth="1"/>
    <col min="13" max="13" width="28.28515625" bestFit="1" customWidth="1"/>
    <col min="14" max="14" width="20.28515625" customWidth="1"/>
    <col min="15" max="15" width="14.5703125" bestFit="1" customWidth="1"/>
    <col min="16" max="16" width="15.42578125" bestFit="1" customWidth="1"/>
    <col min="17" max="17" width="11.28515625" bestFit="1" customWidth="1"/>
    <col min="18" max="18" width="12.140625" bestFit="1" customWidth="1"/>
  </cols>
  <sheetData>
    <row r="1" spans="1:18" x14ac:dyDescent="0.25">
      <c r="A1" t="s">
        <v>29</v>
      </c>
      <c r="B1" t="s">
        <v>30</v>
      </c>
      <c r="C1" t="s">
        <v>22</v>
      </c>
      <c r="D1" t="s">
        <v>0</v>
      </c>
      <c r="E1" t="s">
        <v>1</v>
      </c>
      <c r="F1" s="5" t="s">
        <v>31</v>
      </c>
      <c r="G1" t="s">
        <v>2</v>
      </c>
      <c r="H1" t="s">
        <v>15</v>
      </c>
      <c r="I1" t="s">
        <v>32</v>
      </c>
      <c r="J1" t="s">
        <v>33</v>
      </c>
      <c r="K1" t="s">
        <v>934</v>
      </c>
      <c r="L1" t="s">
        <v>943</v>
      </c>
      <c r="M1" t="s">
        <v>944</v>
      </c>
      <c r="O1" s="1" t="s">
        <v>936</v>
      </c>
      <c r="P1" s="7">
        <f>MIN(F:F)</f>
        <v>37078</v>
      </c>
      <c r="Q1" s="1" t="s">
        <v>937</v>
      </c>
      <c r="R1" s="7">
        <f>MAX(F:F)</f>
        <v>233542</v>
      </c>
    </row>
    <row r="2" spans="1:18" x14ac:dyDescent="0.25">
      <c r="A2" t="s">
        <v>34</v>
      </c>
      <c r="B2" t="s">
        <v>35</v>
      </c>
      <c r="C2" t="s">
        <v>24</v>
      </c>
      <c r="D2" t="s">
        <v>12</v>
      </c>
      <c r="E2" t="s">
        <v>9</v>
      </c>
      <c r="F2" s="5">
        <v>88815</v>
      </c>
      <c r="G2" t="s">
        <v>6</v>
      </c>
      <c r="H2" t="s">
        <v>10</v>
      </c>
      <c r="I2" s="5">
        <v>2800</v>
      </c>
      <c r="J2" t="s">
        <v>20</v>
      </c>
      <c r="K2" t="s">
        <v>938</v>
      </c>
      <c r="L2" t="s">
        <v>958</v>
      </c>
      <c r="M2" t="s">
        <v>959</v>
      </c>
      <c r="O2" t="s">
        <v>935</v>
      </c>
      <c r="P2" s="7">
        <f>R1-P1</f>
        <v>196464</v>
      </c>
    </row>
    <row r="3" spans="1:18" x14ac:dyDescent="0.25">
      <c r="A3" t="s">
        <v>36</v>
      </c>
      <c r="B3" t="s">
        <v>37</v>
      </c>
      <c r="C3" t="s">
        <v>24</v>
      </c>
      <c r="D3" t="s">
        <v>3</v>
      </c>
      <c r="E3" t="s">
        <v>13</v>
      </c>
      <c r="F3" s="5">
        <v>88549</v>
      </c>
      <c r="G3" t="s">
        <v>6</v>
      </c>
      <c r="H3" t="s">
        <v>10</v>
      </c>
      <c r="I3" s="5">
        <v>2800</v>
      </c>
      <c r="J3" t="s">
        <v>20</v>
      </c>
      <c r="K3" t="s">
        <v>938</v>
      </c>
      <c r="L3" t="s">
        <v>955</v>
      </c>
      <c r="M3" t="s">
        <v>956</v>
      </c>
      <c r="O3" t="s">
        <v>933</v>
      </c>
      <c r="P3" s="7">
        <f>_xlfn.QUARTILE.INC(Indian_Employee_Data[Monthly Base Salary (INR)],1) - _xlfn.QUARTILE.INC(Indian_Employee_Data[Monthly Base Salary (INR)],)</f>
        <v>42010.5</v>
      </c>
    </row>
    <row r="4" spans="1:18" x14ac:dyDescent="0.25">
      <c r="A4" t="s">
        <v>38</v>
      </c>
      <c r="B4" t="s">
        <v>39</v>
      </c>
      <c r="C4" t="s">
        <v>24</v>
      </c>
      <c r="D4" t="s">
        <v>14</v>
      </c>
      <c r="E4" t="s">
        <v>7</v>
      </c>
      <c r="F4" s="5">
        <v>87960</v>
      </c>
      <c r="G4" t="s">
        <v>6</v>
      </c>
      <c r="H4" t="s">
        <v>10</v>
      </c>
      <c r="I4" s="5">
        <v>2800</v>
      </c>
      <c r="J4" t="s">
        <v>20</v>
      </c>
      <c r="K4" t="s">
        <v>938</v>
      </c>
      <c r="L4" t="s">
        <v>952</v>
      </c>
      <c r="M4" t="s">
        <v>953</v>
      </c>
      <c r="O4" s="1" t="s">
        <v>970</v>
      </c>
      <c r="P4" s="1" t="s">
        <v>972</v>
      </c>
      <c r="Q4" s="1" t="s">
        <v>973</v>
      </c>
    </row>
    <row r="5" spans="1:18" x14ac:dyDescent="0.25">
      <c r="A5" t="s">
        <v>40</v>
      </c>
      <c r="B5" t="s">
        <v>41</v>
      </c>
      <c r="C5" t="s">
        <v>24</v>
      </c>
      <c r="D5" t="s">
        <v>11</v>
      </c>
      <c r="E5" t="s">
        <v>9</v>
      </c>
      <c r="F5" s="5">
        <v>88290</v>
      </c>
      <c r="G5" t="s">
        <v>16</v>
      </c>
      <c r="H5" t="s">
        <v>10</v>
      </c>
      <c r="I5" s="5">
        <v>4200</v>
      </c>
      <c r="J5" t="s">
        <v>20</v>
      </c>
      <c r="K5" t="s">
        <v>938</v>
      </c>
      <c r="L5" t="s">
        <v>946</v>
      </c>
      <c r="M5" t="s">
        <v>947</v>
      </c>
      <c r="P5" s="5">
        <f>_xlfn.QUARTILE.INC(Indian_Employee_Data[Monthly Base Salary (INR)],1) - (1.5*$P$3)</f>
        <v>16072.75</v>
      </c>
      <c r="Q5" s="5">
        <f>_xlfn.QUARTILE.INC(Indian_Employee_Data[Monthly Base Salary (INR)],3) - (1.5*$P$3)</f>
        <v>90611.75</v>
      </c>
    </row>
    <row r="6" spans="1:18" x14ac:dyDescent="0.25">
      <c r="A6" t="s">
        <v>42</v>
      </c>
      <c r="B6" t="s">
        <v>43</v>
      </c>
      <c r="C6" t="s">
        <v>24</v>
      </c>
      <c r="D6" t="s">
        <v>12</v>
      </c>
      <c r="E6" t="s">
        <v>4</v>
      </c>
      <c r="F6" s="5">
        <v>92535</v>
      </c>
      <c r="G6" t="s">
        <v>16</v>
      </c>
      <c r="H6" t="s">
        <v>10</v>
      </c>
      <c r="I6" s="5">
        <v>4200</v>
      </c>
      <c r="J6" t="s">
        <v>20</v>
      </c>
      <c r="K6" t="s">
        <v>938</v>
      </c>
      <c r="L6" t="s">
        <v>958</v>
      </c>
      <c r="M6" t="s">
        <v>959</v>
      </c>
      <c r="P6" s="1" t="s">
        <v>975</v>
      </c>
      <c r="Q6" s="1" t="s">
        <v>974</v>
      </c>
    </row>
    <row r="7" spans="1:18" x14ac:dyDescent="0.25">
      <c r="A7" t="s">
        <v>44</v>
      </c>
      <c r="B7" t="s">
        <v>45</v>
      </c>
      <c r="C7" t="s">
        <v>24</v>
      </c>
      <c r="D7" t="s">
        <v>3</v>
      </c>
      <c r="E7" t="s">
        <v>13</v>
      </c>
      <c r="F7" s="5">
        <v>90307</v>
      </c>
      <c r="G7" t="s">
        <v>16</v>
      </c>
      <c r="H7" t="s">
        <v>10</v>
      </c>
      <c r="I7" s="5">
        <v>4200</v>
      </c>
      <c r="J7" t="s">
        <v>20</v>
      </c>
      <c r="K7" t="s">
        <v>938</v>
      </c>
      <c r="L7" t="s">
        <v>955</v>
      </c>
      <c r="M7" t="s">
        <v>956</v>
      </c>
    </row>
    <row r="8" spans="1:18" x14ac:dyDescent="0.25">
      <c r="A8" t="s">
        <v>46</v>
      </c>
      <c r="B8" t="s">
        <v>47</v>
      </c>
      <c r="C8" t="s">
        <v>24</v>
      </c>
      <c r="D8" t="s">
        <v>11</v>
      </c>
      <c r="E8" t="s">
        <v>7</v>
      </c>
      <c r="F8" s="5">
        <v>90352</v>
      </c>
      <c r="G8" t="s">
        <v>6</v>
      </c>
      <c r="H8" t="s">
        <v>10</v>
      </c>
      <c r="I8" s="5">
        <v>2800</v>
      </c>
      <c r="J8" t="s">
        <v>20</v>
      </c>
      <c r="K8" t="s">
        <v>938</v>
      </c>
      <c r="L8" t="s">
        <v>946</v>
      </c>
      <c r="M8" t="s">
        <v>947</v>
      </c>
    </row>
    <row r="9" spans="1:18" x14ac:dyDescent="0.25">
      <c r="A9" t="s">
        <v>48</v>
      </c>
      <c r="B9" t="s">
        <v>49</v>
      </c>
      <c r="C9" t="s">
        <v>24</v>
      </c>
      <c r="D9" t="s">
        <v>14</v>
      </c>
      <c r="E9" t="s">
        <v>4</v>
      </c>
      <c r="F9" s="5">
        <v>90477</v>
      </c>
      <c r="G9" t="s">
        <v>16</v>
      </c>
      <c r="H9" t="s">
        <v>10</v>
      </c>
      <c r="I9" s="5">
        <v>4200</v>
      </c>
      <c r="J9" t="s">
        <v>20</v>
      </c>
      <c r="K9" t="s">
        <v>938</v>
      </c>
      <c r="L9" t="s">
        <v>952</v>
      </c>
      <c r="M9" t="s">
        <v>953</v>
      </c>
    </row>
    <row r="10" spans="1:18" x14ac:dyDescent="0.25">
      <c r="A10" t="s">
        <v>50</v>
      </c>
      <c r="B10" t="s">
        <v>51</v>
      </c>
      <c r="C10" t="s">
        <v>24</v>
      </c>
      <c r="D10" t="s">
        <v>12</v>
      </c>
      <c r="E10" t="s">
        <v>9</v>
      </c>
      <c r="F10" s="5">
        <v>90691</v>
      </c>
      <c r="G10" t="s">
        <v>16</v>
      </c>
      <c r="H10" t="s">
        <v>10</v>
      </c>
      <c r="I10" s="5">
        <v>4200</v>
      </c>
      <c r="J10" t="s">
        <v>20</v>
      </c>
      <c r="K10" t="s">
        <v>938</v>
      </c>
      <c r="L10" t="s">
        <v>958</v>
      </c>
      <c r="M10" t="s">
        <v>959</v>
      </c>
    </row>
    <row r="11" spans="1:18" x14ac:dyDescent="0.25">
      <c r="A11" t="s">
        <v>52</v>
      </c>
      <c r="B11" t="s">
        <v>53</v>
      </c>
      <c r="C11" t="s">
        <v>24</v>
      </c>
      <c r="D11" t="s">
        <v>11</v>
      </c>
      <c r="E11" t="s">
        <v>4</v>
      </c>
      <c r="F11" s="5">
        <v>90723</v>
      </c>
      <c r="G11" t="s">
        <v>16</v>
      </c>
      <c r="H11" t="s">
        <v>10</v>
      </c>
      <c r="I11" s="5">
        <v>4200</v>
      </c>
      <c r="J11" t="s">
        <v>20</v>
      </c>
      <c r="K11" t="s">
        <v>938</v>
      </c>
      <c r="L11" t="s">
        <v>946</v>
      </c>
      <c r="M11" t="s">
        <v>947</v>
      </c>
    </row>
    <row r="12" spans="1:18" x14ac:dyDescent="0.25">
      <c r="A12" t="s">
        <v>54</v>
      </c>
      <c r="B12" t="s">
        <v>55</v>
      </c>
      <c r="C12" t="s">
        <v>24</v>
      </c>
      <c r="D12" t="s">
        <v>14</v>
      </c>
      <c r="E12" t="s">
        <v>9</v>
      </c>
      <c r="F12" s="5">
        <v>92631</v>
      </c>
      <c r="G12" t="s">
        <v>6</v>
      </c>
      <c r="H12" t="s">
        <v>10</v>
      </c>
      <c r="I12" s="5">
        <v>2800</v>
      </c>
      <c r="J12" t="s">
        <v>20</v>
      </c>
      <c r="K12" t="s">
        <v>938</v>
      </c>
      <c r="L12" t="s">
        <v>952</v>
      </c>
      <c r="M12" t="s">
        <v>953</v>
      </c>
    </row>
    <row r="13" spans="1:18" x14ac:dyDescent="0.25">
      <c r="A13" t="s">
        <v>56</v>
      </c>
      <c r="B13" t="s">
        <v>57</v>
      </c>
      <c r="C13" t="s">
        <v>24</v>
      </c>
      <c r="D13" t="s">
        <v>12</v>
      </c>
      <c r="E13" t="s">
        <v>9</v>
      </c>
      <c r="F13" s="5">
        <v>87831</v>
      </c>
      <c r="G13" t="s">
        <v>6</v>
      </c>
      <c r="H13" t="s">
        <v>10</v>
      </c>
      <c r="I13" s="5">
        <v>2800</v>
      </c>
      <c r="J13" t="s">
        <v>20</v>
      </c>
      <c r="K13" t="s">
        <v>938</v>
      </c>
      <c r="L13" t="s">
        <v>958</v>
      </c>
      <c r="M13" t="s">
        <v>959</v>
      </c>
    </row>
    <row r="14" spans="1:18" x14ac:dyDescent="0.25">
      <c r="A14" t="s">
        <v>58</v>
      </c>
      <c r="B14" t="s">
        <v>59</v>
      </c>
      <c r="C14" t="s">
        <v>24</v>
      </c>
      <c r="D14" t="s">
        <v>12</v>
      </c>
      <c r="E14" t="s">
        <v>13</v>
      </c>
      <c r="F14" s="5">
        <v>83499</v>
      </c>
      <c r="G14" t="s">
        <v>6</v>
      </c>
      <c r="H14" t="s">
        <v>10</v>
      </c>
      <c r="I14" s="5">
        <v>2800</v>
      </c>
      <c r="J14" t="s">
        <v>20</v>
      </c>
      <c r="K14" t="s">
        <v>938</v>
      </c>
      <c r="L14" t="s">
        <v>958</v>
      </c>
      <c r="M14" t="s">
        <v>959</v>
      </c>
    </row>
    <row r="15" spans="1:18" x14ac:dyDescent="0.25">
      <c r="A15" t="s">
        <v>60</v>
      </c>
      <c r="B15" t="s">
        <v>61</v>
      </c>
      <c r="C15" t="s">
        <v>24</v>
      </c>
      <c r="D15" t="s">
        <v>14</v>
      </c>
      <c r="E15" t="s">
        <v>7</v>
      </c>
      <c r="F15" s="5">
        <v>81804</v>
      </c>
      <c r="G15" t="s">
        <v>6</v>
      </c>
      <c r="H15" t="s">
        <v>10</v>
      </c>
      <c r="I15" s="5">
        <v>2800</v>
      </c>
      <c r="J15" t="s">
        <v>20</v>
      </c>
      <c r="K15" t="s">
        <v>938</v>
      </c>
      <c r="L15" t="s">
        <v>952</v>
      </c>
      <c r="M15" t="s">
        <v>953</v>
      </c>
    </row>
    <row r="16" spans="1:18" x14ac:dyDescent="0.25">
      <c r="A16" t="s">
        <v>62</v>
      </c>
      <c r="B16" t="s">
        <v>63</v>
      </c>
      <c r="C16" t="s">
        <v>24</v>
      </c>
      <c r="D16" t="s">
        <v>3</v>
      </c>
      <c r="E16" t="s">
        <v>7</v>
      </c>
      <c r="F16" s="5">
        <v>83204</v>
      </c>
      <c r="G16" t="s">
        <v>6</v>
      </c>
      <c r="H16" t="s">
        <v>10</v>
      </c>
      <c r="I16" s="5">
        <v>2800</v>
      </c>
      <c r="J16" t="s">
        <v>20</v>
      </c>
      <c r="K16" t="s">
        <v>938</v>
      </c>
      <c r="L16" t="s">
        <v>955</v>
      </c>
      <c r="M16" t="s">
        <v>956</v>
      </c>
    </row>
    <row r="17" spans="1:13" x14ac:dyDescent="0.25">
      <c r="A17" t="s">
        <v>64</v>
      </c>
      <c r="B17" t="s">
        <v>65</v>
      </c>
      <c r="C17" t="s">
        <v>24</v>
      </c>
      <c r="D17" t="s">
        <v>8</v>
      </c>
      <c r="E17" t="s">
        <v>9</v>
      </c>
      <c r="F17" s="5">
        <v>92966</v>
      </c>
      <c r="G17" t="s">
        <v>16</v>
      </c>
      <c r="H17" t="s">
        <v>10</v>
      </c>
      <c r="I17" s="5">
        <v>4200</v>
      </c>
      <c r="J17" t="s">
        <v>20</v>
      </c>
      <c r="K17" t="s">
        <v>938</v>
      </c>
      <c r="L17" t="s">
        <v>949</v>
      </c>
      <c r="M17" t="s">
        <v>950</v>
      </c>
    </row>
    <row r="18" spans="1:13" x14ac:dyDescent="0.25">
      <c r="A18" t="s">
        <v>66</v>
      </c>
      <c r="B18" t="s">
        <v>67</v>
      </c>
      <c r="C18" t="s">
        <v>24</v>
      </c>
      <c r="D18" t="s">
        <v>14</v>
      </c>
      <c r="E18" t="s">
        <v>7</v>
      </c>
      <c r="F18" s="5">
        <v>83596</v>
      </c>
      <c r="G18" t="s">
        <v>16</v>
      </c>
      <c r="H18" t="s">
        <v>10</v>
      </c>
      <c r="I18" s="5">
        <v>4200</v>
      </c>
      <c r="J18" t="s">
        <v>20</v>
      </c>
      <c r="K18" t="s">
        <v>938</v>
      </c>
      <c r="L18" t="s">
        <v>952</v>
      </c>
      <c r="M18" t="s">
        <v>953</v>
      </c>
    </row>
    <row r="19" spans="1:13" x14ac:dyDescent="0.25">
      <c r="A19" t="s">
        <v>68</v>
      </c>
      <c r="B19" t="s">
        <v>69</v>
      </c>
      <c r="C19" t="s">
        <v>24</v>
      </c>
      <c r="D19" t="s">
        <v>14</v>
      </c>
      <c r="E19" t="s">
        <v>9</v>
      </c>
      <c r="F19" s="5">
        <v>83721</v>
      </c>
      <c r="G19" t="s">
        <v>16</v>
      </c>
      <c r="H19" t="s">
        <v>10</v>
      </c>
      <c r="I19" s="5">
        <v>4200</v>
      </c>
      <c r="J19" t="s">
        <v>20</v>
      </c>
      <c r="K19" t="s">
        <v>938</v>
      </c>
      <c r="L19" t="s">
        <v>952</v>
      </c>
      <c r="M19" t="s">
        <v>953</v>
      </c>
    </row>
    <row r="20" spans="1:13" x14ac:dyDescent="0.25">
      <c r="A20" t="s">
        <v>70</v>
      </c>
      <c r="B20" t="s">
        <v>71</v>
      </c>
      <c r="C20" t="s">
        <v>24</v>
      </c>
      <c r="D20" t="s">
        <v>14</v>
      </c>
      <c r="E20" t="s">
        <v>4</v>
      </c>
      <c r="F20" s="5">
        <v>83742</v>
      </c>
      <c r="G20" t="s">
        <v>6</v>
      </c>
      <c r="H20" t="s">
        <v>10</v>
      </c>
      <c r="I20" s="5">
        <v>2800</v>
      </c>
      <c r="J20" t="s">
        <v>20</v>
      </c>
      <c r="K20" t="s">
        <v>938</v>
      </c>
      <c r="L20" t="s">
        <v>952</v>
      </c>
      <c r="M20" t="s">
        <v>953</v>
      </c>
    </row>
    <row r="21" spans="1:13" x14ac:dyDescent="0.25">
      <c r="A21" t="s">
        <v>72</v>
      </c>
      <c r="B21" t="s">
        <v>73</v>
      </c>
      <c r="C21" t="s">
        <v>24</v>
      </c>
      <c r="D21" t="s">
        <v>8</v>
      </c>
      <c r="E21" t="s">
        <v>4</v>
      </c>
      <c r="F21" s="5">
        <v>84168</v>
      </c>
      <c r="G21" t="s">
        <v>6</v>
      </c>
      <c r="H21" t="s">
        <v>10</v>
      </c>
      <c r="I21" s="5">
        <v>2800</v>
      </c>
      <c r="J21" t="s">
        <v>20</v>
      </c>
      <c r="K21" t="s">
        <v>938</v>
      </c>
      <c r="L21" t="s">
        <v>949</v>
      </c>
      <c r="M21" t="s">
        <v>950</v>
      </c>
    </row>
    <row r="22" spans="1:13" x14ac:dyDescent="0.25">
      <c r="A22" t="s">
        <v>74</v>
      </c>
      <c r="B22" t="s">
        <v>75</v>
      </c>
      <c r="C22" t="s">
        <v>24</v>
      </c>
      <c r="D22" t="s">
        <v>12</v>
      </c>
      <c r="E22" t="s">
        <v>4</v>
      </c>
      <c r="F22" s="5">
        <v>84810</v>
      </c>
      <c r="G22" t="s">
        <v>6</v>
      </c>
      <c r="H22" t="s">
        <v>10</v>
      </c>
      <c r="I22" s="5">
        <v>2800</v>
      </c>
      <c r="J22" t="s">
        <v>20</v>
      </c>
      <c r="K22" t="s">
        <v>938</v>
      </c>
      <c r="L22" t="s">
        <v>958</v>
      </c>
      <c r="M22" t="s">
        <v>959</v>
      </c>
    </row>
    <row r="23" spans="1:13" x14ac:dyDescent="0.25">
      <c r="A23" t="s">
        <v>76</v>
      </c>
      <c r="B23" t="s">
        <v>77</v>
      </c>
      <c r="C23" t="s">
        <v>24</v>
      </c>
      <c r="D23" t="s">
        <v>12</v>
      </c>
      <c r="E23" t="s">
        <v>9</v>
      </c>
      <c r="F23" s="5">
        <v>85041</v>
      </c>
      <c r="G23" t="s">
        <v>16</v>
      </c>
      <c r="H23" t="s">
        <v>10</v>
      </c>
      <c r="I23" s="5">
        <v>4200</v>
      </c>
      <c r="J23" t="s">
        <v>20</v>
      </c>
      <c r="K23" t="s">
        <v>938</v>
      </c>
      <c r="L23" t="s">
        <v>958</v>
      </c>
      <c r="M23" t="s">
        <v>959</v>
      </c>
    </row>
    <row r="24" spans="1:13" x14ac:dyDescent="0.25">
      <c r="A24" t="s">
        <v>78</v>
      </c>
      <c r="B24" t="s">
        <v>79</v>
      </c>
      <c r="C24" t="s">
        <v>24</v>
      </c>
      <c r="D24" t="s">
        <v>14</v>
      </c>
      <c r="E24" t="s">
        <v>7</v>
      </c>
      <c r="F24" s="5">
        <v>85085</v>
      </c>
      <c r="G24" t="s">
        <v>16</v>
      </c>
      <c r="H24" t="s">
        <v>10</v>
      </c>
      <c r="I24" s="5">
        <v>4200</v>
      </c>
      <c r="J24" t="s">
        <v>20</v>
      </c>
      <c r="K24" t="s">
        <v>938</v>
      </c>
      <c r="L24" t="s">
        <v>952</v>
      </c>
      <c r="M24" t="s">
        <v>953</v>
      </c>
    </row>
    <row r="25" spans="1:13" x14ac:dyDescent="0.25">
      <c r="A25" t="s">
        <v>80</v>
      </c>
      <c r="B25" t="s">
        <v>81</v>
      </c>
      <c r="C25" t="s">
        <v>24</v>
      </c>
      <c r="D25" t="s">
        <v>14</v>
      </c>
      <c r="E25" t="s">
        <v>13</v>
      </c>
      <c r="F25" s="5">
        <v>85185</v>
      </c>
      <c r="G25" t="s">
        <v>16</v>
      </c>
      <c r="H25" t="s">
        <v>10</v>
      </c>
      <c r="I25" s="5">
        <v>4200</v>
      </c>
      <c r="J25" t="s">
        <v>20</v>
      </c>
      <c r="K25" t="s">
        <v>938</v>
      </c>
      <c r="L25" t="s">
        <v>952</v>
      </c>
      <c r="M25" t="s">
        <v>953</v>
      </c>
    </row>
    <row r="26" spans="1:13" x14ac:dyDescent="0.25">
      <c r="A26" t="s">
        <v>82</v>
      </c>
      <c r="B26" t="s">
        <v>83</v>
      </c>
      <c r="C26" t="s">
        <v>24</v>
      </c>
      <c r="D26" t="s">
        <v>11</v>
      </c>
      <c r="E26" t="s">
        <v>4</v>
      </c>
      <c r="F26" s="5">
        <v>86333</v>
      </c>
      <c r="G26" t="s">
        <v>6</v>
      </c>
      <c r="H26" t="s">
        <v>10</v>
      </c>
      <c r="I26" s="5">
        <v>2800</v>
      </c>
      <c r="J26" t="s">
        <v>20</v>
      </c>
      <c r="K26" t="s">
        <v>938</v>
      </c>
      <c r="L26" t="s">
        <v>946</v>
      </c>
      <c r="M26" t="s">
        <v>947</v>
      </c>
    </row>
    <row r="27" spans="1:13" x14ac:dyDescent="0.25">
      <c r="A27" t="s">
        <v>84</v>
      </c>
      <c r="B27" t="s">
        <v>85</v>
      </c>
      <c r="C27" t="s">
        <v>24</v>
      </c>
      <c r="D27" t="s">
        <v>12</v>
      </c>
      <c r="E27" t="s">
        <v>13</v>
      </c>
      <c r="F27" s="5">
        <v>86377</v>
      </c>
      <c r="G27" t="s">
        <v>16</v>
      </c>
      <c r="H27" t="s">
        <v>10</v>
      </c>
      <c r="I27" s="5">
        <v>4200</v>
      </c>
      <c r="J27" t="s">
        <v>20</v>
      </c>
      <c r="K27" t="s">
        <v>938</v>
      </c>
      <c r="L27" t="s">
        <v>958</v>
      </c>
      <c r="M27" t="s">
        <v>959</v>
      </c>
    </row>
    <row r="28" spans="1:13" x14ac:dyDescent="0.25">
      <c r="A28" t="s">
        <v>86</v>
      </c>
      <c r="B28" t="s">
        <v>87</v>
      </c>
      <c r="C28" t="s">
        <v>24</v>
      </c>
      <c r="D28" t="s">
        <v>12</v>
      </c>
      <c r="E28" t="s">
        <v>7</v>
      </c>
      <c r="F28" s="5">
        <v>93810</v>
      </c>
      <c r="G28" t="s">
        <v>6</v>
      </c>
      <c r="H28" t="s">
        <v>10</v>
      </c>
      <c r="I28" s="5">
        <v>2800</v>
      </c>
      <c r="J28" t="s">
        <v>20</v>
      </c>
      <c r="K28" t="s">
        <v>938</v>
      </c>
      <c r="L28" t="s">
        <v>958</v>
      </c>
      <c r="M28" t="s">
        <v>959</v>
      </c>
    </row>
    <row r="29" spans="1:13" x14ac:dyDescent="0.25">
      <c r="A29" t="s">
        <v>88</v>
      </c>
      <c r="B29" t="s">
        <v>89</v>
      </c>
      <c r="C29" t="s">
        <v>24</v>
      </c>
      <c r="D29" t="s">
        <v>14</v>
      </c>
      <c r="E29" t="s">
        <v>7</v>
      </c>
      <c r="F29" s="5">
        <v>101625</v>
      </c>
      <c r="G29" t="s">
        <v>16</v>
      </c>
      <c r="H29" t="s">
        <v>10</v>
      </c>
      <c r="I29" s="5">
        <v>4200</v>
      </c>
      <c r="J29" t="s">
        <v>20</v>
      </c>
      <c r="K29" t="s">
        <v>938</v>
      </c>
      <c r="L29" t="s">
        <v>952</v>
      </c>
      <c r="M29" t="s">
        <v>953</v>
      </c>
    </row>
    <row r="30" spans="1:13" x14ac:dyDescent="0.25">
      <c r="A30" t="s">
        <v>90</v>
      </c>
      <c r="B30" t="s">
        <v>91</v>
      </c>
      <c r="C30" t="s">
        <v>24</v>
      </c>
      <c r="D30" t="s">
        <v>12</v>
      </c>
      <c r="E30" t="s">
        <v>9</v>
      </c>
      <c r="F30" s="5">
        <v>101730</v>
      </c>
      <c r="G30" t="s">
        <v>6</v>
      </c>
      <c r="H30" t="s">
        <v>10</v>
      </c>
      <c r="I30" s="5">
        <v>2800</v>
      </c>
      <c r="J30" t="s">
        <v>20</v>
      </c>
      <c r="K30" t="s">
        <v>938</v>
      </c>
      <c r="L30" t="s">
        <v>958</v>
      </c>
      <c r="M30" t="s">
        <v>959</v>
      </c>
    </row>
    <row r="31" spans="1:13" x14ac:dyDescent="0.25">
      <c r="A31" t="s">
        <v>92</v>
      </c>
      <c r="B31" t="s">
        <v>93</v>
      </c>
      <c r="C31" t="s">
        <v>24</v>
      </c>
      <c r="D31" t="s">
        <v>12</v>
      </c>
      <c r="E31" t="s">
        <v>9</v>
      </c>
      <c r="F31" s="5">
        <v>102114</v>
      </c>
      <c r="G31" t="s">
        <v>6</v>
      </c>
      <c r="H31" t="s">
        <v>10</v>
      </c>
      <c r="I31" s="5">
        <v>2800</v>
      </c>
      <c r="J31" t="s">
        <v>20</v>
      </c>
      <c r="K31" t="s">
        <v>938</v>
      </c>
      <c r="L31" t="s">
        <v>958</v>
      </c>
      <c r="M31" t="s">
        <v>959</v>
      </c>
    </row>
    <row r="32" spans="1:13" x14ac:dyDescent="0.25">
      <c r="A32" t="s">
        <v>94</v>
      </c>
      <c r="B32" t="s">
        <v>95</v>
      </c>
      <c r="C32" t="s">
        <v>24</v>
      </c>
      <c r="D32" t="s">
        <v>12</v>
      </c>
      <c r="E32" t="s">
        <v>7</v>
      </c>
      <c r="F32" s="5">
        <v>103186</v>
      </c>
      <c r="G32" t="s">
        <v>6</v>
      </c>
      <c r="H32" t="s">
        <v>10</v>
      </c>
      <c r="I32" s="5">
        <v>2800</v>
      </c>
      <c r="J32" t="s">
        <v>20</v>
      </c>
      <c r="K32" t="s">
        <v>938</v>
      </c>
      <c r="L32" t="s">
        <v>958</v>
      </c>
      <c r="M32" t="s">
        <v>959</v>
      </c>
    </row>
    <row r="33" spans="1:13" x14ac:dyDescent="0.25">
      <c r="A33" t="s">
        <v>96</v>
      </c>
      <c r="B33" t="s">
        <v>97</v>
      </c>
      <c r="C33" t="s">
        <v>24</v>
      </c>
      <c r="D33" t="s">
        <v>12</v>
      </c>
      <c r="E33" t="s">
        <v>7</v>
      </c>
      <c r="F33" s="5">
        <v>103367</v>
      </c>
      <c r="G33" t="s">
        <v>16</v>
      </c>
      <c r="H33" t="s">
        <v>10</v>
      </c>
      <c r="I33" s="5">
        <v>4200</v>
      </c>
      <c r="J33" t="s">
        <v>20</v>
      </c>
      <c r="K33" t="s">
        <v>938</v>
      </c>
      <c r="L33" t="s">
        <v>958</v>
      </c>
      <c r="M33" t="s">
        <v>959</v>
      </c>
    </row>
    <row r="34" spans="1:13" x14ac:dyDescent="0.25">
      <c r="A34" t="s">
        <v>98</v>
      </c>
      <c r="B34" t="s">
        <v>99</v>
      </c>
      <c r="C34" t="s">
        <v>24</v>
      </c>
      <c r="D34" t="s">
        <v>3</v>
      </c>
      <c r="E34" t="s">
        <v>13</v>
      </c>
      <c r="F34" s="5">
        <v>105085</v>
      </c>
      <c r="G34" t="s">
        <v>16</v>
      </c>
      <c r="H34" t="s">
        <v>10</v>
      </c>
      <c r="I34" s="5">
        <v>4200</v>
      </c>
      <c r="J34" t="s">
        <v>20</v>
      </c>
      <c r="K34" t="s">
        <v>938</v>
      </c>
      <c r="L34" t="s">
        <v>955</v>
      </c>
      <c r="M34" t="s">
        <v>956</v>
      </c>
    </row>
    <row r="35" spans="1:13" x14ac:dyDescent="0.25">
      <c r="A35" t="s">
        <v>100</v>
      </c>
      <c r="B35" t="s">
        <v>101</v>
      </c>
      <c r="C35" t="s">
        <v>24</v>
      </c>
      <c r="D35" t="s">
        <v>8</v>
      </c>
      <c r="E35" t="s">
        <v>4</v>
      </c>
      <c r="F35" s="5">
        <v>105288</v>
      </c>
      <c r="G35" t="s">
        <v>16</v>
      </c>
      <c r="H35" t="s">
        <v>10</v>
      </c>
      <c r="I35" s="5">
        <v>4200</v>
      </c>
      <c r="J35" t="s">
        <v>20</v>
      </c>
      <c r="K35" t="s">
        <v>938</v>
      </c>
      <c r="L35" t="s">
        <v>949</v>
      </c>
      <c r="M35" t="s">
        <v>950</v>
      </c>
    </row>
    <row r="36" spans="1:13" x14ac:dyDescent="0.25">
      <c r="A36" t="s">
        <v>102</v>
      </c>
      <c r="B36" t="s">
        <v>103</v>
      </c>
      <c r="C36" t="s">
        <v>24</v>
      </c>
      <c r="D36" t="s">
        <v>8</v>
      </c>
      <c r="E36" t="s">
        <v>9</v>
      </c>
      <c r="F36" s="5">
        <v>106307</v>
      </c>
      <c r="G36" t="s">
        <v>6</v>
      </c>
      <c r="H36" t="s">
        <v>10</v>
      </c>
      <c r="I36" s="5">
        <v>2800</v>
      </c>
      <c r="J36" t="s">
        <v>20</v>
      </c>
      <c r="K36" t="s">
        <v>938</v>
      </c>
      <c r="L36" t="s">
        <v>949</v>
      </c>
      <c r="M36" t="s">
        <v>950</v>
      </c>
    </row>
    <row r="37" spans="1:13" x14ac:dyDescent="0.25">
      <c r="A37" t="s">
        <v>104</v>
      </c>
      <c r="B37" t="s">
        <v>105</v>
      </c>
      <c r="C37" t="s">
        <v>24</v>
      </c>
      <c r="D37" t="s">
        <v>12</v>
      </c>
      <c r="E37" t="s">
        <v>13</v>
      </c>
      <c r="F37" s="5">
        <v>106561</v>
      </c>
      <c r="G37" t="s">
        <v>16</v>
      </c>
      <c r="H37" t="s">
        <v>10</v>
      </c>
      <c r="I37" s="5">
        <v>4200</v>
      </c>
      <c r="J37" t="s">
        <v>20</v>
      </c>
      <c r="K37" t="s">
        <v>938</v>
      </c>
      <c r="L37" t="s">
        <v>958</v>
      </c>
      <c r="M37" t="s">
        <v>959</v>
      </c>
    </row>
    <row r="38" spans="1:13" x14ac:dyDescent="0.25">
      <c r="A38" t="s">
        <v>106</v>
      </c>
      <c r="B38" t="s">
        <v>107</v>
      </c>
      <c r="C38" t="s">
        <v>24</v>
      </c>
      <c r="D38" t="s">
        <v>14</v>
      </c>
      <c r="E38" t="s">
        <v>13</v>
      </c>
      <c r="F38" s="5">
        <v>109799</v>
      </c>
      <c r="G38" t="s">
        <v>6</v>
      </c>
      <c r="H38" t="s">
        <v>10</v>
      </c>
      <c r="I38" s="5">
        <v>2800</v>
      </c>
      <c r="J38" t="s">
        <v>20</v>
      </c>
      <c r="K38" t="s">
        <v>938</v>
      </c>
      <c r="L38" t="s">
        <v>952</v>
      </c>
      <c r="M38" t="s">
        <v>953</v>
      </c>
    </row>
    <row r="39" spans="1:13" x14ac:dyDescent="0.25">
      <c r="A39" t="s">
        <v>108</v>
      </c>
      <c r="B39" t="s">
        <v>109</v>
      </c>
      <c r="C39" t="s">
        <v>24</v>
      </c>
      <c r="D39" t="s">
        <v>3</v>
      </c>
      <c r="E39" t="s">
        <v>9</v>
      </c>
      <c r="F39" s="5">
        <v>110236</v>
      </c>
      <c r="G39" t="s">
        <v>16</v>
      </c>
      <c r="H39" t="s">
        <v>10</v>
      </c>
      <c r="I39" s="5">
        <v>4200</v>
      </c>
      <c r="J39" t="s">
        <v>20</v>
      </c>
      <c r="K39" t="s">
        <v>938</v>
      </c>
      <c r="L39" t="s">
        <v>955</v>
      </c>
      <c r="M39" t="s">
        <v>956</v>
      </c>
    </row>
    <row r="40" spans="1:13" x14ac:dyDescent="0.25">
      <c r="A40" t="s">
        <v>110</v>
      </c>
      <c r="B40" t="s">
        <v>111</v>
      </c>
      <c r="C40" t="s">
        <v>24</v>
      </c>
      <c r="D40" t="s">
        <v>8</v>
      </c>
      <c r="E40" t="s">
        <v>13</v>
      </c>
      <c r="F40" s="5">
        <v>110397</v>
      </c>
      <c r="G40" t="s">
        <v>6</v>
      </c>
      <c r="H40" t="s">
        <v>10</v>
      </c>
      <c r="I40" s="5">
        <v>2800</v>
      </c>
      <c r="J40" t="s">
        <v>20</v>
      </c>
      <c r="K40" t="s">
        <v>938</v>
      </c>
      <c r="L40" t="s">
        <v>949</v>
      </c>
      <c r="M40" t="s">
        <v>950</v>
      </c>
    </row>
    <row r="41" spans="1:13" x14ac:dyDescent="0.25">
      <c r="A41" t="s">
        <v>112</v>
      </c>
      <c r="B41" t="s">
        <v>113</v>
      </c>
      <c r="C41" t="s">
        <v>24</v>
      </c>
      <c r="D41" t="s">
        <v>11</v>
      </c>
      <c r="E41" t="s">
        <v>13</v>
      </c>
      <c r="F41" s="5">
        <v>101542</v>
      </c>
      <c r="G41" t="s">
        <v>16</v>
      </c>
      <c r="H41" t="s">
        <v>10</v>
      </c>
      <c r="I41" s="5">
        <v>4200</v>
      </c>
      <c r="J41" t="s">
        <v>20</v>
      </c>
      <c r="K41" t="s">
        <v>938</v>
      </c>
      <c r="L41" t="s">
        <v>946</v>
      </c>
      <c r="M41" t="s">
        <v>947</v>
      </c>
    </row>
    <row r="42" spans="1:13" x14ac:dyDescent="0.25">
      <c r="A42" t="s">
        <v>114</v>
      </c>
      <c r="B42" t="s">
        <v>115</v>
      </c>
      <c r="C42" t="s">
        <v>24</v>
      </c>
      <c r="D42" t="s">
        <v>3</v>
      </c>
      <c r="E42" t="s">
        <v>9</v>
      </c>
      <c r="F42" s="5">
        <v>100516</v>
      </c>
      <c r="G42" t="s">
        <v>6</v>
      </c>
      <c r="H42" t="s">
        <v>10</v>
      </c>
      <c r="I42" s="5">
        <v>2800</v>
      </c>
      <c r="J42" t="s">
        <v>20</v>
      </c>
      <c r="K42" t="s">
        <v>938</v>
      </c>
      <c r="L42" t="s">
        <v>955</v>
      </c>
      <c r="M42" t="s">
        <v>956</v>
      </c>
    </row>
    <row r="43" spans="1:13" x14ac:dyDescent="0.25">
      <c r="A43" t="s">
        <v>116</v>
      </c>
      <c r="B43" t="s">
        <v>117</v>
      </c>
      <c r="C43" t="s">
        <v>24</v>
      </c>
      <c r="D43" t="s">
        <v>3</v>
      </c>
      <c r="E43" t="s">
        <v>9</v>
      </c>
      <c r="F43" s="5">
        <v>93986</v>
      </c>
      <c r="G43" t="s">
        <v>6</v>
      </c>
      <c r="H43" t="s">
        <v>10</v>
      </c>
      <c r="I43" s="5">
        <v>2800</v>
      </c>
      <c r="J43" t="s">
        <v>20</v>
      </c>
      <c r="K43" t="s">
        <v>938</v>
      </c>
      <c r="L43" t="s">
        <v>955</v>
      </c>
      <c r="M43" t="s">
        <v>956</v>
      </c>
    </row>
    <row r="44" spans="1:13" x14ac:dyDescent="0.25">
      <c r="A44" t="s">
        <v>118</v>
      </c>
      <c r="B44" t="s">
        <v>119</v>
      </c>
      <c r="C44" t="s">
        <v>24</v>
      </c>
      <c r="D44" t="s">
        <v>11</v>
      </c>
      <c r="E44" t="s">
        <v>7</v>
      </c>
      <c r="F44" s="5">
        <v>94279</v>
      </c>
      <c r="G44" t="s">
        <v>16</v>
      </c>
      <c r="H44" t="s">
        <v>10</v>
      </c>
      <c r="I44" s="5">
        <v>4200</v>
      </c>
      <c r="J44" t="s">
        <v>20</v>
      </c>
      <c r="K44" t="s">
        <v>938</v>
      </c>
      <c r="L44" t="s">
        <v>946</v>
      </c>
      <c r="M44" t="s">
        <v>947</v>
      </c>
    </row>
    <row r="45" spans="1:13" x14ac:dyDescent="0.25">
      <c r="A45" t="s">
        <v>120</v>
      </c>
      <c r="B45" t="s">
        <v>121</v>
      </c>
      <c r="C45" t="s">
        <v>24</v>
      </c>
      <c r="D45" t="s">
        <v>8</v>
      </c>
      <c r="E45" t="s">
        <v>9</v>
      </c>
      <c r="F45" s="5">
        <v>94339</v>
      </c>
      <c r="G45" t="s">
        <v>16</v>
      </c>
      <c r="H45" t="s">
        <v>10</v>
      </c>
      <c r="I45" s="5">
        <v>4200</v>
      </c>
      <c r="J45" t="s">
        <v>20</v>
      </c>
      <c r="K45" t="s">
        <v>938</v>
      </c>
      <c r="L45" t="s">
        <v>949</v>
      </c>
      <c r="M45" t="s">
        <v>950</v>
      </c>
    </row>
    <row r="46" spans="1:13" x14ac:dyDescent="0.25">
      <c r="A46" t="s">
        <v>122</v>
      </c>
      <c r="B46" t="s">
        <v>123</v>
      </c>
      <c r="C46" t="s">
        <v>24</v>
      </c>
      <c r="D46" t="s">
        <v>8</v>
      </c>
      <c r="E46" t="s">
        <v>9</v>
      </c>
      <c r="F46" s="5">
        <v>94509</v>
      </c>
      <c r="G46" t="s">
        <v>6</v>
      </c>
      <c r="H46" t="s">
        <v>10</v>
      </c>
      <c r="I46" s="5">
        <v>2800</v>
      </c>
      <c r="J46" t="s">
        <v>20</v>
      </c>
      <c r="K46" t="s">
        <v>938</v>
      </c>
      <c r="L46" t="s">
        <v>949</v>
      </c>
      <c r="M46" t="s">
        <v>950</v>
      </c>
    </row>
    <row r="47" spans="1:13" x14ac:dyDescent="0.25">
      <c r="A47" t="s">
        <v>124</v>
      </c>
      <c r="B47" t="s">
        <v>125</v>
      </c>
      <c r="C47" t="s">
        <v>24</v>
      </c>
      <c r="D47" t="s">
        <v>11</v>
      </c>
      <c r="E47" t="s">
        <v>7</v>
      </c>
      <c r="F47" s="5">
        <v>94788</v>
      </c>
      <c r="G47" t="s">
        <v>16</v>
      </c>
      <c r="H47" t="s">
        <v>10</v>
      </c>
      <c r="I47" s="5">
        <v>4200</v>
      </c>
      <c r="J47" t="s">
        <v>20</v>
      </c>
      <c r="K47" t="s">
        <v>938</v>
      </c>
      <c r="L47" t="s">
        <v>946</v>
      </c>
      <c r="M47" t="s">
        <v>947</v>
      </c>
    </row>
    <row r="48" spans="1:13" x14ac:dyDescent="0.25">
      <c r="A48" t="s">
        <v>126</v>
      </c>
      <c r="B48" t="s">
        <v>127</v>
      </c>
      <c r="C48" t="s">
        <v>24</v>
      </c>
      <c r="D48" t="s">
        <v>12</v>
      </c>
      <c r="E48" t="s">
        <v>13</v>
      </c>
      <c r="F48" s="5">
        <v>94822</v>
      </c>
      <c r="G48" t="s">
        <v>16</v>
      </c>
      <c r="H48" t="s">
        <v>10</v>
      </c>
      <c r="I48" s="5">
        <v>4200</v>
      </c>
      <c r="J48" t="s">
        <v>20</v>
      </c>
      <c r="K48" t="s">
        <v>938</v>
      </c>
      <c r="L48" t="s">
        <v>958</v>
      </c>
      <c r="M48" t="s">
        <v>959</v>
      </c>
    </row>
    <row r="49" spans="1:13" x14ac:dyDescent="0.25">
      <c r="A49" t="s">
        <v>128</v>
      </c>
      <c r="B49" t="s">
        <v>129</v>
      </c>
      <c r="C49" t="s">
        <v>24</v>
      </c>
      <c r="D49" t="s">
        <v>8</v>
      </c>
      <c r="E49" t="s">
        <v>9</v>
      </c>
      <c r="F49" s="5">
        <v>94831</v>
      </c>
      <c r="G49" t="s">
        <v>16</v>
      </c>
      <c r="H49" t="s">
        <v>10</v>
      </c>
      <c r="I49" s="5">
        <v>4200</v>
      </c>
      <c r="J49" t="s">
        <v>20</v>
      </c>
      <c r="K49" t="s">
        <v>938</v>
      </c>
      <c r="L49" t="s">
        <v>949</v>
      </c>
      <c r="M49" t="s">
        <v>950</v>
      </c>
    </row>
    <row r="50" spans="1:13" x14ac:dyDescent="0.25">
      <c r="A50" t="s">
        <v>130</v>
      </c>
      <c r="B50" t="s">
        <v>131</v>
      </c>
      <c r="C50" t="s">
        <v>24</v>
      </c>
      <c r="D50" t="s">
        <v>3</v>
      </c>
      <c r="E50" t="s">
        <v>13</v>
      </c>
      <c r="F50" s="5">
        <v>96137</v>
      </c>
      <c r="G50" t="s">
        <v>6</v>
      </c>
      <c r="H50" t="s">
        <v>10</v>
      </c>
      <c r="I50" s="5">
        <v>2800</v>
      </c>
      <c r="J50" t="s">
        <v>20</v>
      </c>
      <c r="K50" t="s">
        <v>938</v>
      </c>
      <c r="L50" t="s">
        <v>955</v>
      </c>
      <c r="M50" t="s">
        <v>956</v>
      </c>
    </row>
    <row r="51" spans="1:13" x14ac:dyDescent="0.25">
      <c r="A51" t="s">
        <v>132</v>
      </c>
      <c r="B51" t="s">
        <v>133</v>
      </c>
      <c r="C51" t="s">
        <v>24</v>
      </c>
      <c r="D51" t="s">
        <v>3</v>
      </c>
      <c r="E51" t="s">
        <v>4</v>
      </c>
      <c r="F51" s="5">
        <v>96342</v>
      </c>
      <c r="G51" t="s">
        <v>16</v>
      </c>
      <c r="H51" t="s">
        <v>10</v>
      </c>
      <c r="I51" s="5">
        <v>4200</v>
      </c>
      <c r="J51" t="s">
        <v>20</v>
      </c>
      <c r="K51" t="s">
        <v>938</v>
      </c>
      <c r="L51" t="s">
        <v>955</v>
      </c>
      <c r="M51" t="s">
        <v>956</v>
      </c>
    </row>
    <row r="52" spans="1:13" x14ac:dyDescent="0.25">
      <c r="A52" t="s">
        <v>134</v>
      </c>
      <c r="B52" t="s">
        <v>135</v>
      </c>
      <c r="C52" t="s">
        <v>24</v>
      </c>
      <c r="D52" t="s">
        <v>3</v>
      </c>
      <c r="E52" t="s">
        <v>13</v>
      </c>
      <c r="F52" s="5">
        <v>96522</v>
      </c>
      <c r="G52" t="s">
        <v>16</v>
      </c>
      <c r="H52" t="s">
        <v>10</v>
      </c>
      <c r="I52" s="5">
        <v>4200</v>
      </c>
      <c r="J52" t="s">
        <v>20</v>
      </c>
      <c r="K52" t="s">
        <v>938</v>
      </c>
      <c r="L52" t="s">
        <v>955</v>
      </c>
      <c r="M52" t="s">
        <v>956</v>
      </c>
    </row>
    <row r="53" spans="1:13" x14ac:dyDescent="0.25">
      <c r="A53" t="s">
        <v>136</v>
      </c>
      <c r="B53" t="s">
        <v>137</v>
      </c>
      <c r="C53" t="s">
        <v>24</v>
      </c>
      <c r="D53" t="s">
        <v>3</v>
      </c>
      <c r="E53" t="s">
        <v>13</v>
      </c>
      <c r="F53" s="5">
        <v>96585</v>
      </c>
      <c r="G53" t="s">
        <v>6</v>
      </c>
      <c r="H53" t="s">
        <v>10</v>
      </c>
      <c r="I53" s="5">
        <v>2800</v>
      </c>
      <c r="J53" t="s">
        <v>20</v>
      </c>
      <c r="K53" t="s">
        <v>938</v>
      </c>
      <c r="L53" t="s">
        <v>955</v>
      </c>
      <c r="M53" t="s">
        <v>956</v>
      </c>
    </row>
    <row r="54" spans="1:13" x14ac:dyDescent="0.25">
      <c r="A54" t="s">
        <v>138</v>
      </c>
      <c r="B54" t="s">
        <v>139</v>
      </c>
      <c r="C54" t="s">
        <v>24</v>
      </c>
      <c r="D54" t="s">
        <v>3</v>
      </c>
      <c r="E54" t="s">
        <v>13</v>
      </c>
      <c r="F54" s="5">
        <v>97141</v>
      </c>
      <c r="G54" t="s">
        <v>16</v>
      </c>
      <c r="H54" t="s">
        <v>10</v>
      </c>
      <c r="I54" s="5">
        <v>4200</v>
      </c>
      <c r="J54" t="s">
        <v>20</v>
      </c>
      <c r="K54" t="s">
        <v>938</v>
      </c>
      <c r="L54" t="s">
        <v>955</v>
      </c>
      <c r="M54" t="s">
        <v>956</v>
      </c>
    </row>
    <row r="55" spans="1:13" x14ac:dyDescent="0.25">
      <c r="A55" t="s">
        <v>140</v>
      </c>
      <c r="B55" t="s">
        <v>141</v>
      </c>
      <c r="C55" t="s">
        <v>24</v>
      </c>
      <c r="D55" t="s">
        <v>14</v>
      </c>
      <c r="E55" t="s">
        <v>7</v>
      </c>
      <c r="F55" s="5">
        <v>97823</v>
      </c>
      <c r="G55" t="s">
        <v>16</v>
      </c>
      <c r="H55" t="s">
        <v>10</v>
      </c>
      <c r="I55" s="5">
        <v>4200</v>
      </c>
      <c r="J55" t="s">
        <v>20</v>
      </c>
      <c r="K55" t="s">
        <v>938</v>
      </c>
      <c r="L55" t="s">
        <v>952</v>
      </c>
      <c r="M55" t="s">
        <v>953</v>
      </c>
    </row>
    <row r="56" spans="1:13" x14ac:dyDescent="0.25">
      <c r="A56" t="s">
        <v>142</v>
      </c>
      <c r="B56" t="s">
        <v>143</v>
      </c>
      <c r="C56" t="s">
        <v>24</v>
      </c>
      <c r="D56" t="s">
        <v>11</v>
      </c>
      <c r="E56" t="s">
        <v>4</v>
      </c>
      <c r="F56" s="5">
        <v>99151</v>
      </c>
      <c r="G56" t="s">
        <v>6</v>
      </c>
      <c r="H56" t="s">
        <v>10</v>
      </c>
      <c r="I56" s="5">
        <v>2800</v>
      </c>
      <c r="J56" t="s">
        <v>20</v>
      </c>
      <c r="K56" t="s">
        <v>938</v>
      </c>
      <c r="L56" t="s">
        <v>946</v>
      </c>
      <c r="M56" t="s">
        <v>947</v>
      </c>
    </row>
    <row r="57" spans="1:13" x14ac:dyDescent="0.25">
      <c r="A57" t="s">
        <v>144</v>
      </c>
      <c r="B57" t="s">
        <v>145</v>
      </c>
      <c r="C57" t="s">
        <v>24</v>
      </c>
      <c r="D57" t="s">
        <v>11</v>
      </c>
      <c r="E57" t="s">
        <v>9</v>
      </c>
      <c r="F57" s="5">
        <v>99619</v>
      </c>
      <c r="G57" t="s">
        <v>16</v>
      </c>
      <c r="H57" t="s">
        <v>10</v>
      </c>
      <c r="I57" s="5">
        <v>4200</v>
      </c>
      <c r="J57" t="s">
        <v>20</v>
      </c>
      <c r="K57" t="s">
        <v>938</v>
      </c>
      <c r="L57" t="s">
        <v>946</v>
      </c>
      <c r="M57" t="s">
        <v>947</v>
      </c>
    </row>
    <row r="58" spans="1:13" x14ac:dyDescent="0.25">
      <c r="A58" t="s">
        <v>146</v>
      </c>
      <c r="B58" t="s">
        <v>147</v>
      </c>
      <c r="C58" t="s">
        <v>24</v>
      </c>
      <c r="D58" t="s">
        <v>8</v>
      </c>
      <c r="E58" t="s">
        <v>7</v>
      </c>
      <c r="F58" s="5">
        <v>80275</v>
      </c>
      <c r="G58" t="s">
        <v>6</v>
      </c>
      <c r="H58" t="s">
        <v>10</v>
      </c>
      <c r="I58" s="5">
        <v>2800</v>
      </c>
      <c r="J58" t="s">
        <v>20</v>
      </c>
      <c r="K58" t="s">
        <v>938</v>
      </c>
      <c r="L58" t="s">
        <v>949</v>
      </c>
      <c r="M58" t="s">
        <v>950</v>
      </c>
    </row>
    <row r="59" spans="1:13" x14ac:dyDescent="0.25">
      <c r="A59" t="s">
        <v>148</v>
      </c>
      <c r="B59" t="s">
        <v>149</v>
      </c>
      <c r="C59" t="s">
        <v>24</v>
      </c>
      <c r="D59" t="s">
        <v>8</v>
      </c>
      <c r="E59" t="s">
        <v>9</v>
      </c>
      <c r="F59" s="5">
        <v>79993</v>
      </c>
      <c r="G59" t="s">
        <v>6</v>
      </c>
      <c r="H59" t="s">
        <v>10</v>
      </c>
      <c r="I59" s="5">
        <v>2800</v>
      </c>
      <c r="J59" t="s">
        <v>20</v>
      </c>
      <c r="K59" t="s">
        <v>938</v>
      </c>
      <c r="L59" t="s">
        <v>949</v>
      </c>
      <c r="M59" t="s">
        <v>950</v>
      </c>
    </row>
    <row r="60" spans="1:13" x14ac:dyDescent="0.25">
      <c r="A60" t="s">
        <v>150</v>
      </c>
      <c r="B60" t="s">
        <v>151</v>
      </c>
      <c r="C60" t="s">
        <v>24</v>
      </c>
      <c r="D60" t="s">
        <v>12</v>
      </c>
      <c r="E60" t="s">
        <v>4</v>
      </c>
      <c r="F60" s="5">
        <v>60359</v>
      </c>
      <c r="G60" t="s">
        <v>16</v>
      </c>
      <c r="H60" t="s">
        <v>10</v>
      </c>
      <c r="I60" s="5">
        <v>4200</v>
      </c>
      <c r="J60" t="s">
        <v>20</v>
      </c>
      <c r="K60" t="s">
        <v>939</v>
      </c>
      <c r="L60" t="s">
        <v>958</v>
      </c>
      <c r="M60" t="s">
        <v>959</v>
      </c>
    </row>
    <row r="61" spans="1:13" x14ac:dyDescent="0.25">
      <c r="A61" t="s">
        <v>152</v>
      </c>
      <c r="B61" t="s">
        <v>153</v>
      </c>
      <c r="C61" t="s">
        <v>24</v>
      </c>
      <c r="D61" t="s">
        <v>14</v>
      </c>
      <c r="E61" t="s">
        <v>13</v>
      </c>
      <c r="F61" s="5">
        <v>60452</v>
      </c>
      <c r="G61" t="s">
        <v>6</v>
      </c>
      <c r="H61" t="s">
        <v>10</v>
      </c>
      <c r="I61" s="5">
        <v>2800</v>
      </c>
      <c r="J61" t="s">
        <v>20</v>
      </c>
      <c r="K61" t="s">
        <v>939</v>
      </c>
      <c r="L61" t="s">
        <v>952</v>
      </c>
      <c r="M61" t="s">
        <v>953</v>
      </c>
    </row>
    <row r="62" spans="1:13" x14ac:dyDescent="0.25">
      <c r="A62" t="s">
        <v>154</v>
      </c>
      <c r="B62" t="s">
        <v>155</v>
      </c>
      <c r="C62" t="s">
        <v>24</v>
      </c>
      <c r="D62" t="s">
        <v>14</v>
      </c>
      <c r="E62" t="s">
        <v>13</v>
      </c>
      <c r="F62" s="5">
        <v>60502</v>
      </c>
      <c r="G62" t="s">
        <v>6</v>
      </c>
      <c r="H62" t="s">
        <v>10</v>
      </c>
      <c r="I62" s="5">
        <v>2800</v>
      </c>
      <c r="J62" t="s">
        <v>20</v>
      </c>
      <c r="K62" t="s">
        <v>939</v>
      </c>
      <c r="L62" t="s">
        <v>952</v>
      </c>
      <c r="M62" t="s">
        <v>953</v>
      </c>
    </row>
    <row r="63" spans="1:13" x14ac:dyDescent="0.25">
      <c r="A63" t="s">
        <v>156</v>
      </c>
      <c r="B63" t="s">
        <v>157</v>
      </c>
      <c r="C63" t="s">
        <v>24</v>
      </c>
      <c r="D63" t="s">
        <v>12</v>
      </c>
      <c r="E63" t="s">
        <v>7</v>
      </c>
      <c r="F63" s="5">
        <v>61016</v>
      </c>
      <c r="G63" t="s">
        <v>6</v>
      </c>
      <c r="H63" t="s">
        <v>10</v>
      </c>
      <c r="I63" s="5">
        <v>2800</v>
      </c>
      <c r="J63" t="s">
        <v>20</v>
      </c>
      <c r="K63" t="s">
        <v>939</v>
      </c>
      <c r="L63" t="s">
        <v>958</v>
      </c>
      <c r="M63" t="s">
        <v>959</v>
      </c>
    </row>
    <row r="64" spans="1:13" x14ac:dyDescent="0.25">
      <c r="A64" t="s">
        <v>158</v>
      </c>
      <c r="B64" t="s">
        <v>159</v>
      </c>
      <c r="C64" t="s">
        <v>24</v>
      </c>
      <c r="D64" t="s">
        <v>11</v>
      </c>
      <c r="E64" t="s">
        <v>4</v>
      </c>
      <c r="F64" s="5">
        <v>61095</v>
      </c>
      <c r="G64" t="s">
        <v>6</v>
      </c>
      <c r="H64" t="s">
        <v>10</v>
      </c>
      <c r="I64" s="5">
        <v>2800</v>
      </c>
      <c r="J64" t="s">
        <v>20</v>
      </c>
      <c r="K64" t="s">
        <v>939</v>
      </c>
      <c r="L64" t="s">
        <v>946</v>
      </c>
      <c r="M64" t="s">
        <v>947</v>
      </c>
    </row>
    <row r="65" spans="1:13" x14ac:dyDescent="0.25">
      <c r="A65" t="s">
        <v>160</v>
      </c>
      <c r="B65" t="s">
        <v>161</v>
      </c>
      <c r="C65" t="s">
        <v>24</v>
      </c>
      <c r="D65" t="s">
        <v>8</v>
      </c>
      <c r="E65" t="s">
        <v>9</v>
      </c>
      <c r="F65" s="5">
        <v>61586</v>
      </c>
      <c r="G65" t="s">
        <v>16</v>
      </c>
      <c r="H65" t="s">
        <v>10</v>
      </c>
      <c r="I65" s="5">
        <v>4200</v>
      </c>
      <c r="J65" t="s">
        <v>20</v>
      </c>
      <c r="K65" t="s">
        <v>939</v>
      </c>
      <c r="L65" t="s">
        <v>949</v>
      </c>
      <c r="M65" t="s">
        <v>950</v>
      </c>
    </row>
    <row r="66" spans="1:13" x14ac:dyDescent="0.25">
      <c r="A66" t="s">
        <v>162</v>
      </c>
      <c r="B66" t="s">
        <v>163</v>
      </c>
      <c r="C66" t="s">
        <v>24</v>
      </c>
      <c r="D66" t="s">
        <v>11</v>
      </c>
      <c r="E66" t="s">
        <v>4</v>
      </c>
      <c r="F66" s="5">
        <v>61640</v>
      </c>
      <c r="G66" t="s">
        <v>16</v>
      </c>
      <c r="H66" t="s">
        <v>10</v>
      </c>
      <c r="I66" s="5">
        <v>4200</v>
      </c>
      <c r="J66" t="s">
        <v>20</v>
      </c>
      <c r="K66" t="s">
        <v>939</v>
      </c>
      <c r="L66" t="s">
        <v>946</v>
      </c>
      <c r="M66" t="s">
        <v>947</v>
      </c>
    </row>
    <row r="67" spans="1:13" x14ac:dyDescent="0.25">
      <c r="A67" t="s">
        <v>164</v>
      </c>
      <c r="B67" t="s">
        <v>165</v>
      </c>
      <c r="C67" t="s">
        <v>24</v>
      </c>
      <c r="D67" t="s">
        <v>8</v>
      </c>
      <c r="E67" t="s">
        <v>7</v>
      </c>
      <c r="F67" s="5">
        <v>61694</v>
      </c>
      <c r="G67" t="s">
        <v>6</v>
      </c>
      <c r="H67" t="s">
        <v>10</v>
      </c>
      <c r="I67" s="5">
        <v>2800</v>
      </c>
      <c r="J67" t="s">
        <v>20</v>
      </c>
      <c r="K67" t="s">
        <v>939</v>
      </c>
      <c r="L67" t="s">
        <v>949</v>
      </c>
      <c r="M67" t="s">
        <v>950</v>
      </c>
    </row>
    <row r="68" spans="1:13" x14ac:dyDescent="0.25">
      <c r="A68" t="s">
        <v>166</v>
      </c>
      <c r="B68" t="s">
        <v>167</v>
      </c>
      <c r="C68" t="s">
        <v>24</v>
      </c>
      <c r="D68" t="s">
        <v>11</v>
      </c>
      <c r="E68" t="s">
        <v>7</v>
      </c>
      <c r="F68" s="5">
        <v>61951</v>
      </c>
      <c r="G68" t="s">
        <v>6</v>
      </c>
      <c r="H68" t="s">
        <v>10</v>
      </c>
      <c r="I68" s="5">
        <v>2800</v>
      </c>
      <c r="J68" t="s">
        <v>20</v>
      </c>
      <c r="K68" t="s">
        <v>939</v>
      </c>
      <c r="L68" t="s">
        <v>946</v>
      </c>
      <c r="M68" t="s">
        <v>947</v>
      </c>
    </row>
    <row r="69" spans="1:13" x14ac:dyDescent="0.25">
      <c r="A69" t="s">
        <v>168</v>
      </c>
      <c r="B69" t="s">
        <v>169</v>
      </c>
      <c r="C69" t="s">
        <v>24</v>
      </c>
      <c r="D69" t="s">
        <v>8</v>
      </c>
      <c r="E69" t="s">
        <v>4</v>
      </c>
      <c r="F69" s="5">
        <v>63007</v>
      </c>
      <c r="G69" t="s">
        <v>16</v>
      </c>
      <c r="H69" t="s">
        <v>10</v>
      </c>
      <c r="I69" s="5">
        <v>4200</v>
      </c>
      <c r="J69" t="s">
        <v>20</v>
      </c>
      <c r="K69" t="s">
        <v>939</v>
      </c>
      <c r="L69" t="s">
        <v>949</v>
      </c>
      <c r="M69" t="s">
        <v>950</v>
      </c>
    </row>
    <row r="70" spans="1:13" x14ac:dyDescent="0.25">
      <c r="A70" t="s">
        <v>170</v>
      </c>
      <c r="B70" t="s">
        <v>171</v>
      </c>
      <c r="C70" t="s">
        <v>24</v>
      </c>
      <c r="D70" t="s">
        <v>8</v>
      </c>
      <c r="E70" t="s">
        <v>9</v>
      </c>
      <c r="F70" s="5">
        <v>63868</v>
      </c>
      <c r="G70" t="s">
        <v>16</v>
      </c>
      <c r="H70" t="s">
        <v>10</v>
      </c>
      <c r="I70" s="5">
        <v>4200</v>
      </c>
      <c r="J70" t="s">
        <v>20</v>
      </c>
      <c r="K70" t="s">
        <v>939</v>
      </c>
      <c r="L70" t="s">
        <v>949</v>
      </c>
      <c r="M70" t="s">
        <v>950</v>
      </c>
    </row>
    <row r="71" spans="1:13" x14ac:dyDescent="0.25">
      <c r="A71" t="s">
        <v>172</v>
      </c>
      <c r="B71" t="s">
        <v>173</v>
      </c>
      <c r="C71" t="s">
        <v>24</v>
      </c>
      <c r="D71" t="s">
        <v>11</v>
      </c>
      <c r="E71" t="s">
        <v>4</v>
      </c>
      <c r="F71" s="5">
        <v>63898</v>
      </c>
      <c r="G71" t="s">
        <v>6</v>
      </c>
      <c r="H71" t="s">
        <v>10</v>
      </c>
      <c r="I71" s="5">
        <v>2800</v>
      </c>
      <c r="J71" t="s">
        <v>20</v>
      </c>
      <c r="K71" t="s">
        <v>939</v>
      </c>
      <c r="L71" t="s">
        <v>946</v>
      </c>
      <c r="M71" t="s">
        <v>947</v>
      </c>
    </row>
    <row r="72" spans="1:13" x14ac:dyDescent="0.25">
      <c r="A72" t="s">
        <v>174</v>
      </c>
      <c r="B72" t="s">
        <v>175</v>
      </c>
      <c r="C72" t="s">
        <v>24</v>
      </c>
      <c r="D72" t="s">
        <v>12</v>
      </c>
      <c r="E72" t="s">
        <v>13</v>
      </c>
      <c r="F72" s="5">
        <v>64110</v>
      </c>
      <c r="G72" t="s">
        <v>6</v>
      </c>
      <c r="H72" t="s">
        <v>10</v>
      </c>
      <c r="I72" s="5">
        <v>2800</v>
      </c>
      <c r="J72" t="s">
        <v>20</v>
      </c>
      <c r="K72" t="s">
        <v>939</v>
      </c>
      <c r="L72" t="s">
        <v>958</v>
      </c>
      <c r="M72" t="s">
        <v>959</v>
      </c>
    </row>
    <row r="73" spans="1:13" x14ac:dyDescent="0.25">
      <c r="A73" t="s">
        <v>176</v>
      </c>
      <c r="B73" t="s">
        <v>177</v>
      </c>
      <c r="C73" t="s">
        <v>24</v>
      </c>
      <c r="D73" t="s">
        <v>14</v>
      </c>
      <c r="E73" t="s">
        <v>9</v>
      </c>
      <c r="F73" s="5">
        <v>64202</v>
      </c>
      <c r="G73" t="s">
        <v>6</v>
      </c>
      <c r="H73" t="s">
        <v>10</v>
      </c>
      <c r="I73" s="5">
        <v>2800</v>
      </c>
      <c r="J73" t="s">
        <v>20</v>
      </c>
      <c r="K73" t="s">
        <v>939</v>
      </c>
      <c r="L73" t="s">
        <v>952</v>
      </c>
      <c r="M73" t="s">
        <v>953</v>
      </c>
    </row>
    <row r="74" spans="1:13" x14ac:dyDescent="0.25">
      <c r="A74" t="s">
        <v>178</v>
      </c>
      <c r="B74" t="s">
        <v>179</v>
      </c>
      <c r="C74" t="s">
        <v>24</v>
      </c>
      <c r="D74" t="s">
        <v>3</v>
      </c>
      <c r="E74" t="s">
        <v>9</v>
      </c>
      <c r="F74" s="5">
        <v>72971</v>
      </c>
      <c r="G74" t="s">
        <v>6</v>
      </c>
      <c r="H74" t="s">
        <v>10</v>
      </c>
      <c r="I74" s="5">
        <v>2800</v>
      </c>
      <c r="J74" t="s">
        <v>20</v>
      </c>
      <c r="K74" t="s">
        <v>939</v>
      </c>
      <c r="L74" t="s">
        <v>955</v>
      </c>
      <c r="M74" t="s">
        <v>956</v>
      </c>
    </row>
    <row r="75" spans="1:13" x14ac:dyDescent="0.25">
      <c r="A75" t="s">
        <v>180</v>
      </c>
      <c r="B75" t="s">
        <v>181</v>
      </c>
      <c r="C75" t="s">
        <v>24</v>
      </c>
      <c r="D75" t="s">
        <v>8</v>
      </c>
      <c r="E75" t="s">
        <v>13</v>
      </c>
      <c r="F75" s="5">
        <v>73964</v>
      </c>
      <c r="G75" t="s">
        <v>6</v>
      </c>
      <c r="H75" t="s">
        <v>10</v>
      </c>
      <c r="I75" s="5">
        <v>2800</v>
      </c>
      <c r="J75" t="s">
        <v>20</v>
      </c>
      <c r="K75" t="s">
        <v>939</v>
      </c>
      <c r="L75" t="s">
        <v>949</v>
      </c>
      <c r="M75" t="s">
        <v>950</v>
      </c>
    </row>
    <row r="76" spans="1:13" x14ac:dyDescent="0.25">
      <c r="A76" t="s">
        <v>182</v>
      </c>
      <c r="B76" t="s">
        <v>183</v>
      </c>
      <c r="C76" t="s">
        <v>24</v>
      </c>
      <c r="D76" t="s">
        <v>8</v>
      </c>
      <c r="E76" t="s">
        <v>13</v>
      </c>
      <c r="F76" s="5">
        <v>74354</v>
      </c>
      <c r="G76" t="s">
        <v>16</v>
      </c>
      <c r="H76" t="s">
        <v>10</v>
      </c>
      <c r="I76" s="5">
        <v>4200</v>
      </c>
      <c r="J76" t="s">
        <v>20</v>
      </c>
      <c r="K76" t="s">
        <v>939</v>
      </c>
      <c r="L76" t="s">
        <v>949</v>
      </c>
      <c r="M76" t="s">
        <v>950</v>
      </c>
    </row>
    <row r="77" spans="1:13" x14ac:dyDescent="0.25">
      <c r="A77" t="s">
        <v>184</v>
      </c>
      <c r="B77" t="s">
        <v>185</v>
      </c>
      <c r="C77" t="s">
        <v>24</v>
      </c>
      <c r="D77" t="s">
        <v>3</v>
      </c>
      <c r="E77" t="s">
        <v>13</v>
      </c>
      <c r="F77" s="5">
        <v>76244</v>
      </c>
      <c r="G77" t="s">
        <v>16</v>
      </c>
      <c r="H77" t="s">
        <v>10</v>
      </c>
      <c r="I77" s="5">
        <v>4200</v>
      </c>
      <c r="J77" t="s">
        <v>20</v>
      </c>
      <c r="K77" t="s">
        <v>939</v>
      </c>
      <c r="L77" t="s">
        <v>955</v>
      </c>
      <c r="M77" t="s">
        <v>956</v>
      </c>
    </row>
    <row r="78" spans="1:13" x14ac:dyDescent="0.25">
      <c r="A78" t="s">
        <v>186</v>
      </c>
      <c r="B78" t="s">
        <v>187</v>
      </c>
      <c r="C78" t="s">
        <v>24</v>
      </c>
      <c r="D78" t="s">
        <v>14</v>
      </c>
      <c r="E78" t="s">
        <v>13</v>
      </c>
      <c r="F78" s="5">
        <v>77108</v>
      </c>
      <c r="G78" t="s">
        <v>6</v>
      </c>
      <c r="H78" t="s">
        <v>10</v>
      </c>
      <c r="I78" s="5">
        <v>2800</v>
      </c>
      <c r="J78" t="s">
        <v>20</v>
      </c>
      <c r="K78" t="s">
        <v>939</v>
      </c>
      <c r="L78" t="s">
        <v>952</v>
      </c>
      <c r="M78" t="s">
        <v>953</v>
      </c>
    </row>
    <row r="79" spans="1:13" x14ac:dyDescent="0.25">
      <c r="A79" t="s">
        <v>188</v>
      </c>
      <c r="B79" t="s">
        <v>189</v>
      </c>
      <c r="C79" t="s">
        <v>24</v>
      </c>
      <c r="D79" t="s">
        <v>8</v>
      </c>
      <c r="E79" t="s">
        <v>7</v>
      </c>
      <c r="F79" s="5">
        <v>77183</v>
      </c>
      <c r="G79" t="s">
        <v>16</v>
      </c>
      <c r="H79" t="s">
        <v>10</v>
      </c>
      <c r="I79" s="5">
        <v>4200</v>
      </c>
      <c r="J79" t="s">
        <v>20</v>
      </c>
      <c r="K79" t="s">
        <v>939</v>
      </c>
      <c r="L79" t="s">
        <v>949</v>
      </c>
      <c r="M79" t="s">
        <v>950</v>
      </c>
    </row>
    <row r="80" spans="1:13" x14ac:dyDescent="0.25">
      <c r="A80" t="s">
        <v>190</v>
      </c>
      <c r="B80" t="s">
        <v>191</v>
      </c>
      <c r="C80" t="s">
        <v>24</v>
      </c>
      <c r="D80" t="s">
        <v>3</v>
      </c>
      <c r="E80" t="s">
        <v>7</v>
      </c>
      <c r="F80" s="5">
        <v>77431</v>
      </c>
      <c r="G80" t="s">
        <v>6</v>
      </c>
      <c r="H80" t="s">
        <v>10</v>
      </c>
      <c r="I80" s="5">
        <v>2800</v>
      </c>
      <c r="J80" t="s">
        <v>20</v>
      </c>
      <c r="K80" t="s">
        <v>939</v>
      </c>
      <c r="L80" t="s">
        <v>955</v>
      </c>
      <c r="M80" t="s">
        <v>956</v>
      </c>
    </row>
    <row r="81" spans="1:13" x14ac:dyDescent="0.25">
      <c r="A81" t="s">
        <v>192</v>
      </c>
      <c r="B81" t="s">
        <v>193</v>
      </c>
      <c r="C81" t="s">
        <v>24</v>
      </c>
      <c r="D81" t="s">
        <v>11</v>
      </c>
      <c r="E81" t="s">
        <v>9</v>
      </c>
      <c r="F81" s="5">
        <v>77688</v>
      </c>
      <c r="G81" t="s">
        <v>6</v>
      </c>
      <c r="H81" t="s">
        <v>10</v>
      </c>
      <c r="I81" s="5">
        <v>2800</v>
      </c>
      <c r="J81" t="s">
        <v>20</v>
      </c>
      <c r="K81" t="s">
        <v>939</v>
      </c>
      <c r="L81" t="s">
        <v>946</v>
      </c>
      <c r="M81" t="s">
        <v>947</v>
      </c>
    </row>
    <row r="82" spans="1:13" x14ac:dyDescent="0.25">
      <c r="A82" t="s">
        <v>194</v>
      </c>
      <c r="B82" t="s">
        <v>195</v>
      </c>
      <c r="C82" t="s">
        <v>24</v>
      </c>
      <c r="D82" t="s">
        <v>11</v>
      </c>
      <c r="E82" t="s">
        <v>13</v>
      </c>
      <c r="F82" s="5">
        <v>78635</v>
      </c>
      <c r="G82" t="s">
        <v>6</v>
      </c>
      <c r="H82" t="s">
        <v>10</v>
      </c>
      <c r="I82" s="5">
        <v>2800</v>
      </c>
      <c r="J82" t="s">
        <v>20</v>
      </c>
      <c r="K82" t="s">
        <v>939</v>
      </c>
      <c r="L82" t="s">
        <v>946</v>
      </c>
      <c r="M82" t="s">
        <v>947</v>
      </c>
    </row>
    <row r="83" spans="1:13" x14ac:dyDescent="0.25">
      <c r="A83" t="s">
        <v>196</v>
      </c>
      <c r="B83" t="s">
        <v>197</v>
      </c>
      <c r="C83" t="s">
        <v>24</v>
      </c>
      <c r="D83" t="s">
        <v>3</v>
      </c>
      <c r="E83" t="s">
        <v>9</v>
      </c>
      <c r="F83" s="5">
        <v>79394</v>
      </c>
      <c r="G83" t="s">
        <v>6</v>
      </c>
      <c r="H83" t="s">
        <v>10</v>
      </c>
      <c r="I83" s="5">
        <v>2800</v>
      </c>
      <c r="J83" t="s">
        <v>20</v>
      </c>
      <c r="K83" t="s">
        <v>938</v>
      </c>
      <c r="L83" t="s">
        <v>955</v>
      </c>
      <c r="M83" t="s">
        <v>956</v>
      </c>
    </row>
    <row r="84" spans="1:13" x14ac:dyDescent="0.25">
      <c r="A84" t="s">
        <v>198</v>
      </c>
      <c r="B84" t="s">
        <v>199</v>
      </c>
      <c r="C84" t="s">
        <v>24</v>
      </c>
      <c r="D84" t="s">
        <v>11</v>
      </c>
      <c r="E84" t="s">
        <v>9</v>
      </c>
      <c r="F84" s="5">
        <v>79816</v>
      </c>
      <c r="G84" t="s">
        <v>16</v>
      </c>
      <c r="H84" t="s">
        <v>10</v>
      </c>
      <c r="I84" s="5">
        <v>4200</v>
      </c>
      <c r="J84" t="s">
        <v>20</v>
      </c>
      <c r="K84" t="s">
        <v>938</v>
      </c>
      <c r="L84" t="s">
        <v>946</v>
      </c>
      <c r="M84" t="s">
        <v>947</v>
      </c>
    </row>
    <row r="85" spans="1:13" x14ac:dyDescent="0.25">
      <c r="A85" t="s">
        <v>200</v>
      </c>
      <c r="B85" t="s">
        <v>201</v>
      </c>
      <c r="C85" t="s">
        <v>24</v>
      </c>
      <c r="D85" t="s">
        <v>12</v>
      </c>
      <c r="E85" t="s">
        <v>4</v>
      </c>
      <c r="F85" s="5">
        <v>72611</v>
      </c>
      <c r="G85" t="s">
        <v>16</v>
      </c>
      <c r="H85" t="s">
        <v>10</v>
      </c>
      <c r="I85" s="5">
        <v>4200</v>
      </c>
      <c r="J85" t="s">
        <v>20</v>
      </c>
      <c r="K85" t="s">
        <v>939</v>
      </c>
      <c r="L85" t="s">
        <v>958</v>
      </c>
      <c r="M85" t="s">
        <v>959</v>
      </c>
    </row>
    <row r="86" spans="1:13" x14ac:dyDescent="0.25">
      <c r="A86" t="s">
        <v>202</v>
      </c>
      <c r="B86" t="s">
        <v>203</v>
      </c>
      <c r="C86" t="s">
        <v>24</v>
      </c>
      <c r="D86" t="s">
        <v>12</v>
      </c>
      <c r="E86" t="s">
        <v>4</v>
      </c>
      <c r="F86" s="5">
        <v>72427</v>
      </c>
      <c r="G86" t="s">
        <v>16</v>
      </c>
      <c r="H86" t="s">
        <v>10</v>
      </c>
      <c r="I86" s="5">
        <v>4200</v>
      </c>
      <c r="J86" t="s">
        <v>20</v>
      </c>
      <c r="K86" t="s">
        <v>939</v>
      </c>
      <c r="L86" t="s">
        <v>958</v>
      </c>
      <c r="M86" t="s">
        <v>959</v>
      </c>
    </row>
    <row r="87" spans="1:13" x14ac:dyDescent="0.25">
      <c r="A87" t="s">
        <v>204</v>
      </c>
      <c r="B87" t="s">
        <v>205</v>
      </c>
      <c r="C87" t="s">
        <v>24</v>
      </c>
      <c r="D87" t="s">
        <v>3</v>
      </c>
      <c r="E87" t="s">
        <v>9</v>
      </c>
      <c r="F87" s="5">
        <v>64297</v>
      </c>
      <c r="G87" t="s">
        <v>16</v>
      </c>
      <c r="H87" t="s">
        <v>10</v>
      </c>
      <c r="I87" s="5">
        <v>4200</v>
      </c>
      <c r="J87" t="s">
        <v>20</v>
      </c>
      <c r="K87" t="s">
        <v>939</v>
      </c>
      <c r="L87" t="s">
        <v>955</v>
      </c>
      <c r="M87" t="s">
        <v>956</v>
      </c>
    </row>
    <row r="88" spans="1:13" x14ac:dyDescent="0.25">
      <c r="A88" t="s">
        <v>206</v>
      </c>
      <c r="B88" t="s">
        <v>207</v>
      </c>
      <c r="C88" t="s">
        <v>24</v>
      </c>
      <c r="D88" t="s">
        <v>14</v>
      </c>
      <c r="E88" t="s">
        <v>4</v>
      </c>
      <c r="F88" s="5">
        <v>64409</v>
      </c>
      <c r="G88" t="s">
        <v>16</v>
      </c>
      <c r="H88" t="s">
        <v>10</v>
      </c>
      <c r="I88" s="5">
        <v>4200</v>
      </c>
      <c r="J88" t="s">
        <v>20</v>
      </c>
      <c r="K88" t="s">
        <v>939</v>
      </c>
      <c r="L88" t="s">
        <v>952</v>
      </c>
      <c r="M88" t="s">
        <v>953</v>
      </c>
    </row>
    <row r="89" spans="1:13" x14ac:dyDescent="0.25">
      <c r="A89" t="s">
        <v>208</v>
      </c>
      <c r="B89" t="s">
        <v>209</v>
      </c>
      <c r="C89" t="s">
        <v>24</v>
      </c>
      <c r="D89" t="s">
        <v>8</v>
      </c>
      <c r="E89" t="s">
        <v>4</v>
      </c>
      <c r="F89" s="5">
        <v>64448</v>
      </c>
      <c r="G89" t="s">
        <v>16</v>
      </c>
      <c r="H89" t="s">
        <v>10</v>
      </c>
      <c r="I89" s="5">
        <v>4200</v>
      </c>
      <c r="J89" t="s">
        <v>20</v>
      </c>
      <c r="K89" t="s">
        <v>939</v>
      </c>
      <c r="L89" t="s">
        <v>949</v>
      </c>
      <c r="M89" t="s">
        <v>950</v>
      </c>
    </row>
    <row r="90" spans="1:13" x14ac:dyDescent="0.25">
      <c r="A90" t="s">
        <v>210</v>
      </c>
      <c r="B90" t="s">
        <v>211</v>
      </c>
      <c r="C90" t="s">
        <v>24</v>
      </c>
      <c r="D90" t="s">
        <v>14</v>
      </c>
      <c r="E90" t="s">
        <v>4</v>
      </c>
      <c r="F90" s="5">
        <v>65466</v>
      </c>
      <c r="G90" t="s">
        <v>16</v>
      </c>
      <c r="H90" t="s">
        <v>10</v>
      </c>
      <c r="I90" s="5">
        <v>4200</v>
      </c>
      <c r="J90" t="s">
        <v>20</v>
      </c>
      <c r="K90" t="s">
        <v>939</v>
      </c>
      <c r="L90" t="s">
        <v>952</v>
      </c>
      <c r="M90" t="s">
        <v>953</v>
      </c>
    </row>
    <row r="91" spans="1:13" x14ac:dyDescent="0.25">
      <c r="A91" t="s">
        <v>212</v>
      </c>
      <c r="B91" t="s">
        <v>213</v>
      </c>
      <c r="C91" t="s">
        <v>24</v>
      </c>
      <c r="D91" t="s">
        <v>3</v>
      </c>
      <c r="E91" t="s">
        <v>13</v>
      </c>
      <c r="F91" s="5">
        <v>67161</v>
      </c>
      <c r="G91" t="s">
        <v>6</v>
      </c>
      <c r="H91" t="s">
        <v>10</v>
      </c>
      <c r="I91" s="5">
        <v>2800</v>
      </c>
      <c r="J91" t="s">
        <v>20</v>
      </c>
      <c r="K91" t="s">
        <v>939</v>
      </c>
      <c r="L91" t="s">
        <v>955</v>
      </c>
      <c r="M91" t="s">
        <v>956</v>
      </c>
    </row>
    <row r="92" spans="1:13" x14ac:dyDescent="0.25">
      <c r="A92" t="s">
        <v>214</v>
      </c>
      <c r="B92" t="s">
        <v>215</v>
      </c>
      <c r="C92" t="s">
        <v>24</v>
      </c>
      <c r="D92" t="s">
        <v>8</v>
      </c>
      <c r="E92" t="s">
        <v>7</v>
      </c>
      <c r="F92" s="5">
        <v>67351</v>
      </c>
      <c r="G92" t="s">
        <v>16</v>
      </c>
      <c r="H92" t="s">
        <v>10</v>
      </c>
      <c r="I92" s="5">
        <v>4200</v>
      </c>
      <c r="J92" t="s">
        <v>20</v>
      </c>
      <c r="K92" t="s">
        <v>939</v>
      </c>
      <c r="L92" t="s">
        <v>949</v>
      </c>
      <c r="M92" t="s">
        <v>950</v>
      </c>
    </row>
    <row r="93" spans="1:13" x14ac:dyDescent="0.25">
      <c r="A93" t="s">
        <v>216</v>
      </c>
      <c r="B93" t="s">
        <v>217</v>
      </c>
      <c r="C93" t="s">
        <v>24</v>
      </c>
      <c r="D93" t="s">
        <v>12</v>
      </c>
      <c r="E93" t="s">
        <v>9</v>
      </c>
      <c r="F93" s="5">
        <v>67624</v>
      </c>
      <c r="G93" t="s">
        <v>6</v>
      </c>
      <c r="H93" t="s">
        <v>10</v>
      </c>
      <c r="I93" s="5">
        <v>2800</v>
      </c>
      <c r="J93" t="s">
        <v>20</v>
      </c>
      <c r="K93" t="s">
        <v>939</v>
      </c>
      <c r="L93" t="s">
        <v>958</v>
      </c>
      <c r="M93" t="s">
        <v>959</v>
      </c>
    </row>
    <row r="94" spans="1:13" x14ac:dyDescent="0.25">
      <c r="A94" t="s">
        <v>218</v>
      </c>
      <c r="B94" t="s">
        <v>219</v>
      </c>
      <c r="C94" t="s">
        <v>24</v>
      </c>
      <c r="D94" t="s">
        <v>11</v>
      </c>
      <c r="E94" t="s">
        <v>13</v>
      </c>
      <c r="F94" s="5">
        <v>80101</v>
      </c>
      <c r="G94" t="s">
        <v>6</v>
      </c>
      <c r="H94" t="s">
        <v>10</v>
      </c>
      <c r="I94" s="5">
        <v>2800</v>
      </c>
      <c r="J94" t="s">
        <v>20</v>
      </c>
      <c r="K94" t="s">
        <v>938</v>
      </c>
      <c r="L94" t="s">
        <v>946</v>
      </c>
      <c r="M94" t="s">
        <v>947</v>
      </c>
    </row>
    <row r="95" spans="1:13" x14ac:dyDescent="0.25">
      <c r="A95" t="s">
        <v>220</v>
      </c>
      <c r="B95" t="s">
        <v>221</v>
      </c>
      <c r="C95" t="s">
        <v>24</v>
      </c>
      <c r="D95" t="s">
        <v>8</v>
      </c>
      <c r="E95" t="s">
        <v>13</v>
      </c>
      <c r="F95" s="5">
        <v>69353</v>
      </c>
      <c r="G95" t="s">
        <v>16</v>
      </c>
      <c r="H95" t="s">
        <v>10</v>
      </c>
      <c r="I95" s="5">
        <v>4200</v>
      </c>
      <c r="J95" t="s">
        <v>20</v>
      </c>
      <c r="K95" t="s">
        <v>939</v>
      </c>
      <c r="L95" t="s">
        <v>949</v>
      </c>
      <c r="M95" t="s">
        <v>950</v>
      </c>
    </row>
    <row r="96" spans="1:13" x14ac:dyDescent="0.25">
      <c r="A96" t="s">
        <v>222</v>
      </c>
      <c r="B96" t="s">
        <v>223</v>
      </c>
      <c r="C96" t="s">
        <v>24</v>
      </c>
      <c r="D96" t="s">
        <v>3</v>
      </c>
      <c r="E96" t="s">
        <v>4</v>
      </c>
      <c r="F96" s="5">
        <v>69951</v>
      </c>
      <c r="G96" t="s">
        <v>6</v>
      </c>
      <c r="H96" t="s">
        <v>10</v>
      </c>
      <c r="I96" s="5">
        <v>2800</v>
      </c>
      <c r="J96" t="s">
        <v>20</v>
      </c>
      <c r="K96" t="s">
        <v>939</v>
      </c>
      <c r="L96" t="s">
        <v>955</v>
      </c>
      <c r="M96" t="s">
        <v>956</v>
      </c>
    </row>
    <row r="97" spans="1:13" x14ac:dyDescent="0.25">
      <c r="A97" t="s">
        <v>224</v>
      </c>
      <c r="B97" t="s">
        <v>225</v>
      </c>
      <c r="C97" t="s">
        <v>24</v>
      </c>
      <c r="D97" t="s">
        <v>12</v>
      </c>
      <c r="E97" t="s">
        <v>7</v>
      </c>
      <c r="F97" s="5">
        <v>71419</v>
      </c>
      <c r="G97" t="s">
        <v>16</v>
      </c>
      <c r="H97" t="s">
        <v>10</v>
      </c>
      <c r="I97" s="5">
        <v>4200</v>
      </c>
      <c r="J97" t="s">
        <v>20</v>
      </c>
      <c r="K97" t="s">
        <v>939</v>
      </c>
      <c r="L97" t="s">
        <v>958</v>
      </c>
      <c r="M97" t="s">
        <v>959</v>
      </c>
    </row>
    <row r="98" spans="1:13" x14ac:dyDescent="0.25">
      <c r="A98" t="s">
        <v>226</v>
      </c>
      <c r="B98" t="s">
        <v>227</v>
      </c>
      <c r="C98" t="s">
        <v>24</v>
      </c>
      <c r="D98" t="s">
        <v>14</v>
      </c>
      <c r="E98" t="s">
        <v>9</v>
      </c>
      <c r="F98" s="5">
        <v>69301</v>
      </c>
      <c r="G98" t="s">
        <v>16</v>
      </c>
      <c r="H98" t="s">
        <v>10</v>
      </c>
      <c r="I98" s="5">
        <v>4200</v>
      </c>
      <c r="J98" t="s">
        <v>20</v>
      </c>
      <c r="K98" t="s">
        <v>939</v>
      </c>
      <c r="L98" t="s">
        <v>952</v>
      </c>
      <c r="M98" t="s">
        <v>953</v>
      </c>
    </row>
    <row r="99" spans="1:13" x14ac:dyDescent="0.25">
      <c r="A99" t="s">
        <v>228</v>
      </c>
      <c r="B99" t="s">
        <v>229</v>
      </c>
      <c r="C99" t="s">
        <v>24</v>
      </c>
      <c r="D99" t="s">
        <v>11</v>
      </c>
      <c r="E99" t="s">
        <v>7</v>
      </c>
      <c r="F99" s="5">
        <v>111466</v>
      </c>
      <c r="G99" t="s">
        <v>16</v>
      </c>
      <c r="H99" t="s">
        <v>10</v>
      </c>
      <c r="I99" s="5">
        <v>4200</v>
      </c>
      <c r="J99" t="s">
        <v>20</v>
      </c>
      <c r="K99" t="s">
        <v>938</v>
      </c>
      <c r="L99" t="s">
        <v>946</v>
      </c>
      <c r="M99" t="s">
        <v>947</v>
      </c>
    </row>
    <row r="100" spans="1:13" x14ac:dyDescent="0.25">
      <c r="A100" t="s">
        <v>230</v>
      </c>
      <c r="B100" t="s">
        <v>231</v>
      </c>
      <c r="C100" t="s">
        <v>24</v>
      </c>
      <c r="D100" t="s">
        <v>3</v>
      </c>
      <c r="E100" t="s">
        <v>13</v>
      </c>
      <c r="F100" s="5">
        <v>118940</v>
      </c>
      <c r="G100" t="s">
        <v>6</v>
      </c>
      <c r="H100" t="s">
        <v>10</v>
      </c>
      <c r="I100" s="5">
        <v>2800</v>
      </c>
      <c r="J100" t="s">
        <v>20</v>
      </c>
      <c r="K100" t="s">
        <v>940</v>
      </c>
      <c r="L100" t="s">
        <v>955</v>
      </c>
      <c r="M100" t="s">
        <v>956</v>
      </c>
    </row>
    <row r="101" spans="1:13" x14ac:dyDescent="0.25">
      <c r="A101" t="s">
        <v>232</v>
      </c>
      <c r="B101" t="s">
        <v>233</v>
      </c>
      <c r="C101" t="s">
        <v>24</v>
      </c>
      <c r="D101" t="s">
        <v>12</v>
      </c>
      <c r="E101" t="s">
        <v>7</v>
      </c>
      <c r="F101" s="5">
        <v>119138</v>
      </c>
      <c r="G101" t="s">
        <v>6</v>
      </c>
      <c r="H101" t="s">
        <v>10</v>
      </c>
      <c r="I101" s="5">
        <v>2800</v>
      </c>
      <c r="J101" t="s">
        <v>20</v>
      </c>
      <c r="K101" t="s">
        <v>940</v>
      </c>
      <c r="L101" t="s">
        <v>958</v>
      </c>
      <c r="M101" t="s">
        <v>959</v>
      </c>
    </row>
    <row r="102" spans="1:13" x14ac:dyDescent="0.25">
      <c r="A102" t="s">
        <v>234</v>
      </c>
      <c r="B102" t="s">
        <v>235</v>
      </c>
      <c r="C102" t="s">
        <v>24</v>
      </c>
      <c r="D102" t="s">
        <v>8</v>
      </c>
      <c r="E102" t="s">
        <v>9</v>
      </c>
      <c r="F102" s="5">
        <v>119374</v>
      </c>
      <c r="G102" t="s">
        <v>16</v>
      </c>
      <c r="H102" t="s">
        <v>10</v>
      </c>
      <c r="I102" s="5">
        <v>4200</v>
      </c>
      <c r="J102" t="s">
        <v>20</v>
      </c>
      <c r="K102" t="s">
        <v>940</v>
      </c>
      <c r="L102" t="s">
        <v>949</v>
      </c>
      <c r="M102" t="s">
        <v>950</v>
      </c>
    </row>
    <row r="103" spans="1:13" x14ac:dyDescent="0.25">
      <c r="A103" t="s">
        <v>236</v>
      </c>
      <c r="B103" t="s">
        <v>237</v>
      </c>
      <c r="C103" t="s">
        <v>24</v>
      </c>
      <c r="D103" t="s">
        <v>11</v>
      </c>
      <c r="E103" t="s">
        <v>9</v>
      </c>
      <c r="F103" s="5">
        <v>118262</v>
      </c>
      <c r="G103" t="s">
        <v>6</v>
      </c>
      <c r="H103" t="s">
        <v>10</v>
      </c>
      <c r="I103" s="5">
        <v>2800</v>
      </c>
      <c r="J103" t="s">
        <v>20</v>
      </c>
      <c r="K103" t="s">
        <v>940</v>
      </c>
      <c r="L103" t="s">
        <v>946</v>
      </c>
      <c r="M103" t="s">
        <v>947</v>
      </c>
    </row>
    <row r="104" spans="1:13" x14ac:dyDescent="0.25">
      <c r="A104" t="s">
        <v>238</v>
      </c>
      <c r="B104" t="s">
        <v>239</v>
      </c>
      <c r="C104" t="s">
        <v>24</v>
      </c>
      <c r="D104" t="s">
        <v>8</v>
      </c>
      <c r="E104" t="s">
        <v>7</v>
      </c>
      <c r="F104" s="5">
        <v>117895</v>
      </c>
      <c r="G104" t="s">
        <v>6</v>
      </c>
      <c r="H104" t="s">
        <v>10</v>
      </c>
      <c r="I104" s="5">
        <v>2800</v>
      </c>
      <c r="J104" t="s">
        <v>20</v>
      </c>
      <c r="K104" t="s">
        <v>940</v>
      </c>
      <c r="L104" t="s">
        <v>949</v>
      </c>
      <c r="M104" t="s">
        <v>950</v>
      </c>
    </row>
    <row r="105" spans="1:13" x14ac:dyDescent="0.25">
      <c r="A105" t="s">
        <v>240</v>
      </c>
      <c r="B105" t="s">
        <v>241</v>
      </c>
      <c r="C105" t="s">
        <v>24</v>
      </c>
      <c r="D105" t="s">
        <v>14</v>
      </c>
      <c r="E105" t="s">
        <v>7</v>
      </c>
      <c r="F105" s="5">
        <v>111627</v>
      </c>
      <c r="G105" t="s">
        <v>6</v>
      </c>
      <c r="H105" t="s">
        <v>10</v>
      </c>
      <c r="I105" s="5">
        <v>2800</v>
      </c>
      <c r="J105" t="s">
        <v>20</v>
      </c>
      <c r="K105" t="s">
        <v>938</v>
      </c>
      <c r="L105" t="s">
        <v>952</v>
      </c>
      <c r="M105" t="s">
        <v>953</v>
      </c>
    </row>
    <row r="106" spans="1:13" x14ac:dyDescent="0.25">
      <c r="A106" t="s">
        <v>242</v>
      </c>
      <c r="B106" t="s">
        <v>243</v>
      </c>
      <c r="C106" t="s">
        <v>24</v>
      </c>
      <c r="D106" t="s">
        <v>8</v>
      </c>
      <c r="E106" t="s">
        <v>4</v>
      </c>
      <c r="F106" s="5">
        <v>112449</v>
      </c>
      <c r="G106" t="s">
        <v>16</v>
      </c>
      <c r="H106" t="s">
        <v>10</v>
      </c>
      <c r="I106" s="5">
        <v>4200</v>
      </c>
      <c r="J106" t="s">
        <v>20</v>
      </c>
      <c r="K106" t="s">
        <v>938</v>
      </c>
      <c r="L106" t="s">
        <v>949</v>
      </c>
      <c r="M106" t="s">
        <v>950</v>
      </c>
    </row>
    <row r="107" spans="1:13" x14ac:dyDescent="0.25">
      <c r="A107" t="s">
        <v>244</v>
      </c>
      <c r="B107" t="s">
        <v>245</v>
      </c>
      <c r="C107" t="s">
        <v>24</v>
      </c>
      <c r="D107" t="s">
        <v>12</v>
      </c>
      <c r="E107" t="s">
        <v>13</v>
      </c>
      <c r="F107" s="5">
        <v>113535</v>
      </c>
      <c r="G107" t="s">
        <v>6</v>
      </c>
      <c r="H107" t="s">
        <v>10</v>
      </c>
      <c r="I107" s="5">
        <v>2800</v>
      </c>
      <c r="J107" t="s">
        <v>20</v>
      </c>
      <c r="K107" t="s">
        <v>940</v>
      </c>
      <c r="L107" t="s">
        <v>958</v>
      </c>
      <c r="M107" t="s">
        <v>959</v>
      </c>
    </row>
    <row r="108" spans="1:13" x14ac:dyDescent="0.25">
      <c r="A108" t="s">
        <v>246</v>
      </c>
      <c r="B108" t="s">
        <v>247</v>
      </c>
      <c r="C108" t="s">
        <v>24</v>
      </c>
      <c r="D108" t="s">
        <v>12</v>
      </c>
      <c r="E108" t="s">
        <v>7</v>
      </c>
      <c r="F108" s="5">
        <v>113822</v>
      </c>
      <c r="G108" t="s">
        <v>6</v>
      </c>
      <c r="H108" t="s">
        <v>10</v>
      </c>
      <c r="I108" s="5">
        <v>2800</v>
      </c>
      <c r="J108" t="s">
        <v>20</v>
      </c>
      <c r="K108" t="s">
        <v>940</v>
      </c>
      <c r="L108" t="s">
        <v>958</v>
      </c>
      <c r="M108" t="s">
        <v>959</v>
      </c>
    </row>
    <row r="109" spans="1:13" x14ac:dyDescent="0.25">
      <c r="A109" t="s">
        <v>248</v>
      </c>
      <c r="B109" t="s">
        <v>249</v>
      </c>
      <c r="C109" t="s">
        <v>24</v>
      </c>
      <c r="D109" t="s">
        <v>11</v>
      </c>
      <c r="E109" t="s">
        <v>4</v>
      </c>
      <c r="F109" s="5">
        <v>113887</v>
      </c>
      <c r="G109" t="s">
        <v>6</v>
      </c>
      <c r="H109" t="s">
        <v>10</v>
      </c>
      <c r="I109" s="5">
        <v>2800</v>
      </c>
      <c r="J109" t="s">
        <v>20</v>
      </c>
      <c r="K109" t="s">
        <v>940</v>
      </c>
      <c r="L109" t="s">
        <v>946</v>
      </c>
      <c r="M109" t="s">
        <v>947</v>
      </c>
    </row>
    <row r="110" spans="1:13" x14ac:dyDescent="0.25">
      <c r="A110" t="s">
        <v>250</v>
      </c>
      <c r="B110" t="s">
        <v>251</v>
      </c>
      <c r="C110" t="s">
        <v>24</v>
      </c>
      <c r="D110" t="s">
        <v>11</v>
      </c>
      <c r="E110" t="s">
        <v>9</v>
      </c>
      <c r="F110" s="5">
        <v>114376</v>
      </c>
      <c r="G110" t="s">
        <v>6</v>
      </c>
      <c r="H110" t="s">
        <v>10</v>
      </c>
      <c r="I110" s="5">
        <v>2800</v>
      </c>
      <c r="J110" t="s">
        <v>20</v>
      </c>
      <c r="K110" t="s">
        <v>940</v>
      </c>
      <c r="L110" t="s">
        <v>946</v>
      </c>
      <c r="M110" t="s">
        <v>947</v>
      </c>
    </row>
    <row r="111" spans="1:13" x14ac:dyDescent="0.25">
      <c r="A111" t="s">
        <v>252</v>
      </c>
      <c r="B111" t="s">
        <v>253</v>
      </c>
      <c r="C111" t="s">
        <v>24</v>
      </c>
      <c r="D111" t="s">
        <v>12</v>
      </c>
      <c r="E111" t="s">
        <v>7</v>
      </c>
      <c r="F111" s="5">
        <v>114446</v>
      </c>
      <c r="G111" t="s">
        <v>6</v>
      </c>
      <c r="H111" t="s">
        <v>10</v>
      </c>
      <c r="I111" s="5">
        <v>2800</v>
      </c>
      <c r="J111" t="s">
        <v>20</v>
      </c>
      <c r="K111" t="s">
        <v>940</v>
      </c>
      <c r="L111" t="s">
        <v>958</v>
      </c>
      <c r="M111" t="s">
        <v>959</v>
      </c>
    </row>
    <row r="112" spans="1:13" x14ac:dyDescent="0.25">
      <c r="A112" t="s">
        <v>254</v>
      </c>
      <c r="B112" t="s">
        <v>255</v>
      </c>
      <c r="C112" t="s">
        <v>24</v>
      </c>
      <c r="D112" t="s">
        <v>8</v>
      </c>
      <c r="E112" t="s">
        <v>7</v>
      </c>
      <c r="F112" s="5">
        <v>115153</v>
      </c>
      <c r="G112" t="s">
        <v>6</v>
      </c>
      <c r="H112" t="s">
        <v>10</v>
      </c>
      <c r="I112" s="5">
        <v>2800</v>
      </c>
      <c r="J112" t="s">
        <v>20</v>
      </c>
      <c r="K112" t="s">
        <v>940</v>
      </c>
      <c r="L112" t="s">
        <v>949</v>
      </c>
      <c r="M112" t="s">
        <v>950</v>
      </c>
    </row>
    <row r="113" spans="1:13" x14ac:dyDescent="0.25">
      <c r="A113" t="s">
        <v>256</v>
      </c>
      <c r="B113" t="s">
        <v>257</v>
      </c>
      <c r="C113" t="s">
        <v>24</v>
      </c>
      <c r="D113" t="s">
        <v>8</v>
      </c>
      <c r="E113" t="s">
        <v>13</v>
      </c>
      <c r="F113" s="5">
        <v>116311</v>
      </c>
      <c r="G113" t="s">
        <v>6</v>
      </c>
      <c r="H113" t="s">
        <v>10</v>
      </c>
      <c r="I113" s="5">
        <v>2800</v>
      </c>
      <c r="J113" t="s">
        <v>20</v>
      </c>
      <c r="K113" t="s">
        <v>940</v>
      </c>
      <c r="L113" t="s">
        <v>949</v>
      </c>
      <c r="M113" t="s">
        <v>950</v>
      </c>
    </row>
    <row r="114" spans="1:13" x14ac:dyDescent="0.25">
      <c r="A114" t="s">
        <v>258</v>
      </c>
      <c r="B114" t="s">
        <v>249</v>
      </c>
      <c r="C114" t="s">
        <v>24</v>
      </c>
      <c r="D114" t="s">
        <v>14</v>
      </c>
      <c r="E114" t="s">
        <v>9</v>
      </c>
      <c r="F114" s="5">
        <v>117304</v>
      </c>
      <c r="G114" t="s">
        <v>6</v>
      </c>
      <c r="H114" t="s">
        <v>10</v>
      </c>
      <c r="I114" s="5">
        <v>2800</v>
      </c>
      <c r="J114" t="s">
        <v>20</v>
      </c>
      <c r="K114" t="s">
        <v>940</v>
      </c>
      <c r="L114" t="s">
        <v>952</v>
      </c>
      <c r="M114" t="s">
        <v>953</v>
      </c>
    </row>
    <row r="115" spans="1:13" x14ac:dyDescent="0.25">
      <c r="A115" t="s">
        <v>259</v>
      </c>
      <c r="B115" t="s">
        <v>260</v>
      </c>
      <c r="C115" t="s">
        <v>24</v>
      </c>
      <c r="D115" t="s">
        <v>3</v>
      </c>
      <c r="E115" t="s">
        <v>13</v>
      </c>
      <c r="F115" s="5">
        <v>117311</v>
      </c>
      <c r="G115" t="s">
        <v>6</v>
      </c>
      <c r="H115" t="s">
        <v>10</v>
      </c>
      <c r="I115" s="5">
        <v>2800</v>
      </c>
      <c r="J115" t="s">
        <v>20</v>
      </c>
      <c r="K115" t="s">
        <v>940</v>
      </c>
      <c r="L115" t="s">
        <v>955</v>
      </c>
      <c r="M115" t="s">
        <v>956</v>
      </c>
    </row>
    <row r="116" spans="1:13" x14ac:dyDescent="0.25">
      <c r="A116" t="s">
        <v>261</v>
      </c>
      <c r="B116" t="s">
        <v>262</v>
      </c>
      <c r="C116" t="s">
        <v>24</v>
      </c>
      <c r="D116" t="s">
        <v>12</v>
      </c>
      <c r="E116" t="s">
        <v>7</v>
      </c>
      <c r="F116" s="5">
        <v>118190</v>
      </c>
      <c r="G116" t="s">
        <v>16</v>
      </c>
      <c r="H116" t="s">
        <v>10</v>
      </c>
      <c r="I116" s="5">
        <v>4200</v>
      </c>
      <c r="J116" t="s">
        <v>20</v>
      </c>
      <c r="K116" t="s">
        <v>940</v>
      </c>
      <c r="L116" t="s">
        <v>958</v>
      </c>
      <c r="M116" t="s">
        <v>959</v>
      </c>
    </row>
    <row r="117" spans="1:13" x14ac:dyDescent="0.25">
      <c r="A117" t="s">
        <v>263</v>
      </c>
      <c r="B117" t="s">
        <v>264</v>
      </c>
      <c r="C117" t="s">
        <v>24</v>
      </c>
      <c r="D117" t="s">
        <v>3</v>
      </c>
      <c r="E117" t="s">
        <v>7</v>
      </c>
      <c r="F117" s="5">
        <v>156954</v>
      </c>
      <c r="G117" t="s">
        <v>16</v>
      </c>
      <c r="H117" t="s">
        <v>17</v>
      </c>
      <c r="I117" s="5">
        <v>6750</v>
      </c>
      <c r="J117" t="s">
        <v>20</v>
      </c>
      <c r="K117" t="s">
        <v>941</v>
      </c>
      <c r="L117" t="s">
        <v>955</v>
      </c>
      <c r="M117" t="s">
        <v>956</v>
      </c>
    </row>
    <row r="118" spans="1:13" x14ac:dyDescent="0.25">
      <c r="A118" t="s">
        <v>265</v>
      </c>
      <c r="B118" t="s">
        <v>266</v>
      </c>
      <c r="C118" t="s">
        <v>24</v>
      </c>
      <c r="D118" t="s">
        <v>8</v>
      </c>
      <c r="E118" t="s">
        <v>9</v>
      </c>
      <c r="F118" s="5">
        <v>157941</v>
      </c>
      <c r="G118" t="s">
        <v>19</v>
      </c>
      <c r="H118" t="s">
        <v>17</v>
      </c>
      <c r="I118" s="5">
        <v>9000</v>
      </c>
      <c r="J118" t="s">
        <v>20</v>
      </c>
      <c r="K118" t="s">
        <v>941</v>
      </c>
      <c r="L118" t="s">
        <v>949</v>
      </c>
      <c r="M118" t="s">
        <v>950</v>
      </c>
    </row>
    <row r="119" spans="1:13" x14ac:dyDescent="0.25">
      <c r="A119" t="s">
        <v>267</v>
      </c>
      <c r="B119" t="s">
        <v>268</v>
      </c>
      <c r="C119" t="s">
        <v>24</v>
      </c>
      <c r="D119" t="s">
        <v>12</v>
      </c>
      <c r="E119" t="s">
        <v>9</v>
      </c>
      <c r="F119" s="5">
        <v>160001</v>
      </c>
      <c r="G119" t="s">
        <v>19</v>
      </c>
      <c r="H119" t="s">
        <v>17</v>
      </c>
      <c r="I119" s="5">
        <v>9000</v>
      </c>
      <c r="J119" t="s">
        <v>20</v>
      </c>
      <c r="K119" t="s">
        <v>941</v>
      </c>
      <c r="L119" t="s">
        <v>958</v>
      </c>
      <c r="M119" t="s">
        <v>959</v>
      </c>
    </row>
    <row r="120" spans="1:13" x14ac:dyDescent="0.25">
      <c r="A120" t="s">
        <v>269</v>
      </c>
      <c r="B120" t="s">
        <v>270</v>
      </c>
      <c r="C120" t="s">
        <v>24</v>
      </c>
      <c r="D120" t="s">
        <v>11</v>
      </c>
      <c r="E120" t="s">
        <v>7</v>
      </c>
      <c r="F120" s="5">
        <v>161119</v>
      </c>
      <c r="G120" t="s">
        <v>19</v>
      </c>
      <c r="H120" t="s">
        <v>17</v>
      </c>
      <c r="I120" s="5">
        <v>9000</v>
      </c>
      <c r="J120" t="s">
        <v>20</v>
      </c>
      <c r="K120" t="s">
        <v>941</v>
      </c>
      <c r="L120" t="s">
        <v>946</v>
      </c>
      <c r="M120" t="s">
        <v>947</v>
      </c>
    </row>
    <row r="121" spans="1:13" x14ac:dyDescent="0.25">
      <c r="A121" t="s">
        <v>271</v>
      </c>
      <c r="B121" t="s">
        <v>272</v>
      </c>
      <c r="C121" t="s">
        <v>24</v>
      </c>
      <c r="D121" t="s">
        <v>11</v>
      </c>
      <c r="E121" t="s">
        <v>4</v>
      </c>
      <c r="F121" s="5">
        <v>161200</v>
      </c>
      <c r="G121" t="s">
        <v>16</v>
      </c>
      <c r="H121" t="s">
        <v>17</v>
      </c>
      <c r="I121" s="5">
        <v>6750</v>
      </c>
      <c r="J121" t="s">
        <v>20</v>
      </c>
      <c r="K121" t="s">
        <v>941</v>
      </c>
      <c r="L121" t="s">
        <v>946</v>
      </c>
      <c r="M121" t="s">
        <v>947</v>
      </c>
    </row>
    <row r="122" spans="1:13" x14ac:dyDescent="0.25">
      <c r="A122" t="s">
        <v>273</v>
      </c>
      <c r="B122" t="s">
        <v>274</v>
      </c>
      <c r="C122" t="s">
        <v>24</v>
      </c>
      <c r="D122" t="s">
        <v>11</v>
      </c>
      <c r="E122" t="s">
        <v>4</v>
      </c>
      <c r="F122" s="5">
        <v>161332</v>
      </c>
      <c r="G122" t="s">
        <v>19</v>
      </c>
      <c r="H122" t="s">
        <v>17</v>
      </c>
      <c r="I122" s="5">
        <v>9000</v>
      </c>
      <c r="J122" t="s">
        <v>20</v>
      </c>
      <c r="K122" t="s">
        <v>941</v>
      </c>
      <c r="L122" t="s">
        <v>946</v>
      </c>
      <c r="M122" t="s">
        <v>947</v>
      </c>
    </row>
    <row r="123" spans="1:13" x14ac:dyDescent="0.25">
      <c r="A123" t="s">
        <v>275</v>
      </c>
      <c r="B123" t="s">
        <v>276</v>
      </c>
      <c r="C123" t="s">
        <v>24</v>
      </c>
      <c r="D123" t="s">
        <v>3</v>
      </c>
      <c r="E123" t="s">
        <v>4</v>
      </c>
      <c r="F123" s="5">
        <v>161877</v>
      </c>
      <c r="G123" t="s">
        <v>19</v>
      </c>
      <c r="H123" t="s">
        <v>17</v>
      </c>
      <c r="I123" s="5">
        <v>9000</v>
      </c>
      <c r="J123" t="s">
        <v>20</v>
      </c>
      <c r="K123" t="s">
        <v>941</v>
      </c>
      <c r="L123" t="s">
        <v>955</v>
      </c>
      <c r="M123" t="s">
        <v>956</v>
      </c>
    </row>
    <row r="124" spans="1:13" x14ac:dyDescent="0.25">
      <c r="A124" t="s">
        <v>277</v>
      </c>
      <c r="B124" t="s">
        <v>278</v>
      </c>
      <c r="C124" t="s">
        <v>24</v>
      </c>
      <c r="D124" t="s">
        <v>14</v>
      </c>
      <c r="E124" t="s">
        <v>7</v>
      </c>
      <c r="F124" s="5">
        <v>162733</v>
      </c>
      <c r="G124" t="s">
        <v>19</v>
      </c>
      <c r="H124" t="s">
        <v>17</v>
      </c>
      <c r="I124" s="5">
        <v>9000</v>
      </c>
      <c r="J124" t="s">
        <v>20</v>
      </c>
      <c r="K124" t="s">
        <v>941</v>
      </c>
      <c r="L124" t="s">
        <v>952</v>
      </c>
      <c r="M124" t="s">
        <v>953</v>
      </c>
    </row>
    <row r="125" spans="1:13" x14ac:dyDescent="0.25">
      <c r="A125" t="s">
        <v>279</v>
      </c>
      <c r="B125" t="s">
        <v>280</v>
      </c>
      <c r="C125" t="s">
        <v>24</v>
      </c>
      <c r="D125" t="s">
        <v>12</v>
      </c>
      <c r="E125" t="s">
        <v>7</v>
      </c>
      <c r="F125" s="5">
        <v>163017</v>
      </c>
      <c r="G125" t="s">
        <v>16</v>
      </c>
      <c r="H125" t="s">
        <v>17</v>
      </c>
      <c r="I125" s="5">
        <v>6750</v>
      </c>
      <c r="J125" t="s">
        <v>20</v>
      </c>
      <c r="K125" t="s">
        <v>941</v>
      </c>
      <c r="L125" t="s">
        <v>958</v>
      </c>
      <c r="M125" t="s">
        <v>959</v>
      </c>
    </row>
    <row r="126" spans="1:13" x14ac:dyDescent="0.25">
      <c r="A126" t="s">
        <v>281</v>
      </c>
      <c r="B126" t="s">
        <v>282</v>
      </c>
      <c r="C126" t="s">
        <v>24</v>
      </c>
      <c r="D126" t="s">
        <v>3</v>
      </c>
      <c r="E126" t="s">
        <v>4</v>
      </c>
      <c r="F126" s="5">
        <v>163762</v>
      </c>
      <c r="G126" t="s">
        <v>16</v>
      </c>
      <c r="H126" t="s">
        <v>17</v>
      </c>
      <c r="I126" s="5">
        <v>6750</v>
      </c>
      <c r="J126" t="s">
        <v>20</v>
      </c>
      <c r="K126" t="s">
        <v>941</v>
      </c>
      <c r="L126" t="s">
        <v>955</v>
      </c>
      <c r="M126" t="s">
        <v>956</v>
      </c>
    </row>
    <row r="127" spans="1:13" x14ac:dyDescent="0.25">
      <c r="A127" t="s">
        <v>283</v>
      </c>
      <c r="B127" t="s">
        <v>241</v>
      </c>
      <c r="C127" t="s">
        <v>24</v>
      </c>
      <c r="D127" t="s">
        <v>3</v>
      </c>
      <c r="E127" t="s">
        <v>9</v>
      </c>
      <c r="F127" s="5">
        <v>163898</v>
      </c>
      <c r="G127" t="s">
        <v>19</v>
      </c>
      <c r="H127" t="s">
        <v>17</v>
      </c>
      <c r="I127" s="5">
        <v>9000</v>
      </c>
      <c r="J127" t="s">
        <v>20</v>
      </c>
      <c r="K127" t="s">
        <v>941</v>
      </c>
      <c r="L127" t="s">
        <v>955</v>
      </c>
      <c r="M127" t="s">
        <v>956</v>
      </c>
    </row>
    <row r="128" spans="1:13" x14ac:dyDescent="0.25">
      <c r="A128" t="s">
        <v>284</v>
      </c>
      <c r="B128" t="s">
        <v>285</v>
      </c>
      <c r="C128" t="s">
        <v>24</v>
      </c>
      <c r="D128" t="s">
        <v>3</v>
      </c>
      <c r="E128" t="s">
        <v>4</v>
      </c>
      <c r="F128" s="5">
        <v>164050</v>
      </c>
      <c r="G128" t="s">
        <v>16</v>
      </c>
      <c r="H128" t="s">
        <v>17</v>
      </c>
      <c r="I128" s="5">
        <v>6750</v>
      </c>
      <c r="J128" t="s">
        <v>20</v>
      </c>
      <c r="K128" t="s">
        <v>941</v>
      </c>
      <c r="L128" t="s">
        <v>955</v>
      </c>
      <c r="M128" t="s">
        <v>956</v>
      </c>
    </row>
    <row r="129" spans="1:13" x14ac:dyDescent="0.25">
      <c r="A129" t="s">
        <v>286</v>
      </c>
      <c r="B129" t="s">
        <v>287</v>
      </c>
      <c r="C129" t="s">
        <v>24</v>
      </c>
      <c r="D129" t="s">
        <v>8</v>
      </c>
      <c r="E129" t="s">
        <v>9</v>
      </c>
      <c r="F129" s="5">
        <v>164112</v>
      </c>
      <c r="G129" t="s">
        <v>16</v>
      </c>
      <c r="H129" t="s">
        <v>17</v>
      </c>
      <c r="I129" s="5">
        <v>6750</v>
      </c>
      <c r="J129" t="s">
        <v>20</v>
      </c>
      <c r="K129" t="s">
        <v>941</v>
      </c>
      <c r="L129" t="s">
        <v>949</v>
      </c>
      <c r="M129" t="s">
        <v>950</v>
      </c>
    </row>
    <row r="130" spans="1:13" x14ac:dyDescent="0.25">
      <c r="A130" t="s">
        <v>288</v>
      </c>
      <c r="B130" t="s">
        <v>289</v>
      </c>
      <c r="C130" t="s">
        <v>24</v>
      </c>
      <c r="D130" t="s">
        <v>11</v>
      </c>
      <c r="E130" t="s">
        <v>9</v>
      </c>
      <c r="F130" s="5">
        <v>164328</v>
      </c>
      <c r="G130" t="s">
        <v>19</v>
      </c>
      <c r="H130" t="s">
        <v>17</v>
      </c>
      <c r="I130" s="5">
        <v>9000</v>
      </c>
      <c r="J130" t="s">
        <v>20</v>
      </c>
      <c r="K130" t="s">
        <v>941</v>
      </c>
      <c r="L130" t="s">
        <v>946</v>
      </c>
      <c r="M130" t="s">
        <v>947</v>
      </c>
    </row>
    <row r="131" spans="1:13" x14ac:dyDescent="0.25">
      <c r="A131" t="s">
        <v>290</v>
      </c>
      <c r="B131" t="s">
        <v>291</v>
      </c>
      <c r="C131" t="s">
        <v>24</v>
      </c>
      <c r="D131" t="s">
        <v>3</v>
      </c>
      <c r="E131" t="s">
        <v>9</v>
      </c>
      <c r="F131" s="5">
        <v>164497</v>
      </c>
      <c r="G131" t="s">
        <v>16</v>
      </c>
      <c r="H131" t="s">
        <v>17</v>
      </c>
      <c r="I131" s="5">
        <v>6750</v>
      </c>
      <c r="J131" t="s">
        <v>20</v>
      </c>
      <c r="K131" t="s">
        <v>941</v>
      </c>
      <c r="L131" t="s">
        <v>955</v>
      </c>
      <c r="M131" t="s">
        <v>956</v>
      </c>
    </row>
    <row r="132" spans="1:13" x14ac:dyDescent="0.25">
      <c r="A132" t="s">
        <v>292</v>
      </c>
      <c r="B132" t="s">
        <v>293</v>
      </c>
      <c r="C132" t="s">
        <v>24</v>
      </c>
      <c r="D132" t="s">
        <v>14</v>
      </c>
      <c r="E132" t="s">
        <v>4</v>
      </c>
      <c r="F132" s="5">
        <v>145176</v>
      </c>
      <c r="G132" t="s">
        <v>16</v>
      </c>
      <c r="H132" t="s">
        <v>17</v>
      </c>
      <c r="I132" s="5">
        <v>6750</v>
      </c>
      <c r="J132" t="s">
        <v>20</v>
      </c>
      <c r="K132" t="s">
        <v>940</v>
      </c>
      <c r="L132" t="s">
        <v>952</v>
      </c>
      <c r="M132" t="s">
        <v>953</v>
      </c>
    </row>
    <row r="133" spans="1:13" x14ac:dyDescent="0.25">
      <c r="A133" t="s">
        <v>294</v>
      </c>
      <c r="B133" t="s">
        <v>295</v>
      </c>
      <c r="C133" t="s">
        <v>24</v>
      </c>
      <c r="D133" t="s">
        <v>11</v>
      </c>
      <c r="E133" t="s">
        <v>4</v>
      </c>
      <c r="F133" s="5">
        <v>147308</v>
      </c>
      <c r="G133" t="s">
        <v>16</v>
      </c>
      <c r="H133" t="s">
        <v>17</v>
      </c>
      <c r="I133" s="5">
        <v>6750</v>
      </c>
      <c r="J133" t="s">
        <v>20</v>
      </c>
      <c r="K133" t="s">
        <v>940</v>
      </c>
      <c r="L133" t="s">
        <v>946</v>
      </c>
      <c r="M133" t="s">
        <v>947</v>
      </c>
    </row>
    <row r="134" spans="1:13" x14ac:dyDescent="0.25">
      <c r="A134" t="s">
        <v>296</v>
      </c>
      <c r="B134" t="s">
        <v>297</v>
      </c>
      <c r="C134" t="s">
        <v>24</v>
      </c>
      <c r="D134" t="s">
        <v>3</v>
      </c>
      <c r="E134" t="s">
        <v>4</v>
      </c>
      <c r="F134" s="5">
        <v>147969</v>
      </c>
      <c r="G134" t="s">
        <v>16</v>
      </c>
      <c r="H134" t="s">
        <v>17</v>
      </c>
      <c r="I134" s="5">
        <v>6750</v>
      </c>
      <c r="J134" t="s">
        <v>20</v>
      </c>
      <c r="K134" t="s">
        <v>940</v>
      </c>
      <c r="L134" t="s">
        <v>955</v>
      </c>
      <c r="M134" t="s">
        <v>956</v>
      </c>
    </row>
    <row r="135" spans="1:13" x14ac:dyDescent="0.25">
      <c r="A135" t="s">
        <v>298</v>
      </c>
      <c r="B135" t="s">
        <v>233</v>
      </c>
      <c r="C135" t="s">
        <v>24</v>
      </c>
      <c r="D135" t="s">
        <v>11</v>
      </c>
      <c r="E135" t="s">
        <v>13</v>
      </c>
      <c r="F135" s="5">
        <v>150098</v>
      </c>
      <c r="G135" t="s">
        <v>16</v>
      </c>
      <c r="H135" t="s">
        <v>17</v>
      </c>
      <c r="I135" s="5">
        <v>6750</v>
      </c>
      <c r="J135" t="s">
        <v>20</v>
      </c>
      <c r="K135" t="s">
        <v>940</v>
      </c>
      <c r="L135" t="s">
        <v>946</v>
      </c>
      <c r="M135" t="s">
        <v>947</v>
      </c>
    </row>
    <row r="136" spans="1:13" x14ac:dyDescent="0.25">
      <c r="A136" t="s">
        <v>299</v>
      </c>
      <c r="B136" t="s">
        <v>300</v>
      </c>
      <c r="C136" t="s">
        <v>24</v>
      </c>
      <c r="D136" t="s">
        <v>11</v>
      </c>
      <c r="E136" t="s">
        <v>9</v>
      </c>
      <c r="F136" s="5">
        <v>152063</v>
      </c>
      <c r="G136" t="s">
        <v>16</v>
      </c>
      <c r="H136" t="s">
        <v>17</v>
      </c>
      <c r="I136" s="5">
        <v>6750</v>
      </c>
      <c r="J136" t="s">
        <v>20</v>
      </c>
      <c r="K136" t="s">
        <v>940</v>
      </c>
      <c r="L136" t="s">
        <v>946</v>
      </c>
      <c r="M136" t="s">
        <v>947</v>
      </c>
    </row>
    <row r="137" spans="1:13" x14ac:dyDescent="0.25">
      <c r="A137" t="s">
        <v>301</v>
      </c>
      <c r="B137" t="s">
        <v>302</v>
      </c>
      <c r="C137" t="s">
        <v>24</v>
      </c>
      <c r="D137" t="s">
        <v>8</v>
      </c>
      <c r="E137" t="s">
        <v>4</v>
      </c>
      <c r="F137" s="5">
        <v>152359</v>
      </c>
      <c r="G137" t="s">
        <v>16</v>
      </c>
      <c r="H137" t="s">
        <v>17</v>
      </c>
      <c r="I137" s="5">
        <v>6750</v>
      </c>
      <c r="J137" t="s">
        <v>20</v>
      </c>
      <c r="K137" t="s">
        <v>940</v>
      </c>
      <c r="L137" t="s">
        <v>949</v>
      </c>
      <c r="M137" t="s">
        <v>950</v>
      </c>
    </row>
    <row r="138" spans="1:13" x14ac:dyDescent="0.25">
      <c r="A138" t="s">
        <v>303</v>
      </c>
      <c r="B138" t="s">
        <v>304</v>
      </c>
      <c r="C138" t="s">
        <v>24</v>
      </c>
      <c r="D138" t="s">
        <v>12</v>
      </c>
      <c r="E138" t="s">
        <v>9</v>
      </c>
      <c r="F138" s="5">
        <v>152558</v>
      </c>
      <c r="G138" t="s">
        <v>16</v>
      </c>
      <c r="H138" t="s">
        <v>17</v>
      </c>
      <c r="I138" s="5">
        <v>6750</v>
      </c>
      <c r="J138" t="s">
        <v>20</v>
      </c>
      <c r="K138" t="s">
        <v>940</v>
      </c>
      <c r="L138" t="s">
        <v>958</v>
      </c>
      <c r="M138" t="s">
        <v>959</v>
      </c>
    </row>
    <row r="139" spans="1:13" x14ac:dyDescent="0.25">
      <c r="A139" t="s">
        <v>305</v>
      </c>
      <c r="B139" t="s">
        <v>306</v>
      </c>
      <c r="C139" t="s">
        <v>24</v>
      </c>
      <c r="D139" t="s">
        <v>8</v>
      </c>
      <c r="E139" t="s">
        <v>7</v>
      </c>
      <c r="F139" s="5">
        <v>152788</v>
      </c>
      <c r="G139" t="s">
        <v>19</v>
      </c>
      <c r="H139" t="s">
        <v>17</v>
      </c>
      <c r="I139" s="5">
        <v>9000</v>
      </c>
      <c r="J139" t="s">
        <v>20</v>
      </c>
      <c r="K139" t="s">
        <v>940</v>
      </c>
      <c r="L139" t="s">
        <v>949</v>
      </c>
      <c r="M139" t="s">
        <v>950</v>
      </c>
    </row>
    <row r="140" spans="1:13" x14ac:dyDescent="0.25">
      <c r="A140" t="s">
        <v>307</v>
      </c>
      <c r="B140" t="s">
        <v>308</v>
      </c>
      <c r="C140" t="s">
        <v>24</v>
      </c>
      <c r="D140" t="s">
        <v>11</v>
      </c>
      <c r="E140" t="s">
        <v>13</v>
      </c>
      <c r="F140" s="5">
        <v>152988</v>
      </c>
      <c r="G140" t="s">
        <v>16</v>
      </c>
      <c r="H140" t="s">
        <v>17</v>
      </c>
      <c r="I140" s="5">
        <v>6750</v>
      </c>
      <c r="J140" t="s">
        <v>20</v>
      </c>
      <c r="K140" t="s">
        <v>940</v>
      </c>
      <c r="L140" t="s">
        <v>946</v>
      </c>
      <c r="M140" t="s">
        <v>947</v>
      </c>
    </row>
    <row r="141" spans="1:13" x14ac:dyDescent="0.25">
      <c r="A141" t="s">
        <v>309</v>
      </c>
      <c r="B141" t="s">
        <v>310</v>
      </c>
      <c r="C141" t="s">
        <v>24</v>
      </c>
      <c r="D141" t="s">
        <v>11</v>
      </c>
      <c r="E141" t="s">
        <v>4</v>
      </c>
      <c r="F141" s="5">
        <v>153444</v>
      </c>
      <c r="G141" t="s">
        <v>16</v>
      </c>
      <c r="H141" t="s">
        <v>17</v>
      </c>
      <c r="I141" s="5">
        <v>6750</v>
      </c>
      <c r="J141" t="s">
        <v>20</v>
      </c>
      <c r="K141" t="s">
        <v>941</v>
      </c>
      <c r="L141" t="s">
        <v>946</v>
      </c>
      <c r="M141" t="s">
        <v>947</v>
      </c>
    </row>
    <row r="142" spans="1:13" x14ac:dyDescent="0.25">
      <c r="A142" t="s">
        <v>311</v>
      </c>
      <c r="B142" t="s">
        <v>312</v>
      </c>
      <c r="C142" t="s">
        <v>24</v>
      </c>
      <c r="D142" t="s">
        <v>12</v>
      </c>
      <c r="E142" t="s">
        <v>4</v>
      </c>
      <c r="F142" s="5">
        <v>154178</v>
      </c>
      <c r="G142" t="s">
        <v>16</v>
      </c>
      <c r="H142" t="s">
        <v>17</v>
      </c>
      <c r="I142" s="5">
        <v>9000</v>
      </c>
      <c r="J142" t="s">
        <v>20</v>
      </c>
      <c r="K142" t="s">
        <v>941</v>
      </c>
      <c r="L142" t="s">
        <v>958</v>
      </c>
      <c r="M142" t="s">
        <v>959</v>
      </c>
    </row>
    <row r="143" spans="1:13" x14ac:dyDescent="0.25">
      <c r="A143" t="s">
        <v>313</v>
      </c>
      <c r="B143" t="s">
        <v>314</v>
      </c>
      <c r="C143" t="s">
        <v>24</v>
      </c>
      <c r="D143" t="s">
        <v>11</v>
      </c>
      <c r="E143" t="s">
        <v>4</v>
      </c>
      <c r="F143" s="5">
        <v>156097</v>
      </c>
      <c r="G143" t="s">
        <v>19</v>
      </c>
      <c r="H143" t="s">
        <v>17</v>
      </c>
      <c r="I143" s="5">
        <v>9000</v>
      </c>
      <c r="J143" t="s">
        <v>20</v>
      </c>
      <c r="K143" t="s">
        <v>941</v>
      </c>
      <c r="L143" t="s">
        <v>946</v>
      </c>
      <c r="M143" t="s">
        <v>947</v>
      </c>
    </row>
    <row r="144" spans="1:13" x14ac:dyDescent="0.25">
      <c r="A144" t="s">
        <v>315</v>
      </c>
      <c r="B144" t="s">
        <v>316</v>
      </c>
      <c r="C144" t="s">
        <v>24</v>
      </c>
      <c r="D144" t="s">
        <v>11</v>
      </c>
      <c r="E144" t="s">
        <v>4</v>
      </c>
      <c r="F144" s="5">
        <v>167356</v>
      </c>
      <c r="G144" t="s">
        <v>16</v>
      </c>
      <c r="H144" t="s">
        <v>17</v>
      </c>
      <c r="I144" s="5">
        <v>6750</v>
      </c>
      <c r="J144" t="s">
        <v>20</v>
      </c>
      <c r="K144" t="s">
        <v>941</v>
      </c>
      <c r="L144" t="s">
        <v>946</v>
      </c>
      <c r="M144" t="s">
        <v>947</v>
      </c>
    </row>
    <row r="145" spans="1:13" x14ac:dyDescent="0.25">
      <c r="A145" t="s">
        <v>317</v>
      </c>
      <c r="B145" t="s">
        <v>318</v>
      </c>
      <c r="C145" t="s">
        <v>24</v>
      </c>
      <c r="D145" t="s">
        <v>3</v>
      </c>
      <c r="E145" t="s">
        <v>7</v>
      </c>
      <c r="F145" s="5">
        <v>185684</v>
      </c>
      <c r="G145" t="s">
        <v>19</v>
      </c>
      <c r="H145" t="s">
        <v>17</v>
      </c>
      <c r="I145" s="5">
        <v>9000</v>
      </c>
      <c r="J145" t="s">
        <v>20</v>
      </c>
      <c r="K145" t="s">
        <v>941</v>
      </c>
      <c r="L145" t="s">
        <v>955</v>
      </c>
      <c r="M145" t="s">
        <v>956</v>
      </c>
    </row>
    <row r="146" spans="1:13" x14ac:dyDescent="0.25">
      <c r="A146" t="s">
        <v>319</v>
      </c>
      <c r="B146" t="s">
        <v>320</v>
      </c>
      <c r="C146" t="s">
        <v>24</v>
      </c>
      <c r="D146" t="s">
        <v>11</v>
      </c>
      <c r="E146" t="s">
        <v>13</v>
      </c>
      <c r="F146" s="5">
        <v>186577</v>
      </c>
      <c r="G146" t="s">
        <v>19</v>
      </c>
      <c r="H146" t="s">
        <v>17</v>
      </c>
      <c r="I146" s="5">
        <v>9000</v>
      </c>
      <c r="J146" t="s">
        <v>20</v>
      </c>
      <c r="K146" t="s">
        <v>941</v>
      </c>
      <c r="L146" t="s">
        <v>946</v>
      </c>
      <c r="M146" t="s">
        <v>947</v>
      </c>
    </row>
    <row r="147" spans="1:13" x14ac:dyDescent="0.25">
      <c r="A147" t="s">
        <v>321</v>
      </c>
      <c r="B147" t="s">
        <v>322</v>
      </c>
      <c r="C147" t="s">
        <v>24</v>
      </c>
      <c r="D147" t="s">
        <v>11</v>
      </c>
      <c r="E147" t="s">
        <v>7</v>
      </c>
      <c r="F147" s="5">
        <v>187504</v>
      </c>
      <c r="G147" t="s">
        <v>19</v>
      </c>
      <c r="H147" t="s">
        <v>17</v>
      </c>
      <c r="I147" s="5">
        <v>9000</v>
      </c>
      <c r="J147" t="s">
        <v>20</v>
      </c>
      <c r="K147" t="s">
        <v>941</v>
      </c>
      <c r="L147" t="s">
        <v>946</v>
      </c>
      <c r="M147" t="s">
        <v>947</v>
      </c>
    </row>
    <row r="148" spans="1:13" x14ac:dyDescent="0.25">
      <c r="A148" t="s">
        <v>323</v>
      </c>
      <c r="B148" t="s">
        <v>111</v>
      </c>
      <c r="C148" t="s">
        <v>24</v>
      </c>
      <c r="D148" t="s">
        <v>8</v>
      </c>
      <c r="E148" t="s">
        <v>4</v>
      </c>
      <c r="F148" s="5">
        <v>188081</v>
      </c>
      <c r="G148" t="s">
        <v>19</v>
      </c>
      <c r="H148" t="s">
        <v>17</v>
      </c>
      <c r="I148" s="5">
        <v>9000</v>
      </c>
      <c r="J148" t="s">
        <v>20</v>
      </c>
      <c r="K148" t="s">
        <v>941</v>
      </c>
      <c r="L148" t="s">
        <v>949</v>
      </c>
      <c r="M148" t="s">
        <v>950</v>
      </c>
    </row>
    <row r="149" spans="1:13" x14ac:dyDescent="0.25">
      <c r="A149" t="s">
        <v>324</v>
      </c>
      <c r="B149" t="s">
        <v>325</v>
      </c>
      <c r="C149" t="s">
        <v>24</v>
      </c>
      <c r="D149" t="s">
        <v>11</v>
      </c>
      <c r="E149" t="s">
        <v>4</v>
      </c>
      <c r="F149" s="5">
        <v>188311</v>
      </c>
      <c r="G149" t="s">
        <v>16</v>
      </c>
      <c r="H149" t="s">
        <v>17</v>
      </c>
      <c r="I149" s="5">
        <v>6750</v>
      </c>
      <c r="J149" t="s">
        <v>20</v>
      </c>
      <c r="K149" t="s">
        <v>941</v>
      </c>
      <c r="L149" t="s">
        <v>946</v>
      </c>
      <c r="M149" t="s">
        <v>947</v>
      </c>
    </row>
    <row r="150" spans="1:13" x14ac:dyDescent="0.25">
      <c r="A150" t="s">
        <v>326</v>
      </c>
      <c r="B150" t="s">
        <v>327</v>
      </c>
      <c r="C150" t="s">
        <v>24</v>
      </c>
      <c r="D150" t="s">
        <v>3</v>
      </c>
      <c r="E150" t="s">
        <v>4</v>
      </c>
      <c r="F150" s="5">
        <v>188748</v>
      </c>
      <c r="G150" t="s">
        <v>16</v>
      </c>
      <c r="H150" t="s">
        <v>17</v>
      </c>
      <c r="I150" s="5">
        <v>6750</v>
      </c>
      <c r="J150" t="s">
        <v>20</v>
      </c>
      <c r="K150" t="s">
        <v>941</v>
      </c>
      <c r="L150" t="s">
        <v>955</v>
      </c>
      <c r="M150" t="s">
        <v>956</v>
      </c>
    </row>
    <row r="151" spans="1:13" x14ac:dyDescent="0.25">
      <c r="A151" t="s">
        <v>328</v>
      </c>
      <c r="B151" t="s">
        <v>329</v>
      </c>
      <c r="C151" t="s">
        <v>24</v>
      </c>
      <c r="D151" t="s">
        <v>14</v>
      </c>
      <c r="E151" t="s">
        <v>13</v>
      </c>
      <c r="F151" s="5">
        <v>189955</v>
      </c>
      <c r="G151" t="s">
        <v>16</v>
      </c>
      <c r="H151" t="s">
        <v>17</v>
      </c>
      <c r="I151" s="5">
        <v>6750</v>
      </c>
      <c r="J151" t="s">
        <v>20</v>
      </c>
      <c r="K151" t="s">
        <v>941</v>
      </c>
      <c r="L151" t="s">
        <v>952</v>
      </c>
      <c r="M151" t="s">
        <v>953</v>
      </c>
    </row>
    <row r="152" spans="1:13" x14ac:dyDescent="0.25">
      <c r="A152" t="s">
        <v>330</v>
      </c>
      <c r="B152" t="s">
        <v>331</v>
      </c>
      <c r="C152" t="s">
        <v>24</v>
      </c>
      <c r="D152" t="s">
        <v>11</v>
      </c>
      <c r="E152" t="s">
        <v>4</v>
      </c>
      <c r="F152" s="5">
        <v>190571</v>
      </c>
      <c r="G152" t="s">
        <v>19</v>
      </c>
      <c r="H152" t="s">
        <v>17</v>
      </c>
      <c r="I152" s="5">
        <v>9000</v>
      </c>
      <c r="J152" t="s">
        <v>20</v>
      </c>
      <c r="K152" t="s">
        <v>941</v>
      </c>
      <c r="L152" t="s">
        <v>946</v>
      </c>
      <c r="M152" t="s">
        <v>947</v>
      </c>
    </row>
    <row r="153" spans="1:13" x14ac:dyDescent="0.25">
      <c r="A153" t="s">
        <v>332</v>
      </c>
      <c r="B153" t="s">
        <v>333</v>
      </c>
      <c r="C153" t="s">
        <v>24</v>
      </c>
      <c r="D153" t="s">
        <v>12</v>
      </c>
      <c r="E153" t="s">
        <v>9</v>
      </c>
      <c r="F153" s="5">
        <v>190913</v>
      </c>
      <c r="G153" t="s">
        <v>19</v>
      </c>
      <c r="H153" t="s">
        <v>17</v>
      </c>
      <c r="I153" s="5">
        <v>9000</v>
      </c>
      <c r="J153" t="s">
        <v>20</v>
      </c>
      <c r="K153" t="s">
        <v>941</v>
      </c>
      <c r="L153" t="s">
        <v>958</v>
      </c>
      <c r="M153" t="s">
        <v>959</v>
      </c>
    </row>
    <row r="154" spans="1:13" x14ac:dyDescent="0.25">
      <c r="A154" t="s">
        <v>334</v>
      </c>
      <c r="B154" t="s">
        <v>335</v>
      </c>
      <c r="C154" t="s">
        <v>24</v>
      </c>
      <c r="D154" t="s">
        <v>8</v>
      </c>
      <c r="E154" t="s">
        <v>4</v>
      </c>
      <c r="F154" s="5">
        <v>192748</v>
      </c>
      <c r="G154" t="s">
        <v>16</v>
      </c>
      <c r="H154" t="s">
        <v>17</v>
      </c>
      <c r="I154" s="5">
        <v>6750</v>
      </c>
      <c r="J154" t="s">
        <v>20</v>
      </c>
      <c r="K154" t="s">
        <v>941</v>
      </c>
      <c r="L154" t="s">
        <v>949</v>
      </c>
      <c r="M154" t="s">
        <v>950</v>
      </c>
    </row>
    <row r="155" spans="1:13" x14ac:dyDescent="0.25">
      <c r="A155" t="s">
        <v>336</v>
      </c>
      <c r="B155" t="s">
        <v>337</v>
      </c>
      <c r="C155" t="s">
        <v>24</v>
      </c>
      <c r="D155" t="s">
        <v>3</v>
      </c>
      <c r="E155" t="s">
        <v>9</v>
      </c>
      <c r="F155" s="5">
        <v>196154</v>
      </c>
      <c r="G155" t="s">
        <v>16</v>
      </c>
      <c r="H155" t="s">
        <v>17</v>
      </c>
      <c r="I155" s="5">
        <v>6750</v>
      </c>
      <c r="J155" t="s">
        <v>20</v>
      </c>
      <c r="K155" t="s">
        <v>941</v>
      </c>
      <c r="L155" t="s">
        <v>955</v>
      </c>
      <c r="M155" t="s">
        <v>956</v>
      </c>
    </row>
    <row r="156" spans="1:13" x14ac:dyDescent="0.25">
      <c r="A156" t="s">
        <v>338</v>
      </c>
      <c r="B156" t="s">
        <v>339</v>
      </c>
      <c r="C156" t="s">
        <v>24</v>
      </c>
      <c r="D156" t="s">
        <v>8</v>
      </c>
      <c r="E156" t="s">
        <v>9</v>
      </c>
      <c r="F156" s="5">
        <v>197974</v>
      </c>
      <c r="G156" t="s">
        <v>19</v>
      </c>
      <c r="H156" t="s">
        <v>17</v>
      </c>
      <c r="I156" s="5">
        <v>9000</v>
      </c>
      <c r="J156" t="s">
        <v>20</v>
      </c>
      <c r="K156" t="s">
        <v>941</v>
      </c>
      <c r="L156" t="s">
        <v>949</v>
      </c>
      <c r="M156" t="s">
        <v>950</v>
      </c>
    </row>
    <row r="157" spans="1:13" x14ac:dyDescent="0.25">
      <c r="A157" t="s">
        <v>340</v>
      </c>
      <c r="B157" t="s">
        <v>341</v>
      </c>
      <c r="C157" t="s">
        <v>24</v>
      </c>
      <c r="D157" t="s">
        <v>14</v>
      </c>
      <c r="E157" t="s">
        <v>7</v>
      </c>
      <c r="F157" s="5">
        <v>198368</v>
      </c>
      <c r="G157" t="s">
        <v>16</v>
      </c>
      <c r="H157" t="s">
        <v>17</v>
      </c>
      <c r="I157" s="5">
        <v>6750</v>
      </c>
      <c r="J157" t="s">
        <v>20</v>
      </c>
      <c r="K157" t="s">
        <v>941</v>
      </c>
      <c r="L157" t="s">
        <v>952</v>
      </c>
      <c r="M157" t="s">
        <v>953</v>
      </c>
    </row>
    <row r="158" spans="1:13" x14ac:dyDescent="0.25">
      <c r="A158" t="s">
        <v>342</v>
      </c>
      <c r="B158" t="s">
        <v>343</v>
      </c>
      <c r="C158" t="s">
        <v>24</v>
      </c>
      <c r="D158" t="s">
        <v>14</v>
      </c>
      <c r="E158" t="s">
        <v>4</v>
      </c>
      <c r="F158" s="5">
        <v>185262</v>
      </c>
      <c r="G158" t="s">
        <v>19</v>
      </c>
      <c r="H158" t="s">
        <v>17</v>
      </c>
      <c r="I158" s="5">
        <v>9000</v>
      </c>
      <c r="J158" t="s">
        <v>20</v>
      </c>
      <c r="K158" t="s">
        <v>941</v>
      </c>
      <c r="L158" t="s">
        <v>952</v>
      </c>
      <c r="M158" t="s">
        <v>953</v>
      </c>
    </row>
    <row r="159" spans="1:13" x14ac:dyDescent="0.25">
      <c r="A159" t="s">
        <v>344</v>
      </c>
      <c r="B159" t="s">
        <v>345</v>
      </c>
      <c r="C159" t="s">
        <v>24</v>
      </c>
      <c r="D159" t="s">
        <v>11</v>
      </c>
      <c r="E159" t="s">
        <v>13</v>
      </c>
      <c r="F159" s="5">
        <v>185001</v>
      </c>
      <c r="G159" t="s">
        <v>16</v>
      </c>
      <c r="H159" t="s">
        <v>17</v>
      </c>
      <c r="I159" s="5">
        <v>6750</v>
      </c>
      <c r="J159" t="s">
        <v>20</v>
      </c>
      <c r="K159" t="s">
        <v>941</v>
      </c>
      <c r="L159" t="s">
        <v>946</v>
      </c>
      <c r="M159" t="s">
        <v>947</v>
      </c>
    </row>
    <row r="160" spans="1:13" x14ac:dyDescent="0.25">
      <c r="A160" t="s">
        <v>346</v>
      </c>
      <c r="B160" t="s">
        <v>347</v>
      </c>
      <c r="C160" t="s">
        <v>24</v>
      </c>
      <c r="D160" t="s">
        <v>14</v>
      </c>
      <c r="E160" t="s">
        <v>4</v>
      </c>
      <c r="F160" s="5">
        <v>184924</v>
      </c>
      <c r="G160" t="s">
        <v>16</v>
      </c>
      <c r="H160" t="s">
        <v>17</v>
      </c>
      <c r="I160" s="5">
        <v>6750</v>
      </c>
      <c r="J160" t="s">
        <v>20</v>
      </c>
      <c r="K160" t="s">
        <v>941</v>
      </c>
      <c r="L160" t="s">
        <v>952</v>
      </c>
      <c r="M160" t="s">
        <v>953</v>
      </c>
    </row>
    <row r="161" spans="1:13" x14ac:dyDescent="0.25">
      <c r="A161" t="s">
        <v>348</v>
      </c>
      <c r="B161" t="s">
        <v>349</v>
      </c>
      <c r="C161" t="s">
        <v>24</v>
      </c>
      <c r="D161" t="s">
        <v>14</v>
      </c>
      <c r="E161" t="s">
        <v>9</v>
      </c>
      <c r="F161" s="5">
        <v>168798</v>
      </c>
      <c r="G161" t="s">
        <v>19</v>
      </c>
      <c r="H161" t="s">
        <v>17</v>
      </c>
      <c r="I161" s="5">
        <v>9000</v>
      </c>
      <c r="J161" t="s">
        <v>20</v>
      </c>
      <c r="K161" t="s">
        <v>941</v>
      </c>
      <c r="L161" t="s">
        <v>952</v>
      </c>
      <c r="M161" t="s">
        <v>953</v>
      </c>
    </row>
    <row r="162" spans="1:13" x14ac:dyDescent="0.25">
      <c r="A162" t="s">
        <v>350</v>
      </c>
      <c r="B162" t="s">
        <v>351</v>
      </c>
      <c r="C162" t="s">
        <v>24</v>
      </c>
      <c r="D162" t="s">
        <v>8</v>
      </c>
      <c r="E162" t="s">
        <v>4</v>
      </c>
      <c r="F162" s="5">
        <v>170534</v>
      </c>
      <c r="G162" t="s">
        <v>16</v>
      </c>
      <c r="H162" t="s">
        <v>17</v>
      </c>
      <c r="I162" s="5">
        <v>6750</v>
      </c>
      <c r="J162" t="s">
        <v>20</v>
      </c>
      <c r="K162" t="s">
        <v>941</v>
      </c>
      <c r="L162" t="s">
        <v>949</v>
      </c>
      <c r="M162" t="s">
        <v>950</v>
      </c>
    </row>
    <row r="163" spans="1:13" x14ac:dyDescent="0.25">
      <c r="A163" t="s">
        <v>352</v>
      </c>
      <c r="B163" t="s">
        <v>353</v>
      </c>
      <c r="C163" t="s">
        <v>24</v>
      </c>
      <c r="D163" t="s">
        <v>12</v>
      </c>
      <c r="E163" t="s">
        <v>4</v>
      </c>
      <c r="F163" s="5">
        <v>172719</v>
      </c>
      <c r="G163" t="s">
        <v>16</v>
      </c>
      <c r="H163" t="s">
        <v>17</v>
      </c>
      <c r="I163" s="5">
        <v>6750</v>
      </c>
      <c r="J163" t="s">
        <v>20</v>
      </c>
      <c r="K163" t="s">
        <v>941</v>
      </c>
      <c r="L163" t="s">
        <v>958</v>
      </c>
      <c r="M163" t="s">
        <v>959</v>
      </c>
    </row>
    <row r="164" spans="1:13" x14ac:dyDescent="0.25">
      <c r="A164" t="s">
        <v>354</v>
      </c>
      <c r="B164" t="s">
        <v>355</v>
      </c>
      <c r="C164" t="s">
        <v>24</v>
      </c>
      <c r="D164" t="s">
        <v>8</v>
      </c>
      <c r="E164" t="s">
        <v>7</v>
      </c>
      <c r="F164" s="5">
        <v>173810</v>
      </c>
      <c r="G164" t="s">
        <v>19</v>
      </c>
      <c r="H164" t="s">
        <v>17</v>
      </c>
      <c r="I164" s="5">
        <v>9000</v>
      </c>
      <c r="J164" t="s">
        <v>20</v>
      </c>
      <c r="K164" t="s">
        <v>941</v>
      </c>
      <c r="L164" t="s">
        <v>949</v>
      </c>
      <c r="M164" t="s">
        <v>950</v>
      </c>
    </row>
    <row r="165" spans="1:13" x14ac:dyDescent="0.25">
      <c r="A165" t="s">
        <v>356</v>
      </c>
      <c r="B165" t="s">
        <v>357</v>
      </c>
      <c r="C165" t="s">
        <v>24</v>
      </c>
      <c r="D165" t="s">
        <v>3</v>
      </c>
      <c r="E165" t="s">
        <v>13</v>
      </c>
      <c r="F165" s="5">
        <v>174772</v>
      </c>
      <c r="G165" t="s">
        <v>16</v>
      </c>
      <c r="H165" t="s">
        <v>17</v>
      </c>
      <c r="I165" s="5">
        <v>6750</v>
      </c>
      <c r="J165" t="s">
        <v>20</v>
      </c>
      <c r="K165" t="s">
        <v>941</v>
      </c>
      <c r="L165" t="s">
        <v>955</v>
      </c>
      <c r="M165" t="s">
        <v>956</v>
      </c>
    </row>
    <row r="166" spans="1:13" x14ac:dyDescent="0.25">
      <c r="A166" t="s">
        <v>358</v>
      </c>
      <c r="B166" t="s">
        <v>359</v>
      </c>
      <c r="C166" t="s">
        <v>24</v>
      </c>
      <c r="D166" t="s">
        <v>14</v>
      </c>
      <c r="E166" t="s">
        <v>7</v>
      </c>
      <c r="F166" s="5">
        <v>175402</v>
      </c>
      <c r="G166" t="s">
        <v>19</v>
      </c>
      <c r="H166" t="s">
        <v>17</v>
      </c>
      <c r="I166" s="5">
        <v>9000</v>
      </c>
      <c r="J166" t="s">
        <v>20</v>
      </c>
      <c r="K166" t="s">
        <v>941</v>
      </c>
      <c r="L166" t="s">
        <v>952</v>
      </c>
      <c r="M166" t="s">
        <v>953</v>
      </c>
    </row>
    <row r="167" spans="1:13" x14ac:dyDescent="0.25">
      <c r="A167" t="s">
        <v>360</v>
      </c>
      <c r="B167" t="s">
        <v>361</v>
      </c>
      <c r="C167" t="s">
        <v>24</v>
      </c>
      <c r="D167" t="s">
        <v>14</v>
      </c>
      <c r="E167" t="s">
        <v>13</v>
      </c>
      <c r="F167" s="5">
        <v>176168</v>
      </c>
      <c r="G167" t="s">
        <v>16</v>
      </c>
      <c r="H167" t="s">
        <v>17</v>
      </c>
      <c r="I167" s="5">
        <v>6750</v>
      </c>
      <c r="J167" t="s">
        <v>20</v>
      </c>
      <c r="K167" t="s">
        <v>941</v>
      </c>
      <c r="L167" t="s">
        <v>952</v>
      </c>
      <c r="M167" t="s">
        <v>953</v>
      </c>
    </row>
    <row r="168" spans="1:13" x14ac:dyDescent="0.25">
      <c r="A168" t="s">
        <v>362</v>
      </c>
      <c r="B168" t="s">
        <v>363</v>
      </c>
      <c r="C168" t="s">
        <v>24</v>
      </c>
      <c r="D168" t="s">
        <v>11</v>
      </c>
      <c r="E168" t="s">
        <v>9</v>
      </c>
      <c r="F168" s="5">
        <v>177401</v>
      </c>
      <c r="G168" t="s">
        <v>16</v>
      </c>
      <c r="H168" t="s">
        <v>17</v>
      </c>
      <c r="I168" s="5">
        <v>6750</v>
      </c>
      <c r="J168" t="s">
        <v>20</v>
      </c>
      <c r="K168" t="s">
        <v>941</v>
      </c>
      <c r="L168" t="s">
        <v>946</v>
      </c>
      <c r="M168" t="s">
        <v>947</v>
      </c>
    </row>
    <row r="169" spans="1:13" x14ac:dyDescent="0.25">
      <c r="A169" t="s">
        <v>364</v>
      </c>
      <c r="B169" t="s">
        <v>365</v>
      </c>
      <c r="C169" t="s">
        <v>24</v>
      </c>
      <c r="D169" t="s">
        <v>14</v>
      </c>
      <c r="E169" t="s">
        <v>4</v>
      </c>
      <c r="F169" s="5">
        <v>179652</v>
      </c>
      <c r="G169" t="s">
        <v>19</v>
      </c>
      <c r="H169" t="s">
        <v>17</v>
      </c>
      <c r="I169" s="5">
        <v>9000</v>
      </c>
      <c r="J169" t="s">
        <v>20</v>
      </c>
      <c r="K169" t="s">
        <v>941</v>
      </c>
      <c r="L169" t="s">
        <v>952</v>
      </c>
      <c r="M169" t="s">
        <v>953</v>
      </c>
    </row>
    <row r="170" spans="1:13" x14ac:dyDescent="0.25">
      <c r="A170" t="s">
        <v>366</v>
      </c>
      <c r="B170" t="s">
        <v>367</v>
      </c>
      <c r="C170" t="s">
        <v>24</v>
      </c>
      <c r="D170" t="s">
        <v>14</v>
      </c>
      <c r="E170" t="s">
        <v>9</v>
      </c>
      <c r="F170" s="5">
        <v>181280</v>
      </c>
      <c r="G170" t="s">
        <v>16</v>
      </c>
      <c r="H170" t="s">
        <v>17</v>
      </c>
      <c r="I170" s="5">
        <v>6750</v>
      </c>
      <c r="J170" t="s">
        <v>20</v>
      </c>
      <c r="K170" t="s">
        <v>941</v>
      </c>
      <c r="L170" t="s">
        <v>952</v>
      </c>
      <c r="M170" t="s">
        <v>953</v>
      </c>
    </row>
    <row r="171" spans="1:13" x14ac:dyDescent="0.25">
      <c r="A171" t="s">
        <v>368</v>
      </c>
      <c r="B171" t="s">
        <v>369</v>
      </c>
      <c r="C171" t="s">
        <v>24</v>
      </c>
      <c r="D171" t="s">
        <v>14</v>
      </c>
      <c r="E171" t="s">
        <v>9</v>
      </c>
      <c r="F171" s="5">
        <v>181289</v>
      </c>
      <c r="G171" t="s">
        <v>19</v>
      </c>
      <c r="H171" t="s">
        <v>17</v>
      </c>
      <c r="I171" s="5">
        <v>9000</v>
      </c>
      <c r="J171" t="s">
        <v>20</v>
      </c>
      <c r="K171" t="s">
        <v>941</v>
      </c>
      <c r="L171" t="s">
        <v>952</v>
      </c>
      <c r="M171" t="s">
        <v>953</v>
      </c>
    </row>
    <row r="172" spans="1:13" x14ac:dyDescent="0.25">
      <c r="A172" t="s">
        <v>370</v>
      </c>
      <c r="B172" t="s">
        <v>371</v>
      </c>
      <c r="C172" t="s">
        <v>24</v>
      </c>
      <c r="D172" t="s">
        <v>14</v>
      </c>
      <c r="E172" t="s">
        <v>9</v>
      </c>
      <c r="F172" s="5">
        <v>184066</v>
      </c>
      <c r="G172" t="s">
        <v>19</v>
      </c>
      <c r="H172" t="s">
        <v>17</v>
      </c>
      <c r="I172" s="5">
        <v>9000</v>
      </c>
      <c r="J172" t="s">
        <v>20</v>
      </c>
      <c r="K172" t="s">
        <v>941</v>
      </c>
      <c r="L172" t="s">
        <v>952</v>
      </c>
      <c r="M172" t="s">
        <v>953</v>
      </c>
    </row>
    <row r="173" spans="1:13" x14ac:dyDescent="0.25">
      <c r="A173" t="s">
        <v>372</v>
      </c>
      <c r="B173" t="s">
        <v>373</v>
      </c>
      <c r="C173" t="s">
        <v>24</v>
      </c>
      <c r="D173" t="s">
        <v>14</v>
      </c>
      <c r="E173" t="s">
        <v>9</v>
      </c>
      <c r="F173" s="5">
        <v>184103</v>
      </c>
      <c r="G173" t="s">
        <v>19</v>
      </c>
      <c r="H173" t="s">
        <v>17</v>
      </c>
      <c r="I173" s="5">
        <v>9000</v>
      </c>
      <c r="J173" t="s">
        <v>20</v>
      </c>
      <c r="K173" t="s">
        <v>941</v>
      </c>
      <c r="L173" t="s">
        <v>952</v>
      </c>
      <c r="M173" t="s">
        <v>953</v>
      </c>
    </row>
    <row r="174" spans="1:13" x14ac:dyDescent="0.25">
      <c r="A174" t="s">
        <v>374</v>
      </c>
      <c r="B174" t="s">
        <v>375</v>
      </c>
      <c r="C174" t="s">
        <v>24</v>
      </c>
      <c r="D174" t="s">
        <v>11</v>
      </c>
      <c r="E174" t="s">
        <v>4</v>
      </c>
      <c r="F174" s="5">
        <v>120035</v>
      </c>
      <c r="G174" t="s">
        <v>19</v>
      </c>
      <c r="H174" t="s">
        <v>17</v>
      </c>
      <c r="I174" s="5">
        <v>9000</v>
      </c>
      <c r="J174" t="s">
        <v>20</v>
      </c>
      <c r="K174" t="s">
        <v>940</v>
      </c>
      <c r="L174" t="s">
        <v>946</v>
      </c>
      <c r="M174" t="s">
        <v>947</v>
      </c>
    </row>
    <row r="175" spans="1:13" x14ac:dyDescent="0.25">
      <c r="A175" t="s">
        <v>376</v>
      </c>
      <c r="B175" t="s">
        <v>377</v>
      </c>
      <c r="C175" t="s">
        <v>24</v>
      </c>
      <c r="D175" t="s">
        <v>8</v>
      </c>
      <c r="E175" t="s">
        <v>7</v>
      </c>
      <c r="F175" s="5">
        <v>122370</v>
      </c>
      <c r="G175" t="s">
        <v>19</v>
      </c>
      <c r="H175" t="s">
        <v>17</v>
      </c>
      <c r="I175" s="5">
        <v>9000</v>
      </c>
      <c r="J175" t="s">
        <v>20</v>
      </c>
      <c r="K175" t="s">
        <v>940</v>
      </c>
      <c r="L175" t="s">
        <v>949</v>
      </c>
      <c r="M175" t="s">
        <v>950</v>
      </c>
    </row>
    <row r="176" spans="1:13" x14ac:dyDescent="0.25">
      <c r="A176" t="s">
        <v>378</v>
      </c>
      <c r="B176" t="s">
        <v>379</v>
      </c>
      <c r="C176" t="s">
        <v>24</v>
      </c>
      <c r="D176" t="s">
        <v>14</v>
      </c>
      <c r="E176" t="s">
        <v>7</v>
      </c>
      <c r="F176" s="5">
        <v>122578</v>
      </c>
      <c r="G176" t="s">
        <v>19</v>
      </c>
      <c r="H176" t="s">
        <v>17</v>
      </c>
      <c r="I176" s="5">
        <v>9000</v>
      </c>
      <c r="J176" t="s">
        <v>20</v>
      </c>
      <c r="K176" t="s">
        <v>940</v>
      </c>
      <c r="L176" t="s">
        <v>952</v>
      </c>
      <c r="M176" t="s">
        <v>953</v>
      </c>
    </row>
    <row r="177" spans="1:13" x14ac:dyDescent="0.25">
      <c r="A177" t="s">
        <v>380</v>
      </c>
      <c r="B177" t="s">
        <v>381</v>
      </c>
      <c r="C177" t="s">
        <v>24</v>
      </c>
      <c r="D177" t="s">
        <v>3</v>
      </c>
      <c r="E177" t="s">
        <v>13</v>
      </c>
      <c r="F177" s="5">
        <v>123349</v>
      </c>
      <c r="G177" t="s">
        <v>19</v>
      </c>
      <c r="H177" t="s">
        <v>17</v>
      </c>
      <c r="I177" s="5">
        <v>9000</v>
      </c>
      <c r="J177" t="s">
        <v>20</v>
      </c>
      <c r="K177" t="s">
        <v>940</v>
      </c>
      <c r="L177" t="s">
        <v>955</v>
      </c>
      <c r="M177" t="s">
        <v>956</v>
      </c>
    </row>
    <row r="178" spans="1:13" x14ac:dyDescent="0.25">
      <c r="A178" t="s">
        <v>382</v>
      </c>
      <c r="B178" t="s">
        <v>383</v>
      </c>
      <c r="C178" t="s">
        <v>24</v>
      </c>
      <c r="D178" t="s">
        <v>3</v>
      </c>
      <c r="E178" t="s">
        <v>4</v>
      </c>
      <c r="F178" s="5">
        <v>143764</v>
      </c>
      <c r="G178" t="s">
        <v>16</v>
      </c>
      <c r="H178" t="s">
        <v>17</v>
      </c>
      <c r="I178" s="5">
        <v>6750</v>
      </c>
      <c r="J178" t="s">
        <v>20</v>
      </c>
      <c r="K178" t="s">
        <v>940</v>
      </c>
      <c r="L178" t="s">
        <v>955</v>
      </c>
      <c r="M178" t="s">
        <v>956</v>
      </c>
    </row>
    <row r="179" spans="1:13" x14ac:dyDescent="0.25">
      <c r="A179" t="s">
        <v>384</v>
      </c>
      <c r="B179" t="s">
        <v>320</v>
      </c>
      <c r="C179" t="s">
        <v>24</v>
      </c>
      <c r="D179" t="s">
        <v>14</v>
      </c>
      <c r="E179" t="s">
        <v>13</v>
      </c>
      <c r="F179" s="5">
        <v>123716</v>
      </c>
      <c r="G179" t="s">
        <v>16</v>
      </c>
      <c r="H179" t="s">
        <v>17</v>
      </c>
      <c r="I179" s="5">
        <v>6750</v>
      </c>
      <c r="J179" t="s">
        <v>20</v>
      </c>
      <c r="K179" t="s">
        <v>940</v>
      </c>
      <c r="L179" t="s">
        <v>952</v>
      </c>
      <c r="M179" t="s">
        <v>953</v>
      </c>
    </row>
    <row r="180" spans="1:13" x14ac:dyDescent="0.25">
      <c r="A180" t="s">
        <v>385</v>
      </c>
      <c r="B180" t="s">
        <v>386</v>
      </c>
      <c r="C180" t="s">
        <v>24</v>
      </c>
      <c r="D180" t="s">
        <v>11</v>
      </c>
      <c r="E180" t="s">
        <v>13</v>
      </c>
      <c r="F180" s="5">
        <v>124489</v>
      </c>
      <c r="G180" t="s">
        <v>16</v>
      </c>
      <c r="H180" t="s">
        <v>17</v>
      </c>
      <c r="I180" s="5">
        <v>6750</v>
      </c>
      <c r="J180" t="s">
        <v>20</v>
      </c>
      <c r="K180" t="s">
        <v>940</v>
      </c>
      <c r="L180" t="s">
        <v>946</v>
      </c>
      <c r="M180" t="s">
        <v>947</v>
      </c>
    </row>
    <row r="181" spans="1:13" x14ac:dyDescent="0.25">
      <c r="A181" t="s">
        <v>387</v>
      </c>
      <c r="B181" t="s">
        <v>388</v>
      </c>
      <c r="C181" t="s">
        <v>24</v>
      </c>
      <c r="D181" t="s">
        <v>8</v>
      </c>
      <c r="E181" t="s">
        <v>7</v>
      </c>
      <c r="F181" s="5">
        <v>124498</v>
      </c>
      <c r="G181" t="s">
        <v>19</v>
      </c>
      <c r="H181" t="s">
        <v>17</v>
      </c>
      <c r="I181" s="5">
        <v>9000</v>
      </c>
      <c r="J181" t="s">
        <v>20</v>
      </c>
      <c r="K181" t="s">
        <v>940</v>
      </c>
      <c r="L181" t="s">
        <v>949</v>
      </c>
      <c r="M181" t="s">
        <v>950</v>
      </c>
    </row>
    <row r="182" spans="1:13" x14ac:dyDescent="0.25">
      <c r="A182" t="s">
        <v>389</v>
      </c>
      <c r="B182" t="s">
        <v>390</v>
      </c>
      <c r="C182" t="s">
        <v>24</v>
      </c>
      <c r="D182" t="s">
        <v>14</v>
      </c>
      <c r="E182" t="s">
        <v>13</v>
      </c>
      <c r="F182" s="5">
        <v>125577</v>
      </c>
      <c r="G182" t="s">
        <v>19</v>
      </c>
      <c r="H182" t="s">
        <v>17</v>
      </c>
      <c r="I182" s="5">
        <v>9000</v>
      </c>
      <c r="J182" t="s">
        <v>20</v>
      </c>
      <c r="K182" t="s">
        <v>940</v>
      </c>
      <c r="L182" t="s">
        <v>952</v>
      </c>
      <c r="M182" t="s">
        <v>953</v>
      </c>
    </row>
    <row r="183" spans="1:13" x14ac:dyDescent="0.25">
      <c r="A183" t="s">
        <v>391</v>
      </c>
      <c r="B183" t="s">
        <v>392</v>
      </c>
      <c r="C183" t="s">
        <v>24</v>
      </c>
      <c r="D183" t="s">
        <v>11</v>
      </c>
      <c r="E183" t="s">
        <v>9</v>
      </c>
      <c r="F183" s="5">
        <v>126076</v>
      </c>
      <c r="G183" t="s">
        <v>19</v>
      </c>
      <c r="H183" t="s">
        <v>17</v>
      </c>
      <c r="I183" s="5">
        <v>9000</v>
      </c>
      <c r="J183" t="s">
        <v>20</v>
      </c>
      <c r="K183" t="s">
        <v>940</v>
      </c>
      <c r="L183" t="s">
        <v>946</v>
      </c>
      <c r="M183" t="s">
        <v>947</v>
      </c>
    </row>
    <row r="184" spans="1:13" x14ac:dyDescent="0.25">
      <c r="A184" t="s">
        <v>393</v>
      </c>
      <c r="B184" t="s">
        <v>394</v>
      </c>
      <c r="C184" t="s">
        <v>24</v>
      </c>
      <c r="D184" t="s">
        <v>3</v>
      </c>
      <c r="E184" t="s">
        <v>9</v>
      </c>
      <c r="F184" s="5">
        <v>123493</v>
      </c>
      <c r="G184" t="s">
        <v>19</v>
      </c>
      <c r="H184" t="s">
        <v>17</v>
      </c>
      <c r="I184" s="5">
        <v>9000</v>
      </c>
      <c r="J184" t="s">
        <v>20</v>
      </c>
      <c r="K184" t="s">
        <v>940</v>
      </c>
      <c r="L184" t="s">
        <v>955</v>
      </c>
      <c r="M184" t="s">
        <v>956</v>
      </c>
    </row>
    <row r="185" spans="1:13" x14ac:dyDescent="0.25">
      <c r="A185" t="s">
        <v>395</v>
      </c>
      <c r="B185" t="s">
        <v>396</v>
      </c>
      <c r="C185" t="s">
        <v>24</v>
      </c>
      <c r="D185" t="s">
        <v>12</v>
      </c>
      <c r="E185" t="s">
        <v>7</v>
      </c>
      <c r="F185" s="5">
        <v>127755</v>
      </c>
      <c r="G185" t="s">
        <v>16</v>
      </c>
      <c r="H185" t="s">
        <v>17</v>
      </c>
      <c r="I185" s="5">
        <v>6750</v>
      </c>
      <c r="J185" t="s">
        <v>20</v>
      </c>
      <c r="K185" t="s">
        <v>940</v>
      </c>
      <c r="L185" t="s">
        <v>958</v>
      </c>
      <c r="M185" t="s">
        <v>959</v>
      </c>
    </row>
    <row r="186" spans="1:13" x14ac:dyDescent="0.25">
      <c r="A186" t="s">
        <v>397</v>
      </c>
      <c r="B186" t="s">
        <v>81</v>
      </c>
      <c r="C186" t="s">
        <v>24</v>
      </c>
      <c r="D186" t="s">
        <v>11</v>
      </c>
      <c r="E186" t="s">
        <v>7</v>
      </c>
      <c r="F186" s="5">
        <v>135187</v>
      </c>
      <c r="G186" t="s">
        <v>19</v>
      </c>
      <c r="H186" t="s">
        <v>17</v>
      </c>
      <c r="I186" s="5">
        <v>9000</v>
      </c>
      <c r="J186" t="s">
        <v>20</v>
      </c>
      <c r="K186" t="s">
        <v>940</v>
      </c>
      <c r="L186" t="s">
        <v>946</v>
      </c>
      <c r="M186" t="s">
        <v>947</v>
      </c>
    </row>
    <row r="187" spans="1:13" x14ac:dyDescent="0.25">
      <c r="A187" t="s">
        <v>398</v>
      </c>
      <c r="B187" t="s">
        <v>399</v>
      </c>
      <c r="C187" t="s">
        <v>24</v>
      </c>
      <c r="D187" t="s">
        <v>3</v>
      </c>
      <c r="E187" t="s">
        <v>7</v>
      </c>
      <c r="F187" s="5">
        <v>135368</v>
      </c>
      <c r="G187" t="s">
        <v>19</v>
      </c>
      <c r="H187" t="s">
        <v>17</v>
      </c>
      <c r="I187" s="5">
        <v>9000</v>
      </c>
      <c r="J187" t="s">
        <v>20</v>
      </c>
      <c r="K187" t="s">
        <v>940</v>
      </c>
      <c r="L187" t="s">
        <v>955</v>
      </c>
      <c r="M187" t="s">
        <v>956</v>
      </c>
    </row>
    <row r="188" spans="1:13" x14ac:dyDescent="0.25">
      <c r="A188" t="s">
        <v>400</v>
      </c>
      <c r="B188" t="s">
        <v>401</v>
      </c>
      <c r="C188" t="s">
        <v>24</v>
      </c>
      <c r="D188" t="s">
        <v>11</v>
      </c>
      <c r="E188" t="s">
        <v>9</v>
      </c>
      <c r="F188" s="5">
        <v>135585</v>
      </c>
      <c r="G188" t="s">
        <v>19</v>
      </c>
      <c r="H188" t="s">
        <v>17</v>
      </c>
      <c r="I188" s="5">
        <v>9000</v>
      </c>
      <c r="J188" t="s">
        <v>20</v>
      </c>
      <c r="K188" t="s">
        <v>940</v>
      </c>
      <c r="L188" t="s">
        <v>946</v>
      </c>
      <c r="M188" t="s">
        <v>947</v>
      </c>
    </row>
    <row r="189" spans="1:13" x14ac:dyDescent="0.25">
      <c r="A189" t="s">
        <v>402</v>
      </c>
      <c r="B189" t="s">
        <v>65</v>
      </c>
      <c r="C189" t="s">
        <v>24</v>
      </c>
      <c r="D189" t="s">
        <v>11</v>
      </c>
      <c r="E189" t="s">
        <v>7</v>
      </c>
      <c r="F189" s="5">
        <v>136013</v>
      </c>
      <c r="G189" t="s">
        <v>19</v>
      </c>
      <c r="H189" t="s">
        <v>17</v>
      </c>
      <c r="I189" s="5">
        <v>9000</v>
      </c>
      <c r="J189" t="s">
        <v>20</v>
      </c>
      <c r="K189" t="s">
        <v>940</v>
      </c>
      <c r="L189" t="s">
        <v>946</v>
      </c>
      <c r="M189" t="s">
        <v>947</v>
      </c>
    </row>
    <row r="190" spans="1:13" x14ac:dyDescent="0.25">
      <c r="A190" t="s">
        <v>403</v>
      </c>
      <c r="B190" t="s">
        <v>404</v>
      </c>
      <c r="C190" t="s">
        <v>24</v>
      </c>
      <c r="D190" t="s">
        <v>3</v>
      </c>
      <c r="E190" t="s">
        <v>4</v>
      </c>
      <c r="F190" s="5">
        <v>136179</v>
      </c>
      <c r="G190" t="s">
        <v>19</v>
      </c>
      <c r="H190" t="s">
        <v>17</v>
      </c>
      <c r="I190" s="5">
        <v>9000</v>
      </c>
      <c r="J190" t="s">
        <v>20</v>
      </c>
      <c r="K190" t="s">
        <v>940</v>
      </c>
      <c r="L190" t="s">
        <v>955</v>
      </c>
      <c r="M190" t="s">
        <v>956</v>
      </c>
    </row>
    <row r="191" spans="1:13" x14ac:dyDescent="0.25">
      <c r="A191" t="s">
        <v>405</v>
      </c>
      <c r="B191" t="s">
        <v>304</v>
      </c>
      <c r="C191" t="s">
        <v>24</v>
      </c>
      <c r="D191" t="s">
        <v>14</v>
      </c>
      <c r="E191" t="s">
        <v>4</v>
      </c>
      <c r="F191" s="5">
        <v>140917</v>
      </c>
      <c r="G191" t="s">
        <v>19</v>
      </c>
      <c r="H191" t="s">
        <v>17</v>
      </c>
      <c r="I191" s="5">
        <v>9000</v>
      </c>
      <c r="J191" t="s">
        <v>20</v>
      </c>
      <c r="K191" t="s">
        <v>940</v>
      </c>
      <c r="L191" t="s">
        <v>952</v>
      </c>
      <c r="M191" t="s">
        <v>953</v>
      </c>
    </row>
    <row r="192" spans="1:13" x14ac:dyDescent="0.25">
      <c r="A192" t="s">
        <v>406</v>
      </c>
      <c r="B192" t="s">
        <v>407</v>
      </c>
      <c r="C192" t="s">
        <v>24</v>
      </c>
      <c r="D192" t="s">
        <v>14</v>
      </c>
      <c r="E192" t="s">
        <v>4</v>
      </c>
      <c r="F192" s="5">
        <v>141087</v>
      </c>
      <c r="G192" t="s">
        <v>19</v>
      </c>
      <c r="H192" t="s">
        <v>17</v>
      </c>
      <c r="I192" s="5">
        <v>9000</v>
      </c>
      <c r="J192" t="s">
        <v>20</v>
      </c>
      <c r="K192" t="s">
        <v>940</v>
      </c>
      <c r="L192" t="s">
        <v>952</v>
      </c>
      <c r="M192" t="s">
        <v>953</v>
      </c>
    </row>
    <row r="193" spans="1:13" x14ac:dyDescent="0.25">
      <c r="A193" t="s">
        <v>408</v>
      </c>
      <c r="B193" t="s">
        <v>409</v>
      </c>
      <c r="C193" t="s">
        <v>24</v>
      </c>
      <c r="D193" t="s">
        <v>11</v>
      </c>
      <c r="E193" t="s">
        <v>13</v>
      </c>
      <c r="F193" s="5">
        <v>141770</v>
      </c>
      <c r="G193" t="s">
        <v>19</v>
      </c>
      <c r="H193" t="s">
        <v>17</v>
      </c>
      <c r="I193" s="5">
        <v>9000</v>
      </c>
      <c r="J193" t="s">
        <v>20</v>
      </c>
      <c r="K193" t="s">
        <v>940</v>
      </c>
      <c r="L193" t="s">
        <v>946</v>
      </c>
      <c r="M193" t="s">
        <v>947</v>
      </c>
    </row>
    <row r="194" spans="1:13" x14ac:dyDescent="0.25">
      <c r="A194" t="s">
        <v>410</v>
      </c>
      <c r="B194" t="s">
        <v>411</v>
      </c>
      <c r="C194" t="s">
        <v>24</v>
      </c>
      <c r="D194" t="s">
        <v>3</v>
      </c>
      <c r="E194" t="s">
        <v>4</v>
      </c>
      <c r="F194" s="5">
        <v>141810</v>
      </c>
      <c r="G194" t="s">
        <v>19</v>
      </c>
      <c r="H194" t="s">
        <v>17</v>
      </c>
      <c r="I194" s="5">
        <v>9000</v>
      </c>
      <c r="J194" t="s">
        <v>20</v>
      </c>
      <c r="K194" t="s">
        <v>940</v>
      </c>
      <c r="L194" t="s">
        <v>955</v>
      </c>
      <c r="M194" t="s">
        <v>956</v>
      </c>
    </row>
    <row r="195" spans="1:13" x14ac:dyDescent="0.25">
      <c r="A195" t="s">
        <v>412</v>
      </c>
      <c r="B195" t="s">
        <v>413</v>
      </c>
      <c r="C195" t="s">
        <v>24</v>
      </c>
      <c r="D195" t="s">
        <v>11</v>
      </c>
      <c r="E195" t="s">
        <v>7</v>
      </c>
      <c r="F195" s="5">
        <v>141946</v>
      </c>
      <c r="G195" t="s">
        <v>19</v>
      </c>
      <c r="H195" t="s">
        <v>17</v>
      </c>
      <c r="I195" s="5">
        <v>9000</v>
      </c>
      <c r="J195" t="s">
        <v>20</v>
      </c>
      <c r="K195" t="s">
        <v>940</v>
      </c>
      <c r="L195" t="s">
        <v>946</v>
      </c>
      <c r="M195" t="s">
        <v>947</v>
      </c>
    </row>
    <row r="196" spans="1:13" x14ac:dyDescent="0.25">
      <c r="A196" t="s">
        <v>414</v>
      </c>
      <c r="B196" t="s">
        <v>415</v>
      </c>
      <c r="C196" t="s">
        <v>24</v>
      </c>
      <c r="D196" t="s">
        <v>14</v>
      </c>
      <c r="E196" t="s">
        <v>7</v>
      </c>
      <c r="F196" s="5">
        <v>141995</v>
      </c>
      <c r="G196" t="s">
        <v>16</v>
      </c>
      <c r="H196" t="s">
        <v>17</v>
      </c>
      <c r="I196" s="5">
        <v>6750</v>
      </c>
      <c r="J196" t="s">
        <v>20</v>
      </c>
      <c r="K196" t="s">
        <v>940</v>
      </c>
      <c r="L196" t="s">
        <v>952</v>
      </c>
      <c r="M196" t="s">
        <v>953</v>
      </c>
    </row>
    <row r="197" spans="1:13" x14ac:dyDescent="0.25">
      <c r="A197" t="s">
        <v>416</v>
      </c>
      <c r="B197" t="s">
        <v>417</v>
      </c>
      <c r="C197" t="s">
        <v>24</v>
      </c>
      <c r="D197" t="s">
        <v>8</v>
      </c>
      <c r="E197" t="s">
        <v>7</v>
      </c>
      <c r="F197" s="5">
        <v>142702</v>
      </c>
      <c r="G197" t="s">
        <v>19</v>
      </c>
      <c r="H197" t="s">
        <v>17</v>
      </c>
      <c r="I197" s="5">
        <v>9000</v>
      </c>
      <c r="J197" t="s">
        <v>20</v>
      </c>
      <c r="K197" t="s">
        <v>940</v>
      </c>
      <c r="L197" t="s">
        <v>949</v>
      </c>
      <c r="M197" t="s">
        <v>950</v>
      </c>
    </row>
    <row r="198" spans="1:13" x14ac:dyDescent="0.25">
      <c r="A198" t="s">
        <v>418</v>
      </c>
      <c r="B198" t="s">
        <v>419</v>
      </c>
      <c r="C198" t="s">
        <v>24</v>
      </c>
      <c r="D198" t="s">
        <v>8</v>
      </c>
      <c r="E198" t="s">
        <v>9</v>
      </c>
      <c r="F198" s="5">
        <v>143186</v>
      </c>
      <c r="G198" t="s">
        <v>16</v>
      </c>
      <c r="H198" t="s">
        <v>17</v>
      </c>
      <c r="I198" s="5">
        <v>6750</v>
      </c>
      <c r="J198" t="s">
        <v>20</v>
      </c>
      <c r="K198" t="s">
        <v>940</v>
      </c>
      <c r="L198" t="s">
        <v>949</v>
      </c>
      <c r="M198" t="s">
        <v>950</v>
      </c>
    </row>
    <row r="199" spans="1:13" x14ac:dyDescent="0.25">
      <c r="A199" t="s">
        <v>420</v>
      </c>
      <c r="B199" t="s">
        <v>421</v>
      </c>
      <c r="C199" t="s">
        <v>24</v>
      </c>
      <c r="D199" t="s">
        <v>3</v>
      </c>
      <c r="E199" t="s">
        <v>13</v>
      </c>
      <c r="F199" s="5">
        <v>128762</v>
      </c>
      <c r="G199" t="s">
        <v>16</v>
      </c>
      <c r="H199" t="s">
        <v>17</v>
      </c>
      <c r="I199" s="5">
        <v>6750</v>
      </c>
      <c r="J199" t="s">
        <v>20</v>
      </c>
      <c r="K199" t="s">
        <v>940</v>
      </c>
      <c r="L199" t="s">
        <v>955</v>
      </c>
      <c r="M199" t="s">
        <v>956</v>
      </c>
    </row>
    <row r="200" spans="1:13" x14ac:dyDescent="0.25">
      <c r="A200" t="s">
        <v>422</v>
      </c>
      <c r="B200" t="s">
        <v>423</v>
      </c>
      <c r="C200" t="s">
        <v>24</v>
      </c>
      <c r="D200" t="s">
        <v>3</v>
      </c>
      <c r="E200" t="s">
        <v>4</v>
      </c>
      <c r="F200" s="5">
        <v>129066</v>
      </c>
      <c r="G200" t="s">
        <v>16</v>
      </c>
      <c r="H200" t="s">
        <v>17</v>
      </c>
      <c r="I200" s="5">
        <v>6750</v>
      </c>
      <c r="J200" t="s">
        <v>20</v>
      </c>
      <c r="K200" t="s">
        <v>940</v>
      </c>
      <c r="L200" t="s">
        <v>955</v>
      </c>
      <c r="M200" t="s">
        <v>956</v>
      </c>
    </row>
    <row r="201" spans="1:13" x14ac:dyDescent="0.25">
      <c r="A201" t="s">
        <v>424</v>
      </c>
      <c r="B201" t="s">
        <v>107</v>
      </c>
      <c r="C201" t="s">
        <v>24</v>
      </c>
      <c r="D201" t="s">
        <v>8</v>
      </c>
      <c r="E201" t="s">
        <v>9</v>
      </c>
      <c r="F201" s="5">
        <v>129506</v>
      </c>
      <c r="G201" t="s">
        <v>16</v>
      </c>
      <c r="H201" t="s">
        <v>17</v>
      </c>
      <c r="I201" s="5">
        <v>6750</v>
      </c>
      <c r="J201" t="s">
        <v>20</v>
      </c>
      <c r="K201" t="s">
        <v>940</v>
      </c>
      <c r="L201" t="s">
        <v>949</v>
      </c>
      <c r="M201" t="s">
        <v>950</v>
      </c>
    </row>
    <row r="202" spans="1:13" x14ac:dyDescent="0.25">
      <c r="A202" t="s">
        <v>425</v>
      </c>
      <c r="B202" t="s">
        <v>426</v>
      </c>
      <c r="C202" t="s">
        <v>24</v>
      </c>
      <c r="D202" t="s">
        <v>3</v>
      </c>
      <c r="E202" t="s">
        <v>4</v>
      </c>
      <c r="F202" s="5">
        <v>130477</v>
      </c>
      <c r="G202" t="s">
        <v>16</v>
      </c>
      <c r="H202" t="s">
        <v>17</v>
      </c>
      <c r="I202" s="5">
        <v>6750</v>
      </c>
      <c r="J202" t="s">
        <v>20</v>
      </c>
      <c r="K202" t="s">
        <v>940</v>
      </c>
      <c r="L202" t="s">
        <v>955</v>
      </c>
      <c r="M202" t="s">
        <v>956</v>
      </c>
    </row>
    <row r="203" spans="1:13" x14ac:dyDescent="0.25">
      <c r="A203" t="s">
        <v>427</v>
      </c>
      <c r="B203" t="s">
        <v>428</v>
      </c>
      <c r="C203" t="s">
        <v>24</v>
      </c>
      <c r="D203" t="s">
        <v>12</v>
      </c>
      <c r="E203" t="s">
        <v>4</v>
      </c>
      <c r="F203" s="5">
        <v>130550</v>
      </c>
      <c r="G203" t="s">
        <v>19</v>
      </c>
      <c r="H203" t="s">
        <v>17</v>
      </c>
      <c r="I203" s="5">
        <v>9000</v>
      </c>
      <c r="J203" t="s">
        <v>20</v>
      </c>
      <c r="K203" t="s">
        <v>940</v>
      </c>
      <c r="L203" t="s">
        <v>958</v>
      </c>
      <c r="M203" t="s">
        <v>959</v>
      </c>
    </row>
    <row r="204" spans="1:13" x14ac:dyDescent="0.25">
      <c r="A204" t="s">
        <v>429</v>
      </c>
      <c r="B204" t="s">
        <v>430</v>
      </c>
      <c r="C204" t="s">
        <v>24</v>
      </c>
      <c r="D204" t="s">
        <v>8</v>
      </c>
      <c r="E204" t="s">
        <v>4</v>
      </c>
      <c r="F204" s="5">
        <v>128386</v>
      </c>
      <c r="G204" t="s">
        <v>16</v>
      </c>
      <c r="H204" t="s">
        <v>17</v>
      </c>
      <c r="I204" s="5">
        <v>6750</v>
      </c>
      <c r="J204" t="s">
        <v>20</v>
      </c>
      <c r="K204" t="s">
        <v>940</v>
      </c>
      <c r="L204" t="s">
        <v>949</v>
      </c>
      <c r="M204" t="s">
        <v>950</v>
      </c>
    </row>
    <row r="205" spans="1:13" x14ac:dyDescent="0.25">
      <c r="A205" t="s">
        <v>431</v>
      </c>
      <c r="B205" t="s">
        <v>272</v>
      </c>
      <c r="C205" t="s">
        <v>24</v>
      </c>
      <c r="D205" t="s">
        <v>11</v>
      </c>
      <c r="E205" t="s">
        <v>13</v>
      </c>
      <c r="F205" s="5">
        <v>133169</v>
      </c>
      <c r="G205" t="s">
        <v>16</v>
      </c>
      <c r="H205" t="s">
        <v>17</v>
      </c>
      <c r="I205" s="5">
        <v>6750</v>
      </c>
      <c r="J205" t="s">
        <v>20</v>
      </c>
      <c r="K205" t="s">
        <v>940</v>
      </c>
      <c r="L205" t="s">
        <v>946</v>
      </c>
      <c r="M205" t="s">
        <v>947</v>
      </c>
    </row>
    <row r="206" spans="1:13" x14ac:dyDescent="0.25">
      <c r="A206" t="s">
        <v>432</v>
      </c>
      <c r="B206" t="s">
        <v>433</v>
      </c>
      <c r="C206" t="s">
        <v>24</v>
      </c>
      <c r="D206" t="s">
        <v>11</v>
      </c>
      <c r="E206" t="s">
        <v>4</v>
      </c>
      <c r="F206" s="5">
        <v>132810</v>
      </c>
      <c r="G206" t="s">
        <v>16</v>
      </c>
      <c r="H206" t="s">
        <v>17</v>
      </c>
      <c r="I206" s="5">
        <v>6750</v>
      </c>
      <c r="J206" t="s">
        <v>20</v>
      </c>
      <c r="K206" t="s">
        <v>940</v>
      </c>
      <c r="L206" t="s">
        <v>946</v>
      </c>
      <c r="M206" t="s">
        <v>947</v>
      </c>
    </row>
    <row r="207" spans="1:13" x14ac:dyDescent="0.25">
      <c r="A207" t="s">
        <v>434</v>
      </c>
      <c r="B207" t="s">
        <v>435</v>
      </c>
      <c r="C207" t="s">
        <v>24</v>
      </c>
      <c r="D207" t="s">
        <v>8</v>
      </c>
      <c r="E207" t="s">
        <v>4</v>
      </c>
      <c r="F207" s="5">
        <v>132667</v>
      </c>
      <c r="G207" t="s">
        <v>16</v>
      </c>
      <c r="H207" t="s">
        <v>17</v>
      </c>
      <c r="I207" s="5">
        <v>6750</v>
      </c>
      <c r="J207" t="s">
        <v>20</v>
      </c>
      <c r="K207" t="s">
        <v>940</v>
      </c>
      <c r="L207" t="s">
        <v>949</v>
      </c>
      <c r="M207" t="s">
        <v>950</v>
      </c>
    </row>
    <row r="208" spans="1:13" x14ac:dyDescent="0.25">
      <c r="A208" t="s">
        <v>436</v>
      </c>
      <c r="B208" t="s">
        <v>437</v>
      </c>
      <c r="C208" t="s">
        <v>24</v>
      </c>
      <c r="D208" t="s">
        <v>12</v>
      </c>
      <c r="E208" t="s">
        <v>13</v>
      </c>
      <c r="F208" s="5">
        <v>132604</v>
      </c>
      <c r="G208" t="s">
        <v>16</v>
      </c>
      <c r="H208" t="s">
        <v>17</v>
      </c>
      <c r="I208" s="5">
        <v>6750</v>
      </c>
      <c r="J208" t="s">
        <v>20</v>
      </c>
      <c r="K208" t="s">
        <v>940</v>
      </c>
      <c r="L208" t="s">
        <v>958</v>
      </c>
      <c r="M208" t="s">
        <v>959</v>
      </c>
    </row>
    <row r="209" spans="1:13" x14ac:dyDescent="0.25">
      <c r="A209" t="s">
        <v>438</v>
      </c>
      <c r="B209" t="s">
        <v>439</v>
      </c>
      <c r="C209" t="s">
        <v>24</v>
      </c>
      <c r="D209" t="s">
        <v>3</v>
      </c>
      <c r="E209" t="s">
        <v>7</v>
      </c>
      <c r="F209" s="5">
        <v>131852</v>
      </c>
      <c r="G209" t="s">
        <v>16</v>
      </c>
      <c r="H209" t="s">
        <v>17</v>
      </c>
      <c r="I209" s="5">
        <v>6750</v>
      </c>
      <c r="J209" t="s">
        <v>20</v>
      </c>
      <c r="K209" t="s">
        <v>940</v>
      </c>
      <c r="L209" t="s">
        <v>955</v>
      </c>
      <c r="M209" t="s">
        <v>956</v>
      </c>
    </row>
    <row r="210" spans="1:13" x14ac:dyDescent="0.25">
      <c r="A210" t="s">
        <v>440</v>
      </c>
      <c r="B210" t="s">
        <v>441</v>
      </c>
      <c r="C210" t="s">
        <v>24</v>
      </c>
      <c r="D210" t="s">
        <v>14</v>
      </c>
      <c r="E210" t="s">
        <v>7</v>
      </c>
      <c r="F210" s="5">
        <v>131686</v>
      </c>
      <c r="G210" t="s">
        <v>19</v>
      </c>
      <c r="H210" t="s">
        <v>17</v>
      </c>
      <c r="I210" s="5">
        <v>9000</v>
      </c>
      <c r="J210" t="s">
        <v>20</v>
      </c>
      <c r="K210" t="s">
        <v>940</v>
      </c>
      <c r="L210" t="s">
        <v>952</v>
      </c>
      <c r="M210" t="s">
        <v>953</v>
      </c>
    </row>
    <row r="211" spans="1:13" x14ac:dyDescent="0.25">
      <c r="A211" t="s">
        <v>442</v>
      </c>
      <c r="B211" t="s">
        <v>353</v>
      </c>
      <c r="C211" t="s">
        <v>24</v>
      </c>
      <c r="D211" t="s">
        <v>12</v>
      </c>
      <c r="E211" t="s">
        <v>4</v>
      </c>
      <c r="F211" s="5">
        <v>81071</v>
      </c>
      <c r="G211" t="s">
        <v>19</v>
      </c>
      <c r="H211" t="s">
        <v>5</v>
      </c>
      <c r="I211" s="5">
        <v>9500</v>
      </c>
      <c r="J211" t="s">
        <v>20</v>
      </c>
      <c r="K211" t="s">
        <v>938</v>
      </c>
      <c r="L211" t="s">
        <v>958</v>
      </c>
      <c r="M211" t="s">
        <v>959</v>
      </c>
    </row>
    <row r="212" spans="1:13" x14ac:dyDescent="0.25">
      <c r="A212" t="s">
        <v>443</v>
      </c>
      <c r="B212" t="s">
        <v>444</v>
      </c>
      <c r="C212" t="s">
        <v>24</v>
      </c>
      <c r="D212" t="s">
        <v>3</v>
      </c>
      <c r="E212" t="s">
        <v>7</v>
      </c>
      <c r="F212" s="5">
        <v>58861</v>
      </c>
      <c r="G212" t="s">
        <v>6</v>
      </c>
      <c r="H212" t="s">
        <v>5</v>
      </c>
      <c r="I212" s="5">
        <v>1500</v>
      </c>
      <c r="J212" t="s">
        <v>20</v>
      </c>
      <c r="K212" t="s">
        <v>939</v>
      </c>
      <c r="L212" t="s">
        <v>955</v>
      </c>
      <c r="M212" t="s">
        <v>956</v>
      </c>
    </row>
    <row r="213" spans="1:13" x14ac:dyDescent="0.25">
      <c r="A213" t="s">
        <v>445</v>
      </c>
      <c r="B213" t="s">
        <v>446</v>
      </c>
      <c r="C213" t="s">
        <v>24</v>
      </c>
      <c r="D213" t="s">
        <v>12</v>
      </c>
      <c r="E213" t="s">
        <v>9</v>
      </c>
      <c r="F213" s="5">
        <v>58980</v>
      </c>
      <c r="G213" t="s">
        <v>6</v>
      </c>
      <c r="H213" t="s">
        <v>5</v>
      </c>
      <c r="I213" s="5">
        <v>1500</v>
      </c>
      <c r="J213" t="s">
        <v>20</v>
      </c>
      <c r="K213" t="s">
        <v>939</v>
      </c>
      <c r="L213" t="s">
        <v>958</v>
      </c>
      <c r="M213" t="s">
        <v>959</v>
      </c>
    </row>
    <row r="214" spans="1:13" x14ac:dyDescent="0.25">
      <c r="A214" t="s">
        <v>447</v>
      </c>
      <c r="B214" t="s">
        <v>448</v>
      </c>
      <c r="C214" t="s">
        <v>24</v>
      </c>
      <c r="D214" t="s">
        <v>3</v>
      </c>
      <c r="E214" t="s">
        <v>4</v>
      </c>
      <c r="F214" s="5">
        <v>59067</v>
      </c>
      <c r="G214" t="s">
        <v>6</v>
      </c>
      <c r="H214" t="s">
        <v>5</v>
      </c>
      <c r="I214" s="5">
        <v>1500</v>
      </c>
      <c r="J214" t="s">
        <v>20</v>
      </c>
      <c r="K214" t="s">
        <v>939</v>
      </c>
      <c r="L214" t="s">
        <v>955</v>
      </c>
      <c r="M214" t="s">
        <v>956</v>
      </c>
    </row>
    <row r="215" spans="1:13" x14ac:dyDescent="0.25">
      <c r="A215" t="s">
        <v>449</v>
      </c>
      <c r="B215" t="s">
        <v>450</v>
      </c>
      <c r="C215" t="s">
        <v>24</v>
      </c>
      <c r="D215" t="s">
        <v>14</v>
      </c>
      <c r="E215" t="s">
        <v>4</v>
      </c>
      <c r="F215" s="5">
        <v>59598</v>
      </c>
      <c r="G215" t="s">
        <v>6</v>
      </c>
      <c r="H215" t="s">
        <v>5</v>
      </c>
      <c r="I215" s="5">
        <v>1500</v>
      </c>
      <c r="J215" t="s">
        <v>20</v>
      </c>
      <c r="K215" t="s">
        <v>939</v>
      </c>
      <c r="L215" t="s">
        <v>952</v>
      </c>
      <c r="M215" t="s">
        <v>953</v>
      </c>
    </row>
    <row r="216" spans="1:13" x14ac:dyDescent="0.25">
      <c r="A216" t="s">
        <v>451</v>
      </c>
      <c r="B216" t="s">
        <v>452</v>
      </c>
      <c r="C216" t="s">
        <v>24</v>
      </c>
      <c r="D216" t="s">
        <v>11</v>
      </c>
      <c r="E216" t="s">
        <v>9</v>
      </c>
      <c r="F216" s="5">
        <v>59897</v>
      </c>
      <c r="G216" t="s">
        <v>6</v>
      </c>
      <c r="H216" t="s">
        <v>5</v>
      </c>
      <c r="I216" s="5">
        <v>1500</v>
      </c>
      <c r="J216" t="s">
        <v>20</v>
      </c>
      <c r="K216" t="s">
        <v>939</v>
      </c>
      <c r="L216" t="s">
        <v>946</v>
      </c>
      <c r="M216" t="s">
        <v>947</v>
      </c>
    </row>
    <row r="217" spans="1:13" x14ac:dyDescent="0.25">
      <c r="A217" t="s">
        <v>453</v>
      </c>
      <c r="B217" t="s">
        <v>454</v>
      </c>
      <c r="C217" t="s">
        <v>24</v>
      </c>
      <c r="D217" t="s">
        <v>12</v>
      </c>
      <c r="E217" t="s">
        <v>13</v>
      </c>
      <c r="F217" s="5">
        <v>58855</v>
      </c>
      <c r="G217" t="s">
        <v>6</v>
      </c>
      <c r="H217" t="s">
        <v>5</v>
      </c>
      <c r="I217" s="5">
        <v>1500</v>
      </c>
      <c r="J217" t="s">
        <v>20</v>
      </c>
      <c r="K217" t="s">
        <v>939</v>
      </c>
      <c r="L217" t="s">
        <v>958</v>
      </c>
      <c r="M217" t="s">
        <v>959</v>
      </c>
    </row>
    <row r="218" spans="1:13" x14ac:dyDescent="0.25">
      <c r="A218" t="s">
        <v>455</v>
      </c>
      <c r="B218" t="s">
        <v>456</v>
      </c>
      <c r="C218" t="s">
        <v>24</v>
      </c>
      <c r="D218" t="s">
        <v>8</v>
      </c>
      <c r="E218" t="s">
        <v>13</v>
      </c>
      <c r="F218" s="5">
        <v>50080</v>
      </c>
      <c r="G218" t="s">
        <v>6</v>
      </c>
      <c r="H218" t="s">
        <v>5</v>
      </c>
      <c r="I218" s="5">
        <v>1500</v>
      </c>
      <c r="J218" t="s">
        <v>20</v>
      </c>
      <c r="K218" t="s">
        <v>939</v>
      </c>
      <c r="L218" t="s">
        <v>949</v>
      </c>
      <c r="M218" t="s">
        <v>950</v>
      </c>
    </row>
    <row r="219" spans="1:13" x14ac:dyDescent="0.25">
      <c r="A219" t="s">
        <v>457</v>
      </c>
      <c r="B219" t="s">
        <v>458</v>
      </c>
      <c r="C219" t="s">
        <v>24</v>
      </c>
      <c r="D219" t="s">
        <v>11</v>
      </c>
      <c r="E219" t="s">
        <v>7</v>
      </c>
      <c r="F219" s="5">
        <v>50091</v>
      </c>
      <c r="G219" t="s">
        <v>6</v>
      </c>
      <c r="H219" t="s">
        <v>5</v>
      </c>
      <c r="I219" s="5">
        <v>1500</v>
      </c>
      <c r="J219" t="s">
        <v>20</v>
      </c>
      <c r="K219" t="s">
        <v>939</v>
      </c>
      <c r="L219" t="s">
        <v>946</v>
      </c>
      <c r="M219" t="s">
        <v>947</v>
      </c>
    </row>
    <row r="220" spans="1:13" x14ac:dyDescent="0.25">
      <c r="A220" t="s">
        <v>459</v>
      </c>
      <c r="B220" t="s">
        <v>460</v>
      </c>
      <c r="C220" t="s">
        <v>24</v>
      </c>
      <c r="D220" t="s">
        <v>14</v>
      </c>
      <c r="E220" t="s">
        <v>7</v>
      </c>
      <c r="F220" s="5">
        <v>50670</v>
      </c>
      <c r="G220" t="s">
        <v>6</v>
      </c>
      <c r="H220" t="s">
        <v>5</v>
      </c>
      <c r="I220" s="5">
        <v>1500</v>
      </c>
      <c r="J220" t="s">
        <v>20</v>
      </c>
      <c r="K220" t="s">
        <v>939</v>
      </c>
      <c r="L220" t="s">
        <v>952</v>
      </c>
      <c r="M220" t="s">
        <v>953</v>
      </c>
    </row>
    <row r="221" spans="1:13" x14ac:dyDescent="0.25">
      <c r="A221" t="s">
        <v>461</v>
      </c>
      <c r="B221" t="s">
        <v>462</v>
      </c>
      <c r="C221" t="s">
        <v>24</v>
      </c>
      <c r="D221" t="s">
        <v>14</v>
      </c>
      <c r="E221" t="s">
        <v>4</v>
      </c>
      <c r="F221" s="5">
        <v>51160</v>
      </c>
      <c r="G221" t="s">
        <v>6</v>
      </c>
      <c r="H221" t="s">
        <v>5</v>
      </c>
      <c r="I221" s="5">
        <v>1500</v>
      </c>
      <c r="J221" t="s">
        <v>20</v>
      </c>
      <c r="K221" t="s">
        <v>939</v>
      </c>
      <c r="L221" t="s">
        <v>952</v>
      </c>
      <c r="M221" t="s">
        <v>953</v>
      </c>
    </row>
    <row r="222" spans="1:13" x14ac:dyDescent="0.25">
      <c r="A222" t="s">
        <v>463</v>
      </c>
      <c r="B222" t="s">
        <v>407</v>
      </c>
      <c r="C222" t="s">
        <v>24</v>
      </c>
      <c r="D222" t="s">
        <v>11</v>
      </c>
      <c r="E222" t="s">
        <v>13</v>
      </c>
      <c r="F222" s="5">
        <v>51340</v>
      </c>
      <c r="G222" t="s">
        <v>6</v>
      </c>
      <c r="H222" t="s">
        <v>5</v>
      </c>
      <c r="I222" s="5">
        <v>1500</v>
      </c>
      <c r="J222" t="s">
        <v>20</v>
      </c>
      <c r="K222" t="s">
        <v>939</v>
      </c>
      <c r="L222" t="s">
        <v>946</v>
      </c>
      <c r="M222" t="s">
        <v>947</v>
      </c>
    </row>
    <row r="223" spans="1:13" x14ac:dyDescent="0.25">
      <c r="A223" t="s">
        <v>464</v>
      </c>
      <c r="B223" t="s">
        <v>465</v>
      </c>
      <c r="C223" t="s">
        <v>24</v>
      </c>
      <c r="D223" t="s">
        <v>11</v>
      </c>
      <c r="E223" t="s">
        <v>7</v>
      </c>
      <c r="F223" s="5">
        <v>51444</v>
      </c>
      <c r="G223" t="s">
        <v>6</v>
      </c>
      <c r="H223" t="s">
        <v>5</v>
      </c>
      <c r="I223" s="5">
        <v>1500</v>
      </c>
      <c r="J223" t="s">
        <v>20</v>
      </c>
      <c r="K223" t="s">
        <v>939</v>
      </c>
      <c r="L223" t="s">
        <v>946</v>
      </c>
      <c r="M223" t="s">
        <v>947</v>
      </c>
    </row>
    <row r="224" spans="1:13" x14ac:dyDescent="0.25">
      <c r="A224" t="s">
        <v>466</v>
      </c>
      <c r="B224" t="s">
        <v>467</v>
      </c>
      <c r="C224" t="s">
        <v>24</v>
      </c>
      <c r="D224" t="s">
        <v>14</v>
      </c>
      <c r="E224" t="s">
        <v>7</v>
      </c>
      <c r="F224" s="5">
        <v>52619</v>
      </c>
      <c r="G224" t="s">
        <v>6</v>
      </c>
      <c r="H224" t="s">
        <v>5</v>
      </c>
      <c r="I224" s="5">
        <v>1500</v>
      </c>
      <c r="J224" t="s">
        <v>20</v>
      </c>
      <c r="K224" t="s">
        <v>939</v>
      </c>
      <c r="L224" t="s">
        <v>952</v>
      </c>
      <c r="M224" t="s">
        <v>953</v>
      </c>
    </row>
    <row r="225" spans="1:13" x14ac:dyDescent="0.25">
      <c r="A225" t="s">
        <v>468</v>
      </c>
      <c r="B225" t="s">
        <v>469</v>
      </c>
      <c r="C225" t="s">
        <v>24</v>
      </c>
      <c r="D225" t="s">
        <v>12</v>
      </c>
      <c r="E225" t="s">
        <v>4</v>
      </c>
      <c r="F225" s="5">
        <v>53871</v>
      </c>
      <c r="G225" t="s">
        <v>6</v>
      </c>
      <c r="H225" t="s">
        <v>5</v>
      </c>
      <c r="I225" s="5">
        <v>1500</v>
      </c>
      <c r="J225" t="s">
        <v>20</v>
      </c>
      <c r="K225" t="s">
        <v>939</v>
      </c>
      <c r="L225" t="s">
        <v>958</v>
      </c>
      <c r="M225" t="s">
        <v>959</v>
      </c>
    </row>
    <row r="226" spans="1:13" x14ac:dyDescent="0.25">
      <c r="A226" t="s">
        <v>470</v>
      </c>
      <c r="B226" t="s">
        <v>471</v>
      </c>
      <c r="C226" t="s">
        <v>24</v>
      </c>
      <c r="D226" t="s">
        <v>3</v>
      </c>
      <c r="E226" t="s">
        <v>4</v>
      </c>
      <c r="F226" s="5">
        <v>53979</v>
      </c>
      <c r="G226" t="s">
        <v>6</v>
      </c>
      <c r="H226" t="s">
        <v>5</v>
      </c>
      <c r="I226" s="5">
        <v>1500</v>
      </c>
      <c r="J226" t="s">
        <v>20</v>
      </c>
      <c r="K226" t="s">
        <v>939</v>
      </c>
      <c r="L226" t="s">
        <v>955</v>
      </c>
      <c r="M226" t="s">
        <v>956</v>
      </c>
    </row>
    <row r="227" spans="1:13" x14ac:dyDescent="0.25">
      <c r="A227" t="s">
        <v>472</v>
      </c>
      <c r="B227" t="s">
        <v>347</v>
      </c>
      <c r="C227" t="s">
        <v>24</v>
      </c>
      <c r="D227" t="s">
        <v>14</v>
      </c>
      <c r="E227" t="s">
        <v>4</v>
      </c>
      <c r="F227" s="5">
        <v>55084</v>
      </c>
      <c r="G227" t="s">
        <v>6</v>
      </c>
      <c r="H227" t="s">
        <v>5</v>
      </c>
      <c r="I227" s="5">
        <v>1500</v>
      </c>
      <c r="J227" t="s">
        <v>20</v>
      </c>
      <c r="K227" t="s">
        <v>939</v>
      </c>
      <c r="L227" t="s">
        <v>952</v>
      </c>
      <c r="M227" t="s">
        <v>953</v>
      </c>
    </row>
    <row r="228" spans="1:13" x14ac:dyDescent="0.25">
      <c r="A228" t="s">
        <v>473</v>
      </c>
      <c r="B228" t="s">
        <v>474</v>
      </c>
      <c r="C228" t="s">
        <v>24</v>
      </c>
      <c r="D228" t="s">
        <v>11</v>
      </c>
      <c r="E228" t="s">
        <v>4</v>
      </c>
      <c r="F228" s="5">
        <v>55377</v>
      </c>
      <c r="G228" t="s">
        <v>6</v>
      </c>
      <c r="H228" t="s">
        <v>5</v>
      </c>
      <c r="I228" s="5">
        <v>1500</v>
      </c>
      <c r="J228" t="s">
        <v>20</v>
      </c>
      <c r="K228" t="s">
        <v>939</v>
      </c>
      <c r="L228" t="s">
        <v>946</v>
      </c>
      <c r="M228" t="s">
        <v>947</v>
      </c>
    </row>
    <row r="229" spans="1:13" x14ac:dyDescent="0.25">
      <c r="A229" t="s">
        <v>475</v>
      </c>
      <c r="B229" t="s">
        <v>476</v>
      </c>
      <c r="C229" t="s">
        <v>24</v>
      </c>
      <c r="D229" t="s">
        <v>8</v>
      </c>
      <c r="E229" t="s">
        <v>4</v>
      </c>
      <c r="F229" s="5">
        <v>56547</v>
      </c>
      <c r="G229" t="s">
        <v>6</v>
      </c>
      <c r="H229" t="s">
        <v>5</v>
      </c>
      <c r="I229" s="5">
        <v>1500</v>
      </c>
      <c r="J229" t="s">
        <v>20</v>
      </c>
      <c r="K229" t="s">
        <v>939</v>
      </c>
      <c r="L229" t="s">
        <v>949</v>
      </c>
      <c r="M229" t="s">
        <v>950</v>
      </c>
    </row>
    <row r="230" spans="1:13" x14ac:dyDescent="0.25">
      <c r="A230" t="s">
        <v>477</v>
      </c>
      <c r="B230" t="s">
        <v>262</v>
      </c>
      <c r="C230" t="s">
        <v>24</v>
      </c>
      <c r="D230" t="s">
        <v>11</v>
      </c>
      <c r="E230" t="s">
        <v>13</v>
      </c>
      <c r="F230" s="5">
        <v>57029</v>
      </c>
      <c r="G230" t="s">
        <v>6</v>
      </c>
      <c r="H230" t="s">
        <v>5</v>
      </c>
      <c r="I230" s="5">
        <v>1500</v>
      </c>
      <c r="J230" t="s">
        <v>20</v>
      </c>
      <c r="K230" t="s">
        <v>939</v>
      </c>
      <c r="L230" t="s">
        <v>946</v>
      </c>
      <c r="M230" t="s">
        <v>947</v>
      </c>
    </row>
    <row r="231" spans="1:13" x14ac:dyDescent="0.25">
      <c r="A231" t="s">
        <v>478</v>
      </c>
      <c r="B231" t="s">
        <v>479</v>
      </c>
      <c r="C231" t="s">
        <v>24</v>
      </c>
      <c r="D231" t="s">
        <v>12</v>
      </c>
      <c r="E231" t="s">
        <v>4</v>
      </c>
      <c r="F231" s="5">
        <v>57741</v>
      </c>
      <c r="G231" t="s">
        <v>6</v>
      </c>
      <c r="H231" t="s">
        <v>5</v>
      </c>
      <c r="I231" s="5">
        <v>1500</v>
      </c>
      <c r="J231" t="s">
        <v>20</v>
      </c>
      <c r="K231" t="s">
        <v>939</v>
      </c>
      <c r="L231" t="s">
        <v>958</v>
      </c>
      <c r="M231" t="s">
        <v>959</v>
      </c>
    </row>
    <row r="232" spans="1:13" x14ac:dyDescent="0.25">
      <c r="A232" t="s">
        <v>480</v>
      </c>
      <c r="B232" t="s">
        <v>481</v>
      </c>
      <c r="C232" t="s">
        <v>24</v>
      </c>
      <c r="D232" t="s">
        <v>11</v>
      </c>
      <c r="E232" t="s">
        <v>13</v>
      </c>
      <c r="F232" s="5">
        <v>58378</v>
      </c>
      <c r="G232" t="s">
        <v>6</v>
      </c>
      <c r="H232" t="s">
        <v>5</v>
      </c>
      <c r="I232" s="5">
        <v>1500</v>
      </c>
      <c r="J232" t="s">
        <v>20</v>
      </c>
      <c r="K232" t="s">
        <v>939</v>
      </c>
      <c r="L232" t="s">
        <v>946</v>
      </c>
      <c r="M232" t="s">
        <v>947</v>
      </c>
    </row>
    <row r="233" spans="1:13" x14ac:dyDescent="0.25">
      <c r="A233" t="s">
        <v>482</v>
      </c>
      <c r="B233" t="s">
        <v>483</v>
      </c>
      <c r="C233" t="s">
        <v>24</v>
      </c>
      <c r="D233" t="s">
        <v>14</v>
      </c>
      <c r="E233" t="s">
        <v>7</v>
      </c>
      <c r="F233" s="5">
        <v>178221</v>
      </c>
      <c r="G233" t="s">
        <v>19</v>
      </c>
      <c r="H233" t="s">
        <v>5</v>
      </c>
      <c r="I233" s="5">
        <v>9500</v>
      </c>
      <c r="J233" t="s">
        <v>20</v>
      </c>
      <c r="K233" t="s">
        <v>941</v>
      </c>
      <c r="L233" t="s">
        <v>952</v>
      </c>
      <c r="M233" t="s">
        <v>953</v>
      </c>
    </row>
    <row r="234" spans="1:13" x14ac:dyDescent="0.25">
      <c r="A234" t="s">
        <v>484</v>
      </c>
      <c r="B234" t="s">
        <v>485</v>
      </c>
      <c r="C234" t="s">
        <v>23</v>
      </c>
      <c r="D234" t="s">
        <v>3</v>
      </c>
      <c r="E234" t="s">
        <v>7</v>
      </c>
      <c r="F234" s="5">
        <v>58751</v>
      </c>
      <c r="G234" t="s">
        <v>6</v>
      </c>
      <c r="H234" t="s">
        <v>5</v>
      </c>
      <c r="I234" s="5">
        <v>1500</v>
      </c>
      <c r="J234" t="s">
        <v>20</v>
      </c>
      <c r="K234" t="s">
        <v>939</v>
      </c>
      <c r="L234" t="s">
        <v>955</v>
      </c>
      <c r="M234" t="s">
        <v>956</v>
      </c>
    </row>
    <row r="235" spans="1:13" x14ac:dyDescent="0.25">
      <c r="A235" t="s">
        <v>486</v>
      </c>
      <c r="B235" t="s">
        <v>312</v>
      </c>
      <c r="C235" t="s">
        <v>23</v>
      </c>
      <c r="D235" t="s">
        <v>8</v>
      </c>
      <c r="E235" t="s">
        <v>13</v>
      </c>
      <c r="F235" s="5">
        <v>57869</v>
      </c>
      <c r="G235" t="s">
        <v>6</v>
      </c>
      <c r="H235" t="s">
        <v>5</v>
      </c>
      <c r="I235" s="5">
        <v>1500</v>
      </c>
      <c r="J235" t="s">
        <v>20</v>
      </c>
      <c r="K235" t="s">
        <v>939</v>
      </c>
      <c r="L235" t="s">
        <v>949</v>
      </c>
      <c r="M235" t="s">
        <v>950</v>
      </c>
    </row>
    <row r="236" spans="1:13" x14ac:dyDescent="0.25">
      <c r="A236" t="s">
        <v>487</v>
      </c>
      <c r="B236" t="s">
        <v>209</v>
      </c>
      <c r="C236" t="s">
        <v>23</v>
      </c>
      <c r="D236" t="s">
        <v>3</v>
      </c>
      <c r="E236" t="s">
        <v>9</v>
      </c>
      <c r="F236" s="5">
        <v>51178</v>
      </c>
      <c r="G236" t="s">
        <v>6</v>
      </c>
      <c r="H236" t="s">
        <v>5</v>
      </c>
      <c r="I236" s="5">
        <v>1500</v>
      </c>
      <c r="J236" t="s">
        <v>20</v>
      </c>
      <c r="K236" t="s">
        <v>939</v>
      </c>
      <c r="L236" t="s">
        <v>955</v>
      </c>
      <c r="M236" t="s">
        <v>956</v>
      </c>
    </row>
    <row r="237" spans="1:13" x14ac:dyDescent="0.25">
      <c r="A237" t="s">
        <v>488</v>
      </c>
      <c r="B237" t="s">
        <v>489</v>
      </c>
      <c r="C237" t="s">
        <v>23</v>
      </c>
      <c r="D237" t="s">
        <v>14</v>
      </c>
      <c r="E237" t="s">
        <v>7</v>
      </c>
      <c r="F237" s="5">
        <v>51211</v>
      </c>
      <c r="G237" t="s">
        <v>6</v>
      </c>
      <c r="H237" t="s">
        <v>5</v>
      </c>
      <c r="I237" s="5">
        <v>1500</v>
      </c>
      <c r="J237" t="s">
        <v>20</v>
      </c>
      <c r="K237" t="s">
        <v>939</v>
      </c>
      <c r="L237" t="s">
        <v>952</v>
      </c>
      <c r="M237" t="s">
        <v>953</v>
      </c>
    </row>
    <row r="238" spans="1:13" x14ac:dyDescent="0.25">
      <c r="A238" t="s">
        <v>490</v>
      </c>
      <c r="B238" t="s">
        <v>183</v>
      </c>
      <c r="C238" t="s">
        <v>23</v>
      </c>
      <c r="D238" t="s">
        <v>11</v>
      </c>
      <c r="E238" t="s">
        <v>13</v>
      </c>
      <c r="F238" s="5">
        <v>52575</v>
      </c>
      <c r="G238" t="s">
        <v>6</v>
      </c>
      <c r="H238" t="s">
        <v>5</v>
      </c>
      <c r="I238" s="5">
        <v>1500</v>
      </c>
      <c r="J238" t="s">
        <v>20</v>
      </c>
      <c r="K238" t="s">
        <v>939</v>
      </c>
      <c r="L238" t="s">
        <v>946</v>
      </c>
      <c r="M238" t="s">
        <v>947</v>
      </c>
    </row>
    <row r="239" spans="1:13" x14ac:dyDescent="0.25">
      <c r="A239" t="s">
        <v>491</v>
      </c>
      <c r="B239" t="s">
        <v>492</v>
      </c>
      <c r="C239" t="s">
        <v>23</v>
      </c>
      <c r="D239" t="s">
        <v>14</v>
      </c>
      <c r="E239" t="s">
        <v>7</v>
      </c>
      <c r="F239" s="5">
        <v>53609</v>
      </c>
      <c r="G239" t="s">
        <v>6</v>
      </c>
      <c r="H239" t="s">
        <v>5</v>
      </c>
      <c r="I239" s="5">
        <v>1500</v>
      </c>
      <c r="J239" t="s">
        <v>20</v>
      </c>
      <c r="K239" t="s">
        <v>939</v>
      </c>
      <c r="L239" t="s">
        <v>952</v>
      </c>
      <c r="M239" t="s">
        <v>953</v>
      </c>
    </row>
    <row r="240" spans="1:13" x14ac:dyDescent="0.25">
      <c r="A240" t="s">
        <v>493</v>
      </c>
      <c r="B240" t="s">
        <v>494</v>
      </c>
      <c r="C240" t="s">
        <v>23</v>
      </c>
      <c r="D240" t="s">
        <v>12</v>
      </c>
      <c r="E240" t="s">
        <v>4</v>
      </c>
      <c r="F240" s="5">
        <v>56204</v>
      </c>
      <c r="G240" t="s">
        <v>6</v>
      </c>
      <c r="H240" t="s">
        <v>5</v>
      </c>
      <c r="I240" s="5">
        <v>1500</v>
      </c>
      <c r="J240" t="s">
        <v>20</v>
      </c>
      <c r="K240" t="s">
        <v>939</v>
      </c>
      <c r="L240" t="s">
        <v>958</v>
      </c>
      <c r="M240" t="s">
        <v>959</v>
      </c>
    </row>
    <row r="241" spans="1:13" x14ac:dyDescent="0.25">
      <c r="A241" t="s">
        <v>495</v>
      </c>
      <c r="B241" t="s">
        <v>496</v>
      </c>
      <c r="C241" t="s">
        <v>23</v>
      </c>
      <c r="D241" t="s">
        <v>11</v>
      </c>
      <c r="E241" t="s">
        <v>7</v>
      </c>
      <c r="F241" s="5">
        <v>56431</v>
      </c>
      <c r="G241" t="s">
        <v>6</v>
      </c>
      <c r="H241" t="s">
        <v>5</v>
      </c>
      <c r="I241" s="5">
        <v>1500</v>
      </c>
      <c r="J241" t="s">
        <v>20</v>
      </c>
      <c r="K241" t="s">
        <v>939</v>
      </c>
      <c r="L241" t="s">
        <v>946</v>
      </c>
      <c r="M241" t="s">
        <v>947</v>
      </c>
    </row>
    <row r="242" spans="1:13" x14ac:dyDescent="0.25">
      <c r="A242" t="s">
        <v>497</v>
      </c>
      <c r="B242" t="s">
        <v>498</v>
      </c>
      <c r="C242" t="s">
        <v>23</v>
      </c>
      <c r="D242" t="s">
        <v>8</v>
      </c>
      <c r="E242" t="s">
        <v>7</v>
      </c>
      <c r="F242" s="5">
        <v>56839</v>
      </c>
      <c r="G242" t="s">
        <v>6</v>
      </c>
      <c r="H242" t="s">
        <v>5</v>
      </c>
      <c r="I242" s="5">
        <v>1500</v>
      </c>
      <c r="J242" t="s">
        <v>20</v>
      </c>
      <c r="K242" t="s">
        <v>939</v>
      </c>
      <c r="L242" t="s">
        <v>949</v>
      </c>
      <c r="M242" t="s">
        <v>950</v>
      </c>
    </row>
    <row r="243" spans="1:13" x14ac:dyDescent="0.25">
      <c r="A243" t="s">
        <v>499</v>
      </c>
      <c r="B243" t="s">
        <v>500</v>
      </c>
      <c r="C243" t="s">
        <v>23</v>
      </c>
      <c r="D243" t="s">
        <v>11</v>
      </c>
      <c r="E243" t="s">
        <v>7</v>
      </c>
      <c r="F243" s="5">
        <v>57167</v>
      </c>
      <c r="G243" t="s">
        <v>6</v>
      </c>
      <c r="H243" t="s">
        <v>5</v>
      </c>
      <c r="I243" s="5">
        <v>1500</v>
      </c>
      <c r="J243" t="s">
        <v>20</v>
      </c>
      <c r="K243" t="s">
        <v>939</v>
      </c>
      <c r="L243" t="s">
        <v>946</v>
      </c>
      <c r="M243" t="s">
        <v>947</v>
      </c>
    </row>
    <row r="244" spans="1:13" x14ac:dyDescent="0.25">
      <c r="A244" t="s">
        <v>501</v>
      </c>
      <c r="B244" t="s">
        <v>133</v>
      </c>
      <c r="C244" t="s">
        <v>23</v>
      </c>
      <c r="D244" t="s">
        <v>8</v>
      </c>
      <c r="E244" t="s">
        <v>13</v>
      </c>
      <c r="F244" s="5">
        <v>57606</v>
      </c>
      <c r="G244" t="s">
        <v>6</v>
      </c>
      <c r="H244" t="s">
        <v>5</v>
      </c>
      <c r="I244" s="5">
        <v>1500</v>
      </c>
      <c r="J244" t="s">
        <v>20</v>
      </c>
      <c r="K244" t="s">
        <v>939</v>
      </c>
      <c r="L244" t="s">
        <v>949</v>
      </c>
      <c r="M244" t="s">
        <v>950</v>
      </c>
    </row>
    <row r="245" spans="1:13" x14ac:dyDescent="0.25">
      <c r="A245" t="s">
        <v>502</v>
      </c>
      <c r="B245" t="s">
        <v>503</v>
      </c>
      <c r="C245" t="s">
        <v>23</v>
      </c>
      <c r="D245" t="s">
        <v>8</v>
      </c>
      <c r="E245" t="s">
        <v>9</v>
      </c>
      <c r="F245" s="5">
        <v>156159</v>
      </c>
      <c r="G245" t="s">
        <v>19</v>
      </c>
      <c r="H245" t="s">
        <v>5</v>
      </c>
      <c r="I245" s="5">
        <v>9500</v>
      </c>
      <c r="J245" t="s">
        <v>20</v>
      </c>
      <c r="K245" t="s">
        <v>941</v>
      </c>
      <c r="L245" t="s">
        <v>949</v>
      </c>
      <c r="M245" t="s">
        <v>950</v>
      </c>
    </row>
    <row r="246" spans="1:13" x14ac:dyDescent="0.25">
      <c r="A246" t="s">
        <v>504</v>
      </c>
      <c r="B246" t="s">
        <v>505</v>
      </c>
      <c r="C246" t="s">
        <v>23</v>
      </c>
      <c r="D246" t="s">
        <v>8</v>
      </c>
      <c r="E246" t="s">
        <v>9</v>
      </c>
      <c r="F246" s="5">
        <v>151119</v>
      </c>
      <c r="G246" t="s">
        <v>19</v>
      </c>
      <c r="H246" t="s">
        <v>5</v>
      </c>
      <c r="I246" s="5">
        <v>9500</v>
      </c>
      <c r="J246" t="s">
        <v>20</v>
      </c>
      <c r="K246" t="s">
        <v>940</v>
      </c>
      <c r="L246" t="s">
        <v>949</v>
      </c>
      <c r="M246" t="s">
        <v>950</v>
      </c>
    </row>
    <row r="247" spans="1:13" x14ac:dyDescent="0.25">
      <c r="A247" t="s">
        <v>506</v>
      </c>
      <c r="B247" t="s">
        <v>241</v>
      </c>
      <c r="C247" t="s">
        <v>23</v>
      </c>
      <c r="D247" t="s">
        <v>3</v>
      </c>
      <c r="E247" t="s">
        <v>13</v>
      </c>
      <c r="F247" s="5">
        <v>127734</v>
      </c>
      <c r="G247" t="s">
        <v>19</v>
      </c>
      <c r="H247" t="s">
        <v>5</v>
      </c>
      <c r="I247" s="5">
        <v>9500</v>
      </c>
      <c r="J247" t="s">
        <v>20</v>
      </c>
      <c r="K247" t="s">
        <v>940</v>
      </c>
      <c r="L247" t="s">
        <v>955</v>
      </c>
      <c r="M247" t="s">
        <v>956</v>
      </c>
    </row>
    <row r="248" spans="1:13" x14ac:dyDescent="0.25">
      <c r="A248" t="s">
        <v>507</v>
      </c>
      <c r="B248" t="s">
        <v>407</v>
      </c>
      <c r="C248" t="s">
        <v>23</v>
      </c>
      <c r="D248" t="s">
        <v>11</v>
      </c>
      <c r="E248" t="s">
        <v>9</v>
      </c>
      <c r="F248" s="5">
        <v>157220</v>
      </c>
      <c r="G248" t="s">
        <v>19</v>
      </c>
      <c r="H248" t="s">
        <v>17</v>
      </c>
      <c r="I248" s="5">
        <v>9000</v>
      </c>
      <c r="J248" t="s">
        <v>20</v>
      </c>
      <c r="K248" t="s">
        <v>941</v>
      </c>
      <c r="L248" t="s">
        <v>946</v>
      </c>
      <c r="M248" t="s">
        <v>947</v>
      </c>
    </row>
    <row r="249" spans="1:13" x14ac:dyDescent="0.25">
      <c r="A249" t="s">
        <v>508</v>
      </c>
      <c r="B249" t="s">
        <v>509</v>
      </c>
      <c r="C249" t="s">
        <v>23</v>
      </c>
      <c r="D249" t="s">
        <v>8</v>
      </c>
      <c r="E249" t="s">
        <v>13</v>
      </c>
      <c r="F249" s="5">
        <v>157372</v>
      </c>
      <c r="G249" t="s">
        <v>19</v>
      </c>
      <c r="H249" t="s">
        <v>17</v>
      </c>
      <c r="I249" s="5">
        <v>9000</v>
      </c>
      <c r="J249" t="s">
        <v>20</v>
      </c>
      <c r="K249" t="s">
        <v>941</v>
      </c>
      <c r="L249" t="s">
        <v>949</v>
      </c>
      <c r="M249" t="s">
        <v>950</v>
      </c>
    </row>
    <row r="250" spans="1:13" x14ac:dyDescent="0.25">
      <c r="A250" t="s">
        <v>510</v>
      </c>
      <c r="B250" t="s">
        <v>211</v>
      </c>
      <c r="C250" t="s">
        <v>23</v>
      </c>
      <c r="D250" t="s">
        <v>14</v>
      </c>
      <c r="E250" t="s">
        <v>9</v>
      </c>
      <c r="F250" s="5">
        <v>159056</v>
      </c>
      <c r="G250" t="s">
        <v>19</v>
      </c>
      <c r="H250" t="s">
        <v>17</v>
      </c>
      <c r="I250" s="5">
        <v>9000</v>
      </c>
      <c r="J250" t="s">
        <v>20</v>
      </c>
      <c r="K250" t="s">
        <v>941</v>
      </c>
      <c r="L250" t="s">
        <v>952</v>
      </c>
      <c r="M250" t="s">
        <v>953</v>
      </c>
    </row>
    <row r="251" spans="1:13" x14ac:dyDescent="0.25">
      <c r="A251" t="s">
        <v>511</v>
      </c>
      <c r="B251" t="s">
        <v>512</v>
      </c>
      <c r="C251" t="s">
        <v>23</v>
      </c>
      <c r="D251" t="s">
        <v>3</v>
      </c>
      <c r="E251" t="s">
        <v>7</v>
      </c>
      <c r="F251" s="5">
        <v>160422</v>
      </c>
      <c r="G251" t="s">
        <v>19</v>
      </c>
      <c r="H251" t="s">
        <v>17</v>
      </c>
      <c r="I251" s="5">
        <v>9000</v>
      </c>
      <c r="J251" t="s">
        <v>20</v>
      </c>
      <c r="K251" t="s">
        <v>941</v>
      </c>
      <c r="L251" t="s">
        <v>955</v>
      </c>
      <c r="M251" t="s">
        <v>956</v>
      </c>
    </row>
    <row r="252" spans="1:13" x14ac:dyDescent="0.25">
      <c r="A252" t="s">
        <v>513</v>
      </c>
      <c r="B252" t="s">
        <v>514</v>
      </c>
      <c r="C252" t="s">
        <v>23</v>
      </c>
      <c r="D252" t="s">
        <v>8</v>
      </c>
      <c r="E252" t="s">
        <v>9</v>
      </c>
      <c r="F252" s="5">
        <v>163059</v>
      </c>
      <c r="G252" t="s">
        <v>16</v>
      </c>
      <c r="H252" t="s">
        <v>17</v>
      </c>
      <c r="I252" s="5">
        <v>6750</v>
      </c>
      <c r="J252" t="s">
        <v>20</v>
      </c>
      <c r="K252" t="s">
        <v>941</v>
      </c>
      <c r="L252" t="s">
        <v>949</v>
      </c>
      <c r="M252" t="s">
        <v>950</v>
      </c>
    </row>
    <row r="253" spans="1:13" x14ac:dyDescent="0.25">
      <c r="A253" t="s">
        <v>515</v>
      </c>
      <c r="B253" t="s">
        <v>516</v>
      </c>
      <c r="C253" t="s">
        <v>23</v>
      </c>
      <c r="D253" t="s">
        <v>12</v>
      </c>
      <c r="E253" t="s">
        <v>4</v>
      </c>
      <c r="F253" s="5">
        <v>165104</v>
      </c>
      <c r="G253" t="s">
        <v>16</v>
      </c>
      <c r="H253" t="s">
        <v>17</v>
      </c>
      <c r="I253" s="5">
        <v>6750</v>
      </c>
      <c r="J253" t="s">
        <v>20</v>
      </c>
      <c r="K253" t="s">
        <v>941</v>
      </c>
      <c r="L253" t="s">
        <v>958</v>
      </c>
      <c r="M253" t="s">
        <v>959</v>
      </c>
    </row>
    <row r="254" spans="1:13" x14ac:dyDescent="0.25">
      <c r="A254" t="s">
        <v>517</v>
      </c>
      <c r="B254" t="s">
        <v>518</v>
      </c>
      <c r="C254" t="s">
        <v>23</v>
      </c>
      <c r="D254" t="s">
        <v>12</v>
      </c>
      <c r="E254" t="s">
        <v>7</v>
      </c>
      <c r="F254" s="5">
        <v>165483</v>
      </c>
      <c r="G254" t="s">
        <v>19</v>
      </c>
      <c r="H254" t="s">
        <v>17</v>
      </c>
      <c r="I254" s="5">
        <v>9000</v>
      </c>
      <c r="J254" t="s">
        <v>20</v>
      </c>
      <c r="K254" t="s">
        <v>941</v>
      </c>
      <c r="L254" t="s">
        <v>958</v>
      </c>
      <c r="M254" t="s">
        <v>959</v>
      </c>
    </row>
    <row r="255" spans="1:13" x14ac:dyDescent="0.25">
      <c r="A255" t="s">
        <v>519</v>
      </c>
      <c r="B255" t="s">
        <v>520</v>
      </c>
      <c r="C255" t="s">
        <v>23</v>
      </c>
      <c r="D255" t="s">
        <v>12</v>
      </c>
      <c r="E255" t="s">
        <v>4</v>
      </c>
      <c r="F255" s="5">
        <v>165710</v>
      </c>
      <c r="G255" t="s">
        <v>19</v>
      </c>
      <c r="H255" t="s">
        <v>17</v>
      </c>
      <c r="I255" s="5">
        <v>9000</v>
      </c>
      <c r="J255" t="s">
        <v>20</v>
      </c>
      <c r="K255" t="s">
        <v>941</v>
      </c>
      <c r="L255" t="s">
        <v>958</v>
      </c>
      <c r="M255" t="s">
        <v>959</v>
      </c>
    </row>
    <row r="256" spans="1:13" x14ac:dyDescent="0.25">
      <c r="A256" t="s">
        <v>521</v>
      </c>
      <c r="B256" t="s">
        <v>522</v>
      </c>
      <c r="C256" t="s">
        <v>23</v>
      </c>
      <c r="D256" t="s">
        <v>11</v>
      </c>
      <c r="E256" t="s">
        <v>4</v>
      </c>
      <c r="F256" s="5">
        <v>156359</v>
      </c>
      <c r="G256" t="s">
        <v>19</v>
      </c>
      <c r="H256" t="s">
        <v>17</v>
      </c>
      <c r="I256" s="5">
        <v>9000</v>
      </c>
      <c r="J256" t="s">
        <v>20</v>
      </c>
      <c r="K256" t="s">
        <v>941</v>
      </c>
      <c r="L256" t="s">
        <v>946</v>
      </c>
      <c r="M256" t="s">
        <v>947</v>
      </c>
    </row>
    <row r="257" spans="1:13" x14ac:dyDescent="0.25">
      <c r="A257" t="s">
        <v>523</v>
      </c>
      <c r="B257" t="s">
        <v>524</v>
      </c>
      <c r="C257" t="s">
        <v>23</v>
      </c>
      <c r="D257" t="s">
        <v>12</v>
      </c>
      <c r="E257" t="s">
        <v>13</v>
      </c>
      <c r="F257" s="5">
        <v>166113</v>
      </c>
      <c r="G257" t="s">
        <v>19</v>
      </c>
      <c r="H257" t="s">
        <v>17</v>
      </c>
      <c r="I257" s="5">
        <v>9000</v>
      </c>
      <c r="J257" t="s">
        <v>20</v>
      </c>
      <c r="K257" t="s">
        <v>941</v>
      </c>
      <c r="L257" t="s">
        <v>958</v>
      </c>
      <c r="M257" t="s">
        <v>959</v>
      </c>
    </row>
    <row r="258" spans="1:13" x14ac:dyDescent="0.25">
      <c r="A258" t="s">
        <v>525</v>
      </c>
      <c r="B258" t="s">
        <v>526</v>
      </c>
      <c r="C258" t="s">
        <v>23</v>
      </c>
      <c r="D258" t="s">
        <v>8</v>
      </c>
      <c r="E258" t="s">
        <v>7</v>
      </c>
      <c r="F258" s="5">
        <v>155897</v>
      </c>
      <c r="G258" t="s">
        <v>19</v>
      </c>
      <c r="H258" t="s">
        <v>17</v>
      </c>
      <c r="I258" s="5">
        <v>9000</v>
      </c>
      <c r="J258" t="s">
        <v>20</v>
      </c>
      <c r="K258" t="s">
        <v>941</v>
      </c>
      <c r="L258" t="s">
        <v>949</v>
      </c>
      <c r="M258" t="s">
        <v>950</v>
      </c>
    </row>
    <row r="259" spans="1:13" x14ac:dyDescent="0.25">
      <c r="A259" t="s">
        <v>527</v>
      </c>
      <c r="B259" t="s">
        <v>528</v>
      </c>
      <c r="C259" t="s">
        <v>23</v>
      </c>
      <c r="D259" t="s">
        <v>11</v>
      </c>
      <c r="E259" t="s">
        <v>13</v>
      </c>
      <c r="F259" s="5">
        <v>144928</v>
      </c>
      <c r="G259" t="s">
        <v>16</v>
      </c>
      <c r="H259" t="s">
        <v>17</v>
      </c>
      <c r="I259" s="5">
        <v>6750</v>
      </c>
      <c r="J259" t="s">
        <v>20</v>
      </c>
      <c r="K259" t="s">
        <v>940</v>
      </c>
      <c r="L259" t="s">
        <v>946</v>
      </c>
      <c r="M259" t="s">
        <v>947</v>
      </c>
    </row>
    <row r="260" spans="1:13" x14ac:dyDescent="0.25">
      <c r="A260" t="s">
        <v>529</v>
      </c>
      <c r="B260" t="s">
        <v>530</v>
      </c>
      <c r="C260" t="s">
        <v>23</v>
      </c>
      <c r="D260" t="s">
        <v>8</v>
      </c>
      <c r="E260" t="s">
        <v>13</v>
      </c>
      <c r="F260" s="5">
        <v>146628</v>
      </c>
      <c r="G260" t="s">
        <v>19</v>
      </c>
      <c r="H260" t="s">
        <v>17</v>
      </c>
      <c r="I260" s="5">
        <v>9000</v>
      </c>
      <c r="J260" t="s">
        <v>20</v>
      </c>
      <c r="K260" t="s">
        <v>940</v>
      </c>
      <c r="L260" t="s">
        <v>949</v>
      </c>
      <c r="M260" t="s">
        <v>950</v>
      </c>
    </row>
    <row r="261" spans="1:13" x14ac:dyDescent="0.25">
      <c r="A261" t="s">
        <v>531</v>
      </c>
      <c r="B261" t="s">
        <v>532</v>
      </c>
      <c r="C261" t="s">
        <v>23</v>
      </c>
      <c r="D261" t="s">
        <v>14</v>
      </c>
      <c r="E261" t="s">
        <v>4</v>
      </c>
      <c r="F261" s="5">
        <v>147283</v>
      </c>
      <c r="G261" t="s">
        <v>19</v>
      </c>
      <c r="H261" t="s">
        <v>17</v>
      </c>
      <c r="I261" s="5">
        <v>9000</v>
      </c>
      <c r="J261" t="s">
        <v>20</v>
      </c>
      <c r="K261" t="s">
        <v>940</v>
      </c>
      <c r="L261" t="s">
        <v>952</v>
      </c>
      <c r="M261" t="s">
        <v>953</v>
      </c>
    </row>
    <row r="262" spans="1:13" x14ac:dyDescent="0.25">
      <c r="A262" t="s">
        <v>533</v>
      </c>
      <c r="B262" t="s">
        <v>201</v>
      </c>
      <c r="C262" t="s">
        <v>23</v>
      </c>
      <c r="D262" t="s">
        <v>12</v>
      </c>
      <c r="E262" t="s">
        <v>9</v>
      </c>
      <c r="F262" s="5">
        <v>147707</v>
      </c>
      <c r="G262" t="s">
        <v>19</v>
      </c>
      <c r="H262" t="s">
        <v>17</v>
      </c>
      <c r="I262" s="5">
        <v>9000</v>
      </c>
      <c r="J262" t="s">
        <v>20</v>
      </c>
      <c r="K262" t="s">
        <v>940</v>
      </c>
      <c r="L262" t="s">
        <v>958</v>
      </c>
      <c r="M262" t="s">
        <v>959</v>
      </c>
    </row>
    <row r="263" spans="1:13" x14ac:dyDescent="0.25">
      <c r="A263" t="s">
        <v>534</v>
      </c>
      <c r="B263" t="s">
        <v>535</v>
      </c>
      <c r="C263" t="s">
        <v>23</v>
      </c>
      <c r="D263" t="s">
        <v>3</v>
      </c>
      <c r="E263" t="s">
        <v>7</v>
      </c>
      <c r="F263" s="5">
        <v>147856</v>
      </c>
      <c r="G263" t="s">
        <v>19</v>
      </c>
      <c r="H263" t="s">
        <v>17</v>
      </c>
      <c r="I263" s="5">
        <v>9000</v>
      </c>
      <c r="J263" t="s">
        <v>20</v>
      </c>
      <c r="K263" t="s">
        <v>940</v>
      </c>
      <c r="L263" t="s">
        <v>955</v>
      </c>
      <c r="M263" t="s">
        <v>956</v>
      </c>
    </row>
    <row r="264" spans="1:13" x14ac:dyDescent="0.25">
      <c r="A264" t="s">
        <v>536</v>
      </c>
      <c r="B264" t="s">
        <v>537</v>
      </c>
      <c r="C264" t="s">
        <v>23</v>
      </c>
      <c r="D264" t="s">
        <v>3</v>
      </c>
      <c r="E264" t="s">
        <v>7</v>
      </c>
      <c r="F264" s="5">
        <v>149006</v>
      </c>
      <c r="G264" t="s">
        <v>19</v>
      </c>
      <c r="H264" t="s">
        <v>17</v>
      </c>
      <c r="I264" s="5">
        <v>9000</v>
      </c>
      <c r="J264" t="s">
        <v>20</v>
      </c>
      <c r="K264" t="s">
        <v>940</v>
      </c>
      <c r="L264" t="s">
        <v>955</v>
      </c>
      <c r="M264" t="s">
        <v>956</v>
      </c>
    </row>
    <row r="265" spans="1:13" x14ac:dyDescent="0.25">
      <c r="A265" t="s">
        <v>538</v>
      </c>
      <c r="B265" t="s">
        <v>539</v>
      </c>
      <c r="C265" t="s">
        <v>23</v>
      </c>
      <c r="D265" t="s">
        <v>3</v>
      </c>
      <c r="E265" t="s">
        <v>4</v>
      </c>
      <c r="F265" s="5">
        <v>149546</v>
      </c>
      <c r="G265" t="s">
        <v>19</v>
      </c>
      <c r="H265" t="s">
        <v>17</v>
      </c>
      <c r="I265" s="5">
        <v>9000</v>
      </c>
      <c r="J265" t="s">
        <v>20</v>
      </c>
      <c r="K265" t="s">
        <v>940</v>
      </c>
      <c r="L265" t="s">
        <v>955</v>
      </c>
      <c r="M265" t="s">
        <v>956</v>
      </c>
    </row>
    <row r="266" spans="1:13" x14ac:dyDescent="0.25">
      <c r="A266" t="s">
        <v>540</v>
      </c>
      <c r="B266" t="s">
        <v>351</v>
      </c>
      <c r="C266" t="s">
        <v>23</v>
      </c>
      <c r="D266" t="s">
        <v>3</v>
      </c>
      <c r="E266" t="s">
        <v>4</v>
      </c>
      <c r="F266" s="5">
        <v>151206</v>
      </c>
      <c r="G266" t="s">
        <v>19</v>
      </c>
      <c r="H266" t="s">
        <v>17</v>
      </c>
      <c r="I266" s="5">
        <v>9000</v>
      </c>
      <c r="J266" t="s">
        <v>20</v>
      </c>
      <c r="K266" t="s">
        <v>940</v>
      </c>
      <c r="L266" t="s">
        <v>955</v>
      </c>
      <c r="M266" t="s">
        <v>956</v>
      </c>
    </row>
    <row r="267" spans="1:13" x14ac:dyDescent="0.25">
      <c r="A267" t="s">
        <v>541</v>
      </c>
      <c r="B267" t="s">
        <v>542</v>
      </c>
      <c r="C267" t="s">
        <v>23</v>
      </c>
      <c r="D267" t="s">
        <v>14</v>
      </c>
      <c r="E267" t="s">
        <v>7</v>
      </c>
      <c r="F267" s="5">
        <v>152013</v>
      </c>
      <c r="G267" t="s">
        <v>16</v>
      </c>
      <c r="H267" t="s">
        <v>17</v>
      </c>
      <c r="I267" s="5">
        <v>6750</v>
      </c>
      <c r="J267" t="s">
        <v>20</v>
      </c>
      <c r="K267" t="s">
        <v>940</v>
      </c>
      <c r="L267" t="s">
        <v>952</v>
      </c>
      <c r="M267" t="s">
        <v>953</v>
      </c>
    </row>
    <row r="268" spans="1:13" x14ac:dyDescent="0.25">
      <c r="A268" t="s">
        <v>543</v>
      </c>
      <c r="B268" t="s">
        <v>544</v>
      </c>
      <c r="C268" t="s">
        <v>23</v>
      </c>
      <c r="D268" t="s">
        <v>12</v>
      </c>
      <c r="E268" t="s">
        <v>13</v>
      </c>
      <c r="F268" s="5">
        <v>154199</v>
      </c>
      <c r="G268" t="s">
        <v>19</v>
      </c>
      <c r="H268" t="s">
        <v>17</v>
      </c>
      <c r="I268" s="5">
        <v>9000</v>
      </c>
      <c r="J268" t="s">
        <v>20</v>
      </c>
      <c r="K268" t="s">
        <v>941</v>
      </c>
      <c r="L268" t="s">
        <v>958</v>
      </c>
      <c r="M268" t="s">
        <v>959</v>
      </c>
    </row>
    <row r="269" spans="1:13" x14ac:dyDescent="0.25">
      <c r="A269" t="s">
        <v>545</v>
      </c>
      <c r="B269" t="s">
        <v>59</v>
      </c>
      <c r="C269" t="s">
        <v>23</v>
      </c>
      <c r="D269" t="s">
        <v>3</v>
      </c>
      <c r="E269" t="s">
        <v>7</v>
      </c>
      <c r="F269" s="5">
        <v>166295</v>
      </c>
      <c r="G269" t="s">
        <v>19</v>
      </c>
      <c r="H269" t="s">
        <v>17</v>
      </c>
      <c r="I269" s="5">
        <v>9000</v>
      </c>
      <c r="J269" t="s">
        <v>20</v>
      </c>
      <c r="K269" t="s">
        <v>941</v>
      </c>
      <c r="L269" t="s">
        <v>955</v>
      </c>
      <c r="M269" t="s">
        <v>956</v>
      </c>
    </row>
    <row r="270" spans="1:13" x14ac:dyDescent="0.25">
      <c r="A270" t="s">
        <v>546</v>
      </c>
      <c r="B270" t="s">
        <v>547</v>
      </c>
      <c r="C270" t="s">
        <v>23</v>
      </c>
      <c r="D270" t="s">
        <v>12</v>
      </c>
      <c r="E270" t="s">
        <v>9</v>
      </c>
      <c r="F270" s="5">
        <v>167184</v>
      </c>
      <c r="G270" t="s">
        <v>16</v>
      </c>
      <c r="H270" t="s">
        <v>17</v>
      </c>
      <c r="I270" s="5">
        <v>6750</v>
      </c>
      <c r="J270" t="s">
        <v>20</v>
      </c>
      <c r="K270" t="s">
        <v>941</v>
      </c>
      <c r="L270" t="s">
        <v>958</v>
      </c>
      <c r="M270" t="s">
        <v>959</v>
      </c>
    </row>
    <row r="271" spans="1:13" x14ac:dyDescent="0.25">
      <c r="A271" t="s">
        <v>548</v>
      </c>
      <c r="B271" t="s">
        <v>549</v>
      </c>
      <c r="C271" t="s">
        <v>23</v>
      </c>
      <c r="D271" t="s">
        <v>11</v>
      </c>
      <c r="E271" t="s">
        <v>13</v>
      </c>
      <c r="F271" s="5">
        <v>186367</v>
      </c>
      <c r="G271" t="s">
        <v>19</v>
      </c>
      <c r="H271" t="s">
        <v>17</v>
      </c>
      <c r="I271" s="5">
        <v>9000</v>
      </c>
      <c r="J271" t="s">
        <v>20</v>
      </c>
      <c r="K271" t="s">
        <v>941</v>
      </c>
      <c r="L271" t="s">
        <v>946</v>
      </c>
      <c r="M271" t="s">
        <v>947</v>
      </c>
    </row>
    <row r="272" spans="1:13" x14ac:dyDescent="0.25">
      <c r="A272" t="s">
        <v>550</v>
      </c>
      <c r="B272" t="s">
        <v>551</v>
      </c>
      <c r="C272" t="s">
        <v>23</v>
      </c>
      <c r="D272" t="s">
        <v>14</v>
      </c>
      <c r="E272" t="s">
        <v>9</v>
      </c>
      <c r="F272" s="5">
        <v>186750</v>
      </c>
      <c r="G272" t="s">
        <v>16</v>
      </c>
      <c r="H272" t="s">
        <v>17</v>
      </c>
      <c r="I272" s="5">
        <v>6750</v>
      </c>
      <c r="J272" t="s">
        <v>20</v>
      </c>
      <c r="K272" t="s">
        <v>941</v>
      </c>
      <c r="L272" t="s">
        <v>952</v>
      </c>
      <c r="M272" t="s">
        <v>953</v>
      </c>
    </row>
    <row r="273" spans="1:13" x14ac:dyDescent="0.25">
      <c r="A273" t="s">
        <v>552</v>
      </c>
      <c r="B273" t="s">
        <v>553</v>
      </c>
      <c r="C273" t="s">
        <v>23</v>
      </c>
      <c r="D273" t="s">
        <v>12</v>
      </c>
      <c r="E273" t="s">
        <v>13</v>
      </c>
      <c r="F273" s="5">
        <v>187061</v>
      </c>
      <c r="G273" t="s">
        <v>19</v>
      </c>
      <c r="H273" t="s">
        <v>17</v>
      </c>
      <c r="I273" s="5">
        <v>9000</v>
      </c>
      <c r="J273" t="s">
        <v>20</v>
      </c>
      <c r="K273" t="s">
        <v>941</v>
      </c>
      <c r="L273" t="s">
        <v>958</v>
      </c>
      <c r="M273" t="s">
        <v>959</v>
      </c>
    </row>
    <row r="274" spans="1:13" x14ac:dyDescent="0.25">
      <c r="A274" t="s">
        <v>554</v>
      </c>
      <c r="B274" t="s">
        <v>139</v>
      </c>
      <c r="C274" t="s">
        <v>23</v>
      </c>
      <c r="D274" t="s">
        <v>14</v>
      </c>
      <c r="E274" t="s">
        <v>9</v>
      </c>
      <c r="F274" s="5">
        <v>187093</v>
      </c>
      <c r="G274" t="s">
        <v>19</v>
      </c>
      <c r="H274" t="s">
        <v>17</v>
      </c>
      <c r="I274" s="5">
        <v>9000</v>
      </c>
      <c r="J274" t="s">
        <v>20</v>
      </c>
      <c r="K274" t="s">
        <v>941</v>
      </c>
      <c r="L274" t="s">
        <v>952</v>
      </c>
      <c r="M274" t="s">
        <v>953</v>
      </c>
    </row>
    <row r="275" spans="1:13" x14ac:dyDescent="0.25">
      <c r="A275" t="s">
        <v>555</v>
      </c>
      <c r="B275" t="s">
        <v>556</v>
      </c>
      <c r="C275" t="s">
        <v>23</v>
      </c>
      <c r="D275" t="s">
        <v>14</v>
      </c>
      <c r="E275" t="s">
        <v>13</v>
      </c>
      <c r="F275" s="5">
        <v>189634</v>
      </c>
      <c r="G275" t="s">
        <v>19</v>
      </c>
      <c r="H275" t="s">
        <v>17</v>
      </c>
      <c r="I275" s="5">
        <v>9000</v>
      </c>
      <c r="J275" t="s">
        <v>20</v>
      </c>
      <c r="K275" t="s">
        <v>941</v>
      </c>
      <c r="L275" t="s">
        <v>952</v>
      </c>
      <c r="M275" t="s">
        <v>953</v>
      </c>
    </row>
    <row r="276" spans="1:13" x14ac:dyDescent="0.25">
      <c r="A276" t="s">
        <v>557</v>
      </c>
      <c r="B276" t="s">
        <v>558</v>
      </c>
      <c r="C276" t="s">
        <v>23</v>
      </c>
      <c r="D276" t="s">
        <v>14</v>
      </c>
      <c r="E276" t="s">
        <v>4</v>
      </c>
      <c r="F276" s="5">
        <v>189644</v>
      </c>
      <c r="G276" t="s">
        <v>19</v>
      </c>
      <c r="H276" t="s">
        <v>17</v>
      </c>
      <c r="I276" s="5">
        <v>9000</v>
      </c>
      <c r="J276" t="s">
        <v>20</v>
      </c>
      <c r="K276" t="s">
        <v>941</v>
      </c>
      <c r="L276" t="s">
        <v>952</v>
      </c>
      <c r="M276" t="s">
        <v>953</v>
      </c>
    </row>
    <row r="277" spans="1:13" x14ac:dyDescent="0.25">
      <c r="A277" t="s">
        <v>559</v>
      </c>
      <c r="B277" t="s">
        <v>560</v>
      </c>
      <c r="C277" t="s">
        <v>23</v>
      </c>
      <c r="D277" t="s">
        <v>14</v>
      </c>
      <c r="E277" t="s">
        <v>9</v>
      </c>
      <c r="F277" s="5">
        <v>190345</v>
      </c>
      <c r="G277" t="s">
        <v>16</v>
      </c>
      <c r="H277" t="s">
        <v>17</v>
      </c>
      <c r="I277" s="5">
        <v>6750</v>
      </c>
      <c r="J277" t="s">
        <v>20</v>
      </c>
      <c r="K277" t="s">
        <v>941</v>
      </c>
      <c r="L277" t="s">
        <v>952</v>
      </c>
      <c r="M277" t="s">
        <v>953</v>
      </c>
    </row>
    <row r="278" spans="1:13" x14ac:dyDescent="0.25">
      <c r="A278" t="s">
        <v>561</v>
      </c>
      <c r="B278" t="s">
        <v>221</v>
      </c>
      <c r="C278" t="s">
        <v>23</v>
      </c>
      <c r="D278" t="s">
        <v>8</v>
      </c>
      <c r="E278" t="s">
        <v>13</v>
      </c>
      <c r="F278" s="5">
        <v>192205</v>
      </c>
      <c r="G278" t="s">
        <v>19</v>
      </c>
      <c r="H278" t="s">
        <v>17</v>
      </c>
      <c r="I278" s="5">
        <v>9000</v>
      </c>
      <c r="J278" t="s">
        <v>20</v>
      </c>
      <c r="K278" t="s">
        <v>941</v>
      </c>
      <c r="L278" t="s">
        <v>949</v>
      </c>
      <c r="M278" t="s">
        <v>950</v>
      </c>
    </row>
    <row r="279" spans="1:13" x14ac:dyDescent="0.25">
      <c r="A279" t="s">
        <v>562</v>
      </c>
      <c r="B279" t="s">
        <v>563</v>
      </c>
      <c r="C279" t="s">
        <v>23</v>
      </c>
      <c r="D279" t="s">
        <v>8</v>
      </c>
      <c r="E279" t="s">
        <v>9</v>
      </c>
      <c r="F279" s="5">
        <v>195156</v>
      </c>
      <c r="G279" t="s">
        <v>19</v>
      </c>
      <c r="H279" t="s">
        <v>17</v>
      </c>
      <c r="I279" s="5">
        <v>9000</v>
      </c>
      <c r="J279" t="s">
        <v>20</v>
      </c>
      <c r="K279" t="s">
        <v>941</v>
      </c>
      <c r="L279" t="s">
        <v>949</v>
      </c>
      <c r="M279" t="s">
        <v>950</v>
      </c>
    </row>
    <row r="280" spans="1:13" x14ac:dyDescent="0.25">
      <c r="A280" t="s">
        <v>564</v>
      </c>
      <c r="B280" t="s">
        <v>565</v>
      </c>
      <c r="C280" t="s">
        <v>23</v>
      </c>
      <c r="D280" t="s">
        <v>11</v>
      </c>
      <c r="E280" t="s">
        <v>4</v>
      </c>
      <c r="F280" s="5">
        <v>197466</v>
      </c>
      <c r="G280" t="s">
        <v>16</v>
      </c>
      <c r="H280" t="s">
        <v>17</v>
      </c>
      <c r="I280" s="5">
        <v>6750</v>
      </c>
      <c r="J280" t="s">
        <v>20</v>
      </c>
      <c r="K280" t="s">
        <v>941</v>
      </c>
      <c r="L280" t="s">
        <v>946</v>
      </c>
      <c r="M280" t="s">
        <v>947</v>
      </c>
    </row>
    <row r="281" spans="1:13" x14ac:dyDescent="0.25">
      <c r="A281" t="s">
        <v>566</v>
      </c>
      <c r="B281" t="s">
        <v>567</v>
      </c>
      <c r="C281" t="s">
        <v>23</v>
      </c>
      <c r="D281" t="s">
        <v>8</v>
      </c>
      <c r="E281" t="s">
        <v>4</v>
      </c>
      <c r="F281" s="5">
        <v>185531</v>
      </c>
      <c r="G281" t="s">
        <v>19</v>
      </c>
      <c r="H281" t="s">
        <v>17</v>
      </c>
      <c r="I281" s="5">
        <v>9000</v>
      </c>
      <c r="J281" t="s">
        <v>20</v>
      </c>
      <c r="K281" t="s">
        <v>941</v>
      </c>
      <c r="L281" t="s">
        <v>949</v>
      </c>
      <c r="M281" t="s">
        <v>950</v>
      </c>
    </row>
    <row r="282" spans="1:13" x14ac:dyDescent="0.25">
      <c r="A282" t="s">
        <v>568</v>
      </c>
      <c r="B282" t="s">
        <v>569</v>
      </c>
      <c r="C282" t="s">
        <v>23</v>
      </c>
      <c r="D282" t="s">
        <v>8</v>
      </c>
      <c r="E282" t="s">
        <v>4</v>
      </c>
      <c r="F282" s="5">
        <v>168260</v>
      </c>
      <c r="G282" t="s">
        <v>19</v>
      </c>
      <c r="H282" t="s">
        <v>17</v>
      </c>
      <c r="I282" s="5">
        <v>9000</v>
      </c>
      <c r="J282" t="s">
        <v>20</v>
      </c>
      <c r="K282" t="s">
        <v>941</v>
      </c>
      <c r="L282" t="s">
        <v>949</v>
      </c>
      <c r="M282" t="s">
        <v>950</v>
      </c>
    </row>
    <row r="283" spans="1:13" x14ac:dyDescent="0.25">
      <c r="A283" t="s">
        <v>570</v>
      </c>
      <c r="B283" t="s">
        <v>571</v>
      </c>
      <c r="C283" t="s">
        <v>23</v>
      </c>
      <c r="D283" t="s">
        <v>3</v>
      </c>
      <c r="E283" t="s">
        <v>13</v>
      </c>
      <c r="F283" s="5">
        <v>169682</v>
      </c>
      <c r="G283" t="s">
        <v>16</v>
      </c>
      <c r="H283" t="s">
        <v>17</v>
      </c>
      <c r="I283" s="5">
        <v>6750</v>
      </c>
      <c r="J283" t="s">
        <v>20</v>
      </c>
      <c r="K283" t="s">
        <v>941</v>
      </c>
      <c r="L283" t="s">
        <v>955</v>
      </c>
      <c r="M283" t="s">
        <v>956</v>
      </c>
    </row>
    <row r="284" spans="1:13" x14ac:dyDescent="0.25">
      <c r="A284" t="s">
        <v>572</v>
      </c>
      <c r="B284" t="s">
        <v>573</v>
      </c>
      <c r="C284" t="s">
        <v>23</v>
      </c>
      <c r="D284" t="s">
        <v>14</v>
      </c>
      <c r="E284" t="s">
        <v>4</v>
      </c>
      <c r="F284" s="5">
        <v>170370</v>
      </c>
      <c r="G284" t="s">
        <v>19</v>
      </c>
      <c r="H284" t="s">
        <v>17</v>
      </c>
      <c r="I284" s="5">
        <v>9000</v>
      </c>
      <c r="J284" t="s">
        <v>20</v>
      </c>
      <c r="K284" t="s">
        <v>941</v>
      </c>
      <c r="L284" t="s">
        <v>952</v>
      </c>
      <c r="M284" t="s">
        <v>953</v>
      </c>
    </row>
    <row r="285" spans="1:13" x14ac:dyDescent="0.25">
      <c r="A285" t="s">
        <v>574</v>
      </c>
      <c r="B285" t="s">
        <v>575</v>
      </c>
      <c r="C285" t="s">
        <v>23</v>
      </c>
      <c r="D285" t="s">
        <v>12</v>
      </c>
      <c r="E285" t="s">
        <v>13</v>
      </c>
      <c r="F285" s="5">
        <v>174295</v>
      </c>
      <c r="G285" t="s">
        <v>19</v>
      </c>
      <c r="H285" t="s">
        <v>17</v>
      </c>
      <c r="I285" s="5">
        <v>9000</v>
      </c>
      <c r="J285" t="s">
        <v>20</v>
      </c>
      <c r="K285" t="s">
        <v>941</v>
      </c>
      <c r="L285" t="s">
        <v>958</v>
      </c>
      <c r="M285" t="s">
        <v>959</v>
      </c>
    </row>
    <row r="286" spans="1:13" x14ac:dyDescent="0.25">
      <c r="A286" t="s">
        <v>576</v>
      </c>
      <c r="B286" t="s">
        <v>577</v>
      </c>
      <c r="C286" t="s">
        <v>23</v>
      </c>
      <c r="D286" t="s">
        <v>11</v>
      </c>
      <c r="E286" t="s">
        <v>7</v>
      </c>
      <c r="F286" s="5">
        <v>175668</v>
      </c>
      <c r="G286" t="s">
        <v>19</v>
      </c>
      <c r="H286" t="s">
        <v>17</v>
      </c>
      <c r="I286" s="5">
        <v>9000</v>
      </c>
      <c r="J286" t="s">
        <v>20</v>
      </c>
      <c r="K286" t="s">
        <v>941</v>
      </c>
      <c r="L286" t="s">
        <v>946</v>
      </c>
      <c r="M286" t="s">
        <v>947</v>
      </c>
    </row>
    <row r="287" spans="1:13" x14ac:dyDescent="0.25">
      <c r="A287" t="s">
        <v>578</v>
      </c>
      <c r="B287" t="s">
        <v>107</v>
      </c>
      <c r="C287" t="s">
        <v>23</v>
      </c>
      <c r="D287" t="s">
        <v>14</v>
      </c>
      <c r="E287" t="s">
        <v>7</v>
      </c>
      <c r="F287" s="5">
        <v>144733</v>
      </c>
      <c r="G287" t="s">
        <v>19</v>
      </c>
      <c r="H287" t="s">
        <v>17</v>
      </c>
      <c r="I287" s="5">
        <v>9000</v>
      </c>
      <c r="J287" t="s">
        <v>20</v>
      </c>
      <c r="K287" t="s">
        <v>940</v>
      </c>
      <c r="L287" t="s">
        <v>952</v>
      </c>
      <c r="M287" t="s">
        <v>953</v>
      </c>
    </row>
    <row r="288" spans="1:13" x14ac:dyDescent="0.25">
      <c r="A288" t="s">
        <v>579</v>
      </c>
      <c r="B288" t="s">
        <v>580</v>
      </c>
      <c r="C288" t="s">
        <v>23</v>
      </c>
      <c r="D288" t="s">
        <v>12</v>
      </c>
      <c r="E288" t="s">
        <v>13</v>
      </c>
      <c r="F288" s="5">
        <v>178461</v>
      </c>
      <c r="G288" t="s">
        <v>16</v>
      </c>
      <c r="H288" t="s">
        <v>17</v>
      </c>
      <c r="I288" s="5">
        <v>6750</v>
      </c>
      <c r="J288" t="s">
        <v>20</v>
      </c>
      <c r="K288" t="s">
        <v>941</v>
      </c>
      <c r="L288" t="s">
        <v>958</v>
      </c>
      <c r="M288" t="s">
        <v>959</v>
      </c>
    </row>
    <row r="289" spans="1:13" x14ac:dyDescent="0.25">
      <c r="A289" t="s">
        <v>581</v>
      </c>
      <c r="B289" t="s">
        <v>582</v>
      </c>
      <c r="C289" t="s">
        <v>23</v>
      </c>
      <c r="D289" t="s">
        <v>8</v>
      </c>
      <c r="E289" t="s">
        <v>9</v>
      </c>
      <c r="F289" s="5">
        <v>178873</v>
      </c>
      <c r="G289" t="s">
        <v>19</v>
      </c>
      <c r="H289" t="s">
        <v>17</v>
      </c>
      <c r="I289" s="5">
        <v>9000</v>
      </c>
      <c r="J289" t="s">
        <v>20</v>
      </c>
      <c r="K289" t="s">
        <v>941</v>
      </c>
      <c r="L289" t="s">
        <v>949</v>
      </c>
      <c r="M289" t="s">
        <v>950</v>
      </c>
    </row>
    <row r="290" spans="1:13" x14ac:dyDescent="0.25">
      <c r="A290" t="s">
        <v>583</v>
      </c>
      <c r="B290" t="s">
        <v>584</v>
      </c>
      <c r="C290" t="s">
        <v>23</v>
      </c>
      <c r="D290" t="s">
        <v>14</v>
      </c>
      <c r="E290" t="s">
        <v>13</v>
      </c>
      <c r="F290" s="5">
        <v>181317</v>
      </c>
      <c r="G290" t="s">
        <v>19</v>
      </c>
      <c r="H290" t="s">
        <v>17</v>
      </c>
      <c r="I290" s="5">
        <v>9000</v>
      </c>
      <c r="J290" t="s">
        <v>20</v>
      </c>
      <c r="K290" t="s">
        <v>941</v>
      </c>
      <c r="L290" t="s">
        <v>952</v>
      </c>
      <c r="M290" t="s">
        <v>953</v>
      </c>
    </row>
    <row r="291" spans="1:13" x14ac:dyDescent="0.25">
      <c r="A291" t="s">
        <v>585</v>
      </c>
      <c r="B291" t="s">
        <v>586</v>
      </c>
      <c r="C291" t="s">
        <v>23</v>
      </c>
      <c r="D291" t="s">
        <v>3</v>
      </c>
      <c r="E291" t="s">
        <v>13</v>
      </c>
      <c r="F291" s="5">
        <v>184247</v>
      </c>
      <c r="G291" t="s">
        <v>19</v>
      </c>
      <c r="H291" t="s">
        <v>17</v>
      </c>
      <c r="I291" s="5">
        <v>9000</v>
      </c>
      <c r="J291" t="s">
        <v>20</v>
      </c>
      <c r="K291" t="s">
        <v>941</v>
      </c>
      <c r="L291" t="s">
        <v>955</v>
      </c>
      <c r="M291" t="s">
        <v>956</v>
      </c>
    </row>
    <row r="292" spans="1:13" x14ac:dyDescent="0.25">
      <c r="A292" t="s">
        <v>587</v>
      </c>
      <c r="B292" t="s">
        <v>417</v>
      </c>
      <c r="C292" t="s">
        <v>23</v>
      </c>
      <c r="D292" t="s">
        <v>12</v>
      </c>
      <c r="E292" t="s">
        <v>13</v>
      </c>
      <c r="F292" s="5">
        <v>176775</v>
      </c>
      <c r="G292" t="s">
        <v>16</v>
      </c>
      <c r="H292" t="s">
        <v>17</v>
      </c>
      <c r="I292" s="5">
        <v>6750</v>
      </c>
      <c r="J292" t="s">
        <v>20</v>
      </c>
      <c r="K292" t="s">
        <v>941</v>
      </c>
      <c r="L292" t="s">
        <v>958</v>
      </c>
      <c r="M292" t="s">
        <v>959</v>
      </c>
    </row>
    <row r="293" spans="1:13" x14ac:dyDescent="0.25">
      <c r="A293" t="s">
        <v>588</v>
      </c>
      <c r="B293" t="s">
        <v>589</v>
      </c>
      <c r="C293" t="s">
        <v>23</v>
      </c>
      <c r="D293" t="s">
        <v>3</v>
      </c>
      <c r="E293" t="s">
        <v>7</v>
      </c>
      <c r="F293" s="5">
        <v>143984</v>
      </c>
      <c r="G293" t="s">
        <v>16</v>
      </c>
      <c r="H293" t="s">
        <v>17</v>
      </c>
      <c r="I293" s="5">
        <v>6750</v>
      </c>
      <c r="J293" t="s">
        <v>20</v>
      </c>
      <c r="K293" t="s">
        <v>940</v>
      </c>
      <c r="L293" t="s">
        <v>955</v>
      </c>
      <c r="M293" t="s">
        <v>956</v>
      </c>
    </row>
    <row r="294" spans="1:13" x14ac:dyDescent="0.25">
      <c r="A294" t="s">
        <v>590</v>
      </c>
      <c r="B294" t="s">
        <v>591</v>
      </c>
      <c r="C294" t="s">
        <v>23</v>
      </c>
      <c r="D294" t="s">
        <v>14</v>
      </c>
      <c r="E294" t="s">
        <v>7</v>
      </c>
      <c r="F294" s="5">
        <v>148421</v>
      </c>
      <c r="G294" t="s">
        <v>19</v>
      </c>
      <c r="H294" t="s">
        <v>17</v>
      </c>
      <c r="I294" s="5">
        <v>9000</v>
      </c>
      <c r="J294" t="s">
        <v>20</v>
      </c>
      <c r="K294" t="s">
        <v>940</v>
      </c>
      <c r="L294" t="s">
        <v>952</v>
      </c>
      <c r="M294" t="s">
        <v>953</v>
      </c>
    </row>
    <row r="295" spans="1:13" x14ac:dyDescent="0.25">
      <c r="A295" t="s">
        <v>592</v>
      </c>
      <c r="B295" t="s">
        <v>593</v>
      </c>
      <c r="C295" t="s">
        <v>23</v>
      </c>
      <c r="D295" t="s">
        <v>8</v>
      </c>
      <c r="E295" t="s">
        <v>4</v>
      </c>
      <c r="F295" s="5">
        <v>143653</v>
      </c>
      <c r="G295" t="s">
        <v>16</v>
      </c>
      <c r="H295" t="s">
        <v>17</v>
      </c>
      <c r="I295" s="5">
        <v>6750</v>
      </c>
      <c r="J295" t="s">
        <v>20</v>
      </c>
      <c r="K295" t="s">
        <v>940</v>
      </c>
      <c r="L295" t="s">
        <v>949</v>
      </c>
      <c r="M295" t="s">
        <v>950</v>
      </c>
    </row>
    <row r="296" spans="1:13" x14ac:dyDescent="0.25">
      <c r="A296" t="s">
        <v>594</v>
      </c>
      <c r="B296" t="s">
        <v>595</v>
      </c>
      <c r="C296" t="s">
        <v>23</v>
      </c>
      <c r="D296" t="s">
        <v>3</v>
      </c>
      <c r="E296" t="s">
        <v>9</v>
      </c>
      <c r="F296" s="5">
        <v>121080</v>
      </c>
      <c r="G296" t="s">
        <v>19</v>
      </c>
      <c r="H296" t="s">
        <v>17</v>
      </c>
      <c r="I296" s="5">
        <v>9000</v>
      </c>
      <c r="J296" t="s">
        <v>20</v>
      </c>
      <c r="K296" t="s">
        <v>940</v>
      </c>
      <c r="L296" t="s">
        <v>955</v>
      </c>
      <c r="M296" t="s">
        <v>956</v>
      </c>
    </row>
    <row r="297" spans="1:13" x14ac:dyDescent="0.25">
      <c r="A297" t="s">
        <v>596</v>
      </c>
      <c r="B297" t="s">
        <v>597</v>
      </c>
      <c r="C297" t="s">
        <v>23</v>
      </c>
      <c r="D297" t="s">
        <v>3</v>
      </c>
      <c r="E297" t="s">
        <v>9</v>
      </c>
      <c r="F297" s="5">
        <v>121342</v>
      </c>
      <c r="G297" t="s">
        <v>19</v>
      </c>
      <c r="H297" t="s">
        <v>17</v>
      </c>
      <c r="I297" s="5">
        <v>9000</v>
      </c>
      <c r="J297" t="s">
        <v>20</v>
      </c>
      <c r="K297" t="s">
        <v>940</v>
      </c>
      <c r="L297" t="s">
        <v>955</v>
      </c>
      <c r="M297" t="s">
        <v>956</v>
      </c>
    </row>
    <row r="298" spans="1:13" x14ac:dyDescent="0.25">
      <c r="A298" t="s">
        <v>598</v>
      </c>
      <c r="B298" t="s">
        <v>253</v>
      </c>
      <c r="C298" t="s">
        <v>23</v>
      </c>
      <c r="D298" t="s">
        <v>8</v>
      </c>
      <c r="E298" t="s">
        <v>9</v>
      </c>
      <c r="F298" s="5">
        <v>121849</v>
      </c>
      <c r="G298" t="s">
        <v>16</v>
      </c>
      <c r="H298" t="s">
        <v>17</v>
      </c>
      <c r="I298" s="5">
        <v>6750</v>
      </c>
      <c r="J298" t="s">
        <v>20</v>
      </c>
      <c r="K298" t="s">
        <v>940</v>
      </c>
      <c r="L298" t="s">
        <v>949</v>
      </c>
      <c r="M298" t="s">
        <v>950</v>
      </c>
    </row>
    <row r="299" spans="1:13" x14ac:dyDescent="0.25">
      <c r="A299" t="s">
        <v>599</v>
      </c>
      <c r="B299" t="s">
        <v>469</v>
      </c>
      <c r="C299" t="s">
        <v>23</v>
      </c>
      <c r="D299" t="s">
        <v>3</v>
      </c>
      <c r="E299" t="s">
        <v>7</v>
      </c>
      <c r="F299" s="5">
        <v>122155</v>
      </c>
      <c r="G299" t="s">
        <v>19</v>
      </c>
      <c r="H299" t="s">
        <v>17</v>
      </c>
      <c r="I299" s="5">
        <v>9000</v>
      </c>
      <c r="J299" t="s">
        <v>20</v>
      </c>
      <c r="K299" t="s">
        <v>940</v>
      </c>
      <c r="L299" t="s">
        <v>955</v>
      </c>
      <c r="M299" t="s">
        <v>956</v>
      </c>
    </row>
    <row r="300" spans="1:13" x14ac:dyDescent="0.25">
      <c r="A300" t="s">
        <v>600</v>
      </c>
      <c r="B300" t="s">
        <v>601</v>
      </c>
      <c r="C300" t="s">
        <v>23</v>
      </c>
      <c r="D300" t="s">
        <v>3</v>
      </c>
      <c r="E300" t="s">
        <v>9</v>
      </c>
      <c r="F300" s="5">
        <v>123393</v>
      </c>
      <c r="G300" t="s">
        <v>16</v>
      </c>
      <c r="H300" t="s">
        <v>17</v>
      </c>
      <c r="I300" s="5">
        <v>6750</v>
      </c>
      <c r="J300" t="s">
        <v>20</v>
      </c>
      <c r="K300" t="s">
        <v>940</v>
      </c>
      <c r="L300" t="s">
        <v>955</v>
      </c>
      <c r="M300" t="s">
        <v>956</v>
      </c>
    </row>
    <row r="301" spans="1:13" x14ac:dyDescent="0.25">
      <c r="A301" t="s">
        <v>602</v>
      </c>
      <c r="B301" t="s">
        <v>603</v>
      </c>
      <c r="C301" t="s">
        <v>23</v>
      </c>
      <c r="D301" t="s">
        <v>14</v>
      </c>
      <c r="E301" t="s">
        <v>4</v>
      </c>
      <c r="F301" s="5">
        <v>124732</v>
      </c>
      <c r="G301" t="s">
        <v>16</v>
      </c>
      <c r="H301" t="s">
        <v>17</v>
      </c>
      <c r="I301" s="5">
        <v>6750</v>
      </c>
      <c r="J301" t="s">
        <v>20</v>
      </c>
      <c r="K301" t="s">
        <v>940</v>
      </c>
      <c r="L301" t="s">
        <v>952</v>
      </c>
      <c r="M301" t="s">
        <v>953</v>
      </c>
    </row>
    <row r="302" spans="1:13" x14ac:dyDescent="0.25">
      <c r="A302" t="s">
        <v>604</v>
      </c>
      <c r="B302" t="s">
        <v>333</v>
      </c>
      <c r="C302" t="s">
        <v>23</v>
      </c>
      <c r="D302" t="s">
        <v>14</v>
      </c>
      <c r="E302" t="s">
        <v>9</v>
      </c>
      <c r="F302" s="5">
        <v>125695</v>
      </c>
      <c r="G302" t="s">
        <v>19</v>
      </c>
      <c r="H302" t="s">
        <v>17</v>
      </c>
      <c r="I302" s="5">
        <v>9000</v>
      </c>
      <c r="J302" t="s">
        <v>20</v>
      </c>
      <c r="K302" t="s">
        <v>940</v>
      </c>
      <c r="L302" t="s">
        <v>952</v>
      </c>
      <c r="M302" t="s">
        <v>953</v>
      </c>
    </row>
    <row r="303" spans="1:13" x14ac:dyDescent="0.25">
      <c r="A303" t="s">
        <v>605</v>
      </c>
      <c r="B303" t="s">
        <v>606</v>
      </c>
      <c r="C303" t="s">
        <v>23</v>
      </c>
      <c r="D303" t="s">
        <v>8</v>
      </c>
      <c r="E303" t="s">
        <v>9</v>
      </c>
      <c r="F303" s="5">
        <v>126904</v>
      </c>
      <c r="G303" t="s">
        <v>19</v>
      </c>
      <c r="H303" t="s">
        <v>17</v>
      </c>
      <c r="I303" s="5">
        <v>9000</v>
      </c>
      <c r="J303" t="s">
        <v>20</v>
      </c>
      <c r="K303" t="s">
        <v>940</v>
      </c>
      <c r="L303" t="s">
        <v>949</v>
      </c>
      <c r="M303" t="s">
        <v>950</v>
      </c>
    </row>
    <row r="304" spans="1:13" x14ac:dyDescent="0.25">
      <c r="A304" t="s">
        <v>607</v>
      </c>
      <c r="B304" t="s">
        <v>608</v>
      </c>
      <c r="C304" t="s">
        <v>23</v>
      </c>
      <c r="D304" t="s">
        <v>8</v>
      </c>
      <c r="E304" t="s">
        <v>7</v>
      </c>
      <c r="F304" s="5">
        <v>127079</v>
      </c>
      <c r="G304" t="s">
        <v>16</v>
      </c>
      <c r="H304" t="s">
        <v>17</v>
      </c>
      <c r="I304" s="5">
        <v>6750</v>
      </c>
      <c r="J304" t="s">
        <v>20</v>
      </c>
      <c r="K304" t="s">
        <v>940</v>
      </c>
      <c r="L304" t="s">
        <v>949</v>
      </c>
      <c r="M304" t="s">
        <v>950</v>
      </c>
    </row>
    <row r="305" spans="1:13" x14ac:dyDescent="0.25">
      <c r="A305" t="s">
        <v>609</v>
      </c>
      <c r="B305" t="s">
        <v>153</v>
      </c>
      <c r="C305" t="s">
        <v>23</v>
      </c>
      <c r="D305" t="s">
        <v>12</v>
      </c>
      <c r="E305" t="s">
        <v>7</v>
      </c>
      <c r="F305" s="5">
        <v>127395</v>
      </c>
      <c r="G305" t="s">
        <v>16</v>
      </c>
      <c r="H305" t="s">
        <v>17</v>
      </c>
      <c r="I305" s="5">
        <v>6750</v>
      </c>
      <c r="J305" t="s">
        <v>20</v>
      </c>
      <c r="K305" t="s">
        <v>940</v>
      </c>
      <c r="L305" t="s">
        <v>958</v>
      </c>
      <c r="M305" t="s">
        <v>959</v>
      </c>
    </row>
    <row r="306" spans="1:13" x14ac:dyDescent="0.25">
      <c r="A306" t="s">
        <v>610</v>
      </c>
      <c r="B306" t="s">
        <v>611</v>
      </c>
      <c r="C306" t="s">
        <v>23</v>
      </c>
      <c r="D306" t="s">
        <v>12</v>
      </c>
      <c r="E306" t="s">
        <v>7</v>
      </c>
      <c r="F306" s="5">
        <v>135621</v>
      </c>
      <c r="G306" t="s">
        <v>19</v>
      </c>
      <c r="H306" t="s">
        <v>17</v>
      </c>
      <c r="I306" s="5">
        <v>9000</v>
      </c>
      <c r="J306" t="s">
        <v>20</v>
      </c>
      <c r="K306" t="s">
        <v>940</v>
      </c>
      <c r="L306" t="s">
        <v>958</v>
      </c>
      <c r="M306" t="s">
        <v>959</v>
      </c>
    </row>
    <row r="307" spans="1:13" x14ac:dyDescent="0.25">
      <c r="A307" t="s">
        <v>612</v>
      </c>
      <c r="B307" t="s">
        <v>613</v>
      </c>
      <c r="C307" t="s">
        <v>23</v>
      </c>
      <c r="D307" t="s">
        <v>3</v>
      </c>
      <c r="E307" t="s">
        <v>4</v>
      </c>
      <c r="F307" s="5">
        <v>137648</v>
      </c>
      <c r="G307" t="s">
        <v>19</v>
      </c>
      <c r="H307" t="s">
        <v>17</v>
      </c>
      <c r="I307" s="5">
        <v>9000</v>
      </c>
      <c r="J307" t="s">
        <v>20</v>
      </c>
      <c r="K307" t="s">
        <v>940</v>
      </c>
      <c r="L307" t="s">
        <v>955</v>
      </c>
      <c r="M307" t="s">
        <v>956</v>
      </c>
    </row>
    <row r="308" spans="1:13" x14ac:dyDescent="0.25">
      <c r="A308" t="s">
        <v>614</v>
      </c>
      <c r="B308" t="s">
        <v>608</v>
      </c>
      <c r="C308" t="s">
        <v>23</v>
      </c>
      <c r="D308" t="s">
        <v>12</v>
      </c>
      <c r="E308" t="s">
        <v>9</v>
      </c>
      <c r="F308" s="5">
        <v>137714</v>
      </c>
      <c r="G308" t="s">
        <v>16</v>
      </c>
      <c r="H308" t="s">
        <v>17</v>
      </c>
      <c r="I308" s="5">
        <v>6750</v>
      </c>
      <c r="J308" t="s">
        <v>20</v>
      </c>
      <c r="K308" t="s">
        <v>940</v>
      </c>
      <c r="L308" t="s">
        <v>958</v>
      </c>
      <c r="M308" t="s">
        <v>959</v>
      </c>
    </row>
    <row r="309" spans="1:13" x14ac:dyDescent="0.25">
      <c r="A309" t="s">
        <v>615</v>
      </c>
      <c r="B309" t="s">
        <v>616</v>
      </c>
      <c r="C309" t="s">
        <v>23</v>
      </c>
      <c r="D309" t="s">
        <v>14</v>
      </c>
      <c r="E309" t="s">
        <v>13</v>
      </c>
      <c r="F309" s="5">
        <v>139527</v>
      </c>
      <c r="G309" t="s">
        <v>16</v>
      </c>
      <c r="H309" t="s">
        <v>17</v>
      </c>
      <c r="I309" s="5">
        <v>6750</v>
      </c>
      <c r="J309" t="s">
        <v>20</v>
      </c>
      <c r="K309" t="s">
        <v>940</v>
      </c>
      <c r="L309" t="s">
        <v>952</v>
      </c>
      <c r="M309" t="s">
        <v>953</v>
      </c>
    </row>
    <row r="310" spans="1:13" x14ac:dyDescent="0.25">
      <c r="A310" t="s">
        <v>617</v>
      </c>
      <c r="B310" t="s">
        <v>125</v>
      </c>
      <c r="C310" t="s">
        <v>23</v>
      </c>
      <c r="D310" t="s">
        <v>3</v>
      </c>
      <c r="E310" t="s">
        <v>7</v>
      </c>
      <c r="F310" s="5">
        <v>139741</v>
      </c>
      <c r="G310" t="s">
        <v>16</v>
      </c>
      <c r="H310" t="s">
        <v>17</v>
      </c>
      <c r="I310" s="5">
        <v>6750</v>
      </c>
      <c r="J310" t="s">
        <v>20</v>
      </c>
      <c r="K310" t="s">
        <v>940</v>
      </c>
      <c r="L310" t="s">
        <v>955</v>
      </c>
      <c r="M310" t="s">
        <v>956</v>
      </c>
    </row>
    <row r="311" spans="1:13" x14ac:dyDescent="0.25">
      <c r="A311" t="s">
        <v>618</v>
      </c>
      <c r="B311" t="s">
        <v>616</v>
      </c>
      <c r="C311" t="s">
        <v>23</v>
      </c>
      <c r="D311" t="s">
        <v>14</v>
      </c>
      <c r="E311" t="s">
        <v>13</v>
      </c>
      <c r="F311" s="5">
        <v>141820</v>
      </c>
      <c r="G311" t="s">
        <v>16</v>
      </c>
      <c r="H311" t="s">
        <v>17</v>
      </c>
      <c r="I311" s="5">
        <v>6750</v>
      </c>
      <c r="J311" t="s">
        <v>20</v>
      </c>
      <c r="K311" t="s">
        <v>940</v>
      </c>
      <c r="L311" t="s">
        <v>952</v>
      </c>
      <c r="M311" t="s">
        <v>953</v>
      </c>
    </row>
    <row r="312" spans="1:13" x14ac:dyDescent="0.25">
      <c r="A312" t="s">
        <v>619</v>
      </c>
      <c r="B312" t="s">
        <v>620</v>
      </c>
      <c r="C312" t="s">
        <v>23</v>
      </c>
      <c r="D312" t="s">
        <v>14</v>
      </c>
      <c r="E312" t="s">
        <v>7</v>
      </c>
      <c r="F312" s="5">
        <v>142881</v>
      </c>
      <c r="G312" t="s">
        <v>16</v>
      </c>
      <c r="H312" t="s">
        <v>17</v>
      </c>
      <c r="I312" s="5">
        <v>6750</v>
      </c>
      <c r="J312" t="s">
        <v>20</v>
      </c>
      <c r="K312" t="s">
        <v>940</v>
      </c>
      <c r="L312" t="s">
        <v>952</v>
      </c>
      <c r="M312" t="s">
        <v>953</v>
      </c>
    </row>
    <row r="313" spans="1:13" x14ac:dyDescent="0.25">
      <c r="A313" t="s">
        <v>621</v>
      </c>
      <c r="B313" t="s">
        <v>312</v>
      </c>
      <c r="C313" t="s">
        <v>23</v>
      </c>
      <c r="D313" t="s">
        <v>11</v>
      </c>
      <c r="E313" t="s">
        <v>9</v>
      </c>
      <c r="F313" s="5">
        <v>142974</v>
      </c>
      <c r="G313" t="s">
        <v>16</v>
      </c>
      <c r="H313" t="s">
        <v>17</v>
      </c>
      <c r="I313" s="5">
        <v>6750</v>
      </c>
      <c r="J313" t="s">
        <v>20</v>
      </c>
      <c r="K313" t="s">
        <v>940</v>
      </c>
      <c r="L313" t="s">
        <v>946</v>
      </c>
      <c r="M313" t="s">
        <v>947</v>
      </c>
    </row>
    <row r="314" spans="1:13" x14ac:dyDescent="0.25">
      <c r="A314" t="s">
        <v>622</v>
      </c>
      <c r="B314" t="s">
        <v>115</v>
      </c>
      <c r="C314" t="s">
        <v>23</v>
      </c>
      <c r="D314" t="s">
        <v>3</v>
      </c>
      <c r="E314" t="s">
        <v>9</v>
      </c>
      <c r="F314" s="5">
        <v>143071</v>
      </c>
      <c r="G314" t="s">
        <v>19</v>
      </c>
      <c r="H314" t="s">
        <v>17</v>
      </c>
      <c r="I314" s="5">
        <v>9000</v>
      </c>
      <c r="J314" t="s">
        <v>20</v>
      </c>
      <c r="K314" t="s">
        <v>940</v>
      </c>
      <c r="L314" t="s">
        <v>955</v>
      </c>
      <c r="M314" t="s">
        <v>956</v>
      </c>
    </row>
    <row r="315" spans="1:13" x14ac:dyDescent="0.25">
      <c r="A315" t="s">
        <v>623</v>
      </c>
      <c r="B315" t="s">
        <v>624</v>
      </c>
      <c r="C315" t="s">
        <v>23</v>
      </c>
      <c r="D315" t="s">
        <v>12</v>
      </c>
      <c r="E315" t="s">
        <v>9</v>
      </c>
      <c r="F315" s="5">
        <v>134243</v>
      </c>
      <c r="G315" t="s">
        <v>19</v>
      </c>
      <c r="H315" t="s">
        <v>17</v>
      </c>
      <c r="I315" s="5">
        <v>9000</v>
      </c>
      <c r="J315" t="s">
        <v>20</v>
      </c>
      <c r="K315" t="s">
        <v>940</v>
      </c>
      <c r="L315" t="s">
        <v>958</v>
      </c>
      <c r="M315" t="s">
        <v>959</v>
      </c>
    </row>
    <row r="316" spans="1:13" x14ac:dyDescent="0.25">
      <c r="A316" t="s">
        <v>625</v>
      </c>
      <c r="B316" t="s">
        <v>626</v>
      </c>
      <c r="C316" t="s">
        <v>23</v>
      </c>
      <c r="D316" t="s">
        <v>11</v>
      </c>
      <c r="E316" t="s">
        <v>9</v>
      </c>
      <c r="F316" s="5">
        <v>133912</v>
      </c>
      <c r="G316" t="s">
        <v>16</v>
      </c>
      <c r="H316" t="s">
        <v>17</v>
      </c>
      <c r="I316" s="5">
        <v>6750</v>
      </c>
      <c r="J316" t="s">
        <v>20</v>
      </c>
      <c r="K316" t="s">
        <v>940</v>
      </c>
      <c r="L316" t="s">
        <v>946</v>
      </c>
      <c r="M316" t="s">
        <v>947</v>
      </c>
    </row>
    <row r="317" spans="1:13" x14ac:dyDescent="0.25">
      <c r="A317" t="s">
        <v>627</v>
      </c>
      <c r="B317" t="s">
        <v>628</v>
      </c>
      <c r="C317" t="s">
        <v>23</v>
      </c>
      <c r="D317" t="s">
        <v>3</v>
      </c>
      <c r="E317" t="s">
        <v>7</v>
      </c>
      <c r="F317" s="5">
        <v>133787</v>
      </c>
      <c r="G317" t="s">
        <v>19</v>
      </c>
      <c r="H317" t="s">
        <v>17</v>
      </c>
      <c r="I317" s="5">
        <v>9000</v>
      </c>
      <c r="J317" t="s">
        <v>20</v>
      </c>
      <c r="K317" t="s">
        <v>940</v>
      </c>
      <c r="L317" t="s">
        <v>955</v>
      </c>
      <c r="M317" t="s">
        <v>956</v>
      </c>
    </row>
    <row r="318" spans="1:13" x14ac:dyDescent="0.25">
      <c r="A318" t="s">
        <v>629</v>
      </c>
      <c r="B318" t="s">
        <v>630</v>
      </c>
      <c r="C318" t="s">
        <v>23</v>
      </c>
      <c r="D318" t="s">
        <v>14</v>
      </c>
      <c r="E318" t="s">
        <v>9</v>
      </c>
      <c r="F318" s="5">
        <v>128253</v>
      </c>
      <c r="G318" t="s">
        <v>19</v>
      </c>
      <c r="H318" t="s">
        <v>17</v>
      </c>
      <c r="I318" s="5">
        <v>9000</v>
      </c>
      <c r="J318" t="s">
        <v>20</v>
      </c>
      <c r="K318" t="s">
        <v>940</v>
      </c>
      <c r="L318" t="s">
        <v>952</v>
      </c>
      <c r="M318" t="s">
        <v>953</v>
      </c>
    </row>
    <row r="319" spans="1:13" x14ac:dyDescent="0.25">
      <c r="A319" t="s">
        <v>631</v>
      </c>
      <c r="B319" t="s">
        <v>632</v>
      </c>
      <c r="C319" t="s">
        <v>23</v>
      </c>
      <c r="D319" t="s">
        <v>14</v>
      </c>
      <c r="E319" t="s">
        <v>13</v>
      </c>
      <c r="F319" s="5">
        <v>133857</v>
      </c>
      <c r="G319" t="s">
        <v>19</v>
      </c>
      <c r="H319" t="s">
        <v>17</v>
      </c>
      <c r="I319" s="5">
        <v>9000</v>
      </c>
      <c r="J319" t="s">
        <v>20</v>
      </c>
      <c r="K319" t="s">
        <v>940</v>
      </c>
      <c r="L319" t="s">
        <v>952</v>
      </c>
      <c r="M319" t="s">
        <v>953</v>
      </c>
    </row>
    <row r="320" spans="1:13" x14ac:dyDescent="0.25">
      <c r="A320" t="s">
        <v>633</v>
      </c>
      <c r="B320" t="s">
        <v>61</v>
      </c>
      <c r="C320" t="s">
        <v>23</v>
      </c>
      <c r="D320" t="s">
        <v>14</v>
      </c>
      <c r="E320" t="s">
        <v>7</v>
      </c>
      <c r="F320" s="5">
        <v>129571</v>
      </c>
      <c r="G320" t="s">
        <v>16</v>
      </c>
      <c r="H320" t="s">
        <v>17</v>
      </c>
      <c r="I320" s="5">
        <v>6750</v>
      </c>
      <c r="J320" t="s">
        <v>20</v>
      </c>
      <c r="K320" t="s">
        <v>940</v>
      </c>
      <c r="L320" t="s">
        <v>952</v>
      </c>
      <c r="M320" t="s">
        <v>953</v>
      </c>
    </row>
    <row r="321" spans="1:13" x14ac:dyDescent="0.25">
      <c r="A321" t="s">
        <v>634</v>
      </c>
      <c r="B321" t="s">
        <v>635</v>
      </c>
      <c r="C321" t="s">
        <v>23</v>
      </c>
      <c r="D321" t="s">
        <v>3</v>
      </c>
      <c r="E321" t="s">
        <v>13</v>
      </c>
      <c r="F321" s="5">
        <v>130254</v>
      </c>
      <c r="G321" t="s">
        <v>19</v>
      </c>
      <c r="H321" t="s">
        <v>17</v>
      </c>
      <c r="I321" s="5">
        <v>9000</v>
      </c>
      <c r="J321" t="s">
        <v>20</v>
      </c>
      <c r="K321" t="s">
        <v>940</v>
      </c>
      <c r="L321" t="s">
        <v>955</v>
      </c>
      <c r="M321" t="s">
        <v>956</v>
      </c>
    </row>
    <row r="322" spans="1:13" x14ac:dyDescent="0.25">
      <c r="A322" t="s">
        <v>636</v>
      </c>
      <c r="B322" t="s">
        <v>637</v>
      </c>
      <c r="C322" t="s">
        <v>23</v>
      </c>
      <c r="D322" t="s">
        <v>11</v>
      </c>
      <c r="E322" t="s">
        <v>9</v>
      </c>
      <c r="F322" s="5">
        <v>130944</v>
      </c>
      <c r="G322" t="s">
        <v>16</v>
      </c>
      <c r="H322" t="s">
        <v>17</v>
      </c>
      <c r="I322" s="5">
        <v>6750</v>
      </c>
      <c r="J322" t="s">
        <v>20</v>
      </c>
      <c r="K322" t="s">
        <v>940</v>
      </c>
      <c r="L322" t="s">
        <v>946</v>
      </c>
      <c r="M322" t="s">
        <v>947</v>
      </c>
    </row>
    <row r="323" spans="1:13" x14ac:dyDescent="0.25">
      <c r="A323" t="s">
        <v>638</v>
      </c>
      <c r="B323" t="s">
        <v>639</v>
      </c>
      <c r="C323" t="s">
        <v>23</v>
      </c>
      <c r="D323" t="s">
        <v>3</v>
      </c>
      <c r="E323" t="s">
        <v>7</v>
      </c>
      <c r="F323" s="5">
        <v>131020</v>
      </c>
      <c r="G323" t="s">
        <v>19</v>
      </c>
      <c r="H323" t="s">
        <v>17</v>
      </c>
      <c r="I323" s="5">
        <v>9000</v>
      </c>
      <c r="J323" t="s">
        <v>20</v>
      </c>
      <c r="K323" t="s">
        <v>940</v>
      </c>
      <c r="L323" t="s">
        <v>955</v>
      </c>
      <c r="M323" t="s">
        <v>956</v>
      </c>
    </row>
    <row r="324" spans="1:13" x14ac:dyDescent="0.25">
      <c r="A324" t="s">
        <v>640</v>
      </c>
      <c r="B324" t="s">
        <v>641</v>
      </c>
      <c r="C324" t="s">
        <v>23</v>
      </c>
      <c r="D324" t="s">
        <v>14</v>
      </c>
      <c r="E324" t="s">
        <v>9</v>
      </c>
      <c r="F324" s="5">
        <v>131197</v>
      </c>
      <c r="G324" t="s">
        <v>16</v>
      </c>
      <c r="H324" t="s">
        <v>17</v>
      </c>
      <c r="I324" s="5">
        <v>6750</v>
      </c>
      <c r="J324" t="s">
        <v>20</v>
      </c>
      <c r="K324" t="s">
        <v>940</v>
      </c>
      <c r="L324" t="s">
        <v>952</v>
      </c>
      <c r="M324" t="s">
        <v>953</v>
      </c>
    </row>
    <row r="325" spans="1:13" x14ac:dyDescent="0.25">
      <c r="A325" t="s">
        <v>642</v>
      </c>
      <c r="B325" t="s">
        <v>335</v>
      </c>
      <c r="C325" t="s">
        <v>23</v>
      </c>
      <c r="D325" t="s">
        <v>11</v>
      </c>
      <c r="E325" t="s">
        <v>7</v>
      </c>
      <c r="F325" s="5">
        <v>131148</v>
      </c>
      <c r="G325" t="s">
        <v>16</v>
      </c>
      <c r="H325" t="s">
        <v>17</v>
      </c>
      <c r="I325" s="5">
        <v>6750</v>
      </c>
      <c r="J325" t="s">
        <v>20</v>
      </c>
      <c r="K325" t="s">
        <v>940</v>
      </c>
      <c r="L325" t="s">
        <v>946</v>
      </c>
      <c r="M325" t="s">
        <v>947</v>
      </c>
    </row>
    <row r="326" spans="1:13" x14ac:dyDescent="0.25">
      <c r="A326" t="s">
        <v>643</v>
      </c>
      <c r="B326" t="s">
        <v>644</v>
      </c>
      <c r="C326" t="s">
        <v>23</v>
      </c>
      <c r="D326" t="s">
        <v>14</v>
      </c>
      <c r="E326" t="s">
        <v>9</v>
      </c>
      <c r="F326" s="5">
        <v>133120</v>
      </c>
      <c r="G326" t="s">
        <v>16</v>
      </c>
      <c r="H326" t="s">
        <v>17</v>
      </c>
      <c r="I326" s="5">
        <v>6750</v>
      </c>
      <c r="J326" t="s">
        <v>20</v>
      </c>
      <c r="K326" t="s">
        <v>940</v>
      </c>
      <c r="L326" t="s">
        <v>952</v>
      </c>
      <c r="M326" t="s">
        <v>953</v>
      </c>
    </row>
    <row r="327" spans="1:13" x14ac:dyDescent="0.25">
      <c r="A327" t="s">
        <v>645</v>
      </c>
      <c r="B327" t="s">
        <v>646</v>
      </c>
      <c r="C327" t="s">
        <v>23</v>
      </c>
      <c r="D327" t="s">
        <v>11</v>
      </c>
      <c r="E327" t="s">
        <v>4</v>
      </c>
      <c r="F327" s="5">
        <v>131471</v>
      </c>
      <c r="G327" t="s">
        <v>19</v>
      </c>
      <c r="H327" t="s">
        <v>17</v>
      </c>
      <c r="I327" s="5">
        <v>9000</v>
      </c>
      <c r="J327" t="s">
        <v>20</v>
      </c>
      <c r="K327" t="s">
        <v>940</v>
      </c>
      <c r="L327" t="s">
        <v>946</v>
      </c>
      <c r="M327" t="s">
        <v>947</v>
      </c>
    </row>
    <row r="328" spans="1:13" x14ac:dyDescent="0.25">
      <c r="A328" t="s">
        <v>647</v>
      </c>
      <c r="B328" t="s">
        <v>648</v>
      </c>
      <c r="C328" t="s">
        <v>23</v>
      </c>
      <c r="D328" t="s">
        <v>12</v>
      </c>
      <c r="E328" t="s">
        <v>7</v>
      </c>
      <c r="F328" s="5">
        <v>131218</v>
      </c>
      <c r="G328" t="s">
        <v>16</v>
      </c>
      <c r="H328" t="s">
        <v>17</v>
      </c>
      <c r="I328" s="5">
        <v>6750</v>
      </c>
      <c r="J328" t="s">
        <v>20</v>
      </c>
      <c r="K328" t="s">
        <v>940</v>
      </c>
      <c r="L328" t="s">
        <v>958</v>
      </c>
      <c r="M328" t="s">
        <v>959</v>
      </c>
    </row>
    <row r="329" spans="1:13" x14ac:dyDescent="0.25">
      <c r="A329" t="s">
        <v>649</v>
      </c>
      <c r="B329" t="s">
        <v>514</v>
      </c>
      <c r="C329" t="s">
        <v>23</v>
      </c>
      <c r="D329" t="s">
        <v>14</v>
      </c>
      <c r="E329" t="s">
        <v>7</v>
      </c>
      <c r="F329" s="5">
        <v>131872</v>
      </c>
      <c r="G329" t="s">
        <v>16</v>
      </c>
      <c r="H329" t="s">
        <v>17</v>
      </c>
      <c r="I329" s="5">
        <v>6750</v>
      </c>
      <c r="J329" t="s">
        <v>20</v>
      </c>
      <c r="K329" t="s">
        <v>940</v>
      </c>
      <c r="L329" t="s">
        <v>952</v>
      </c>
      <c r="M329" t="s">
        <v>953</v>
      </c>
    </row>
    <row r="330" spans="1:13" x14ac:dyDescent="0.25">
      <c r="A330" t="s">
        <v>650</v>
      </c>
      <c r="B330" t="s">
        <v>651</v>
      </c>
      <c r="C330" t="s">
        <v>23</v>
      </c>
      <c r="D330" t="s">
        <v>11</v>
      </c>
      <c r="E330" t="s">
        <v>4</v>
      </c>
      <c r="F330" s="5">
        <v>88833</v>
      </c>
      <c r="G330" t="s">
        <v>16</v>
      </c>
      <c r="H330" t="s">
        <v>10</v>
      </c>
      <c r="I330" s="5">
        <v>4200</v>
      </c>
      <c r="J330" t="s">
        <v>20</v>
      </c>
      <c r="K330" t="s">
        <v>938</v>
      </c>
      <c r="L330" t="s">
        <v>946</v>
      </c>
      <c r="M330" t="s">
        <v>947</v>
      </c>
    </row>
    <row r="331" spans="1:13" x14ac:dyDescent="0.25">
      <c r="A331" t="s">
        <v>652</v>
      </c>
      <c r="B331" t="s">
        <v>653</v>
      </c>
      <c r="C331" t="s">
        <v>23</v>
      </c>
      <c r="D331" t="s">
        <v>12</v>
      </c>
      <c r="E331" t="s">
        <v>9</v>
      </c>
      <c r="F331" s="5">
        <v>88579</v>
      </c>
      <c r="G331" t="s">
        <v>6</v>
      </c>
      <c r="H331" t="s">
        <v>10</v>
      </c>
      <c r="I331" s="5">
        <v>2800</v>
      </c>
      <c r="J331" t="s">
        <v>20</v>
      </c>
      <c r="K331" t="s">
        <v>938</v>
      </c>
      <c r="L331" t="s">
        <v>958</v>
      </c>
      <c r="M331" t="s">
        <v>959</v>
      </c>
    </row>
    <row r="332" spans="1:13" x14ac:dyDescent="0.25">
      <c r="A332" t="s">
        <v>654</v>
      </c>
      <c r="B332" t="s">
        <v>655</v>
      </c>
      <c r="C332" t="s">
        <v>23</v>
      </c>
      <c r="D332" t="s">
        <v>8</v>
      </c>
      <c r="E332" t="s">
        <v>13</v>
      </c>
      <c r="F332" s="5">
        <v>88075</v>
      </c>
      <c r="G332" t="s">
        <v>6</v>
      </c>
      <c r="H332" t="s">
        <v>10</v>
      </c>
      <c r="I332" s="5">
        <v>2800</v>
      </c>
      <c r="J332" t="s">
        <v>20</v>
      </c>
      <c r="K332" t="s">
        <v>938</v>
      </c>
      <c r="L332" t="s">
        <v>949</v>
      </c>
      <c r="M332" t="s">
        <v>950</v>
      </c>
    </row>
    <row r="333" spans="1:13" x14ac:dyDescent="0.25">
      <c r="A333" t="s">
        <v>656</v>
      </c>
      <c r="B333" t="s">
        <v>657</v>
      </c>
      <c r="C333" t="s">
        <v>23</v>
      </c>
      <c r="D333" t="s">
        <v>14</v>
      </c>
      <c r="E333" t="s">
        <v>9</v>
      </c>
      <c r="F333" s="5">
        <v>88203</v>
      </c>
      <c r="G333" t="s">
        <v>6</v>
      </c>
      <c r="H333" t="s">
        <v>10</v>
      </c>
      <c r="I333" s="5">
        <v>2800</v>
      </c>
      <c r="J333" t="s">
        <v>20</v>
      </c>
      <c r="K333" t="s">
        <v>938</v>
      </c>
      <c r="L333" t="s">
        <v>952</v>
      </c>
      <c r="M333" t="s">
        <v>953</v>
      </c>
    </row>
    <row r="334" spans="1:13" x14ac:dyDescent="0.25">
      <c r="A334" t="s">
        <v>658</v>
      </c>
      <c r="B334" t="s">
        <v>163</v>
      </c>
      <c r="C334" t="s">
        <v>23</v>
      </c>
      <c r="D334" t="s">
        <v>12</v>
      </c>
      <c r="E334" t="s">
        <v>7</v>
      </c>
      <c r="F334" s="5">
        <v>88116</v>
      </c>
      <c r="G334" t="s">
        <v>16</v>
      </c>
      <c r="H334" t="s">
        <v>10</v>
      </c>
      <c r="I334" s="5">
        <v>4200</v>
      </c>
      <c r="J334" t="s">
        <v>20</v>
      </c>
      <c r="K334" t="s">
        <v>938</v>
      </c>
      <c r="L334" t="s">
        <v>958</v>
      </c>
      <c r="M334" t="s">
        <v>959</v>
      </c>
    </row>
    <row r="335" spans="1:13" x14ac:dyDescent="0.25">
      <c r="A335" t="s">
        <v>659</v>
      </c>
      <c r="B335" t="s">
        <v>660</v>
      </c>
      <c r="C335" t="s">
        <v>23</v>
      </c>
      <c r="D335" t="s">
        <v>11</v>
      </c>
      <c r="E335" t="s">
        <v>7</v>
      </c>
      <c r="F335" s="5">
        <v>88841</v>
      </c>
      <c r="G335" t="s">
        <v>16</v>
      </c>
      <c r="H335" t="s">
        <v>10</v>
      </c>
      <c r="I335" s="5">
        <v>4200</v>
      </c>
      <c r="J335" t="s">
        <v>20</v>
      </c>
      <c r="K335" t="s">
        <v>938</v>
      </c>
      <c r="L335" t="s">
        <v>946</v>
      </c>
      <c r="M335" t="s">
        <v>947</v>
      </c>
    </row>
    <row r="336" spans="1:13" x14ac:dyDescent="0.25">
      <c r="A336" t="s">
        <v>661</v>
      </c>
      <c r="B336" t="s">
        <v>83</v>
      </c>
      <c r="C336" t="s">
        <v>23</v>
      </c>
      <c r="D336" t="s">
        <v>3</v>
      </c>
      <c r="E336" t="s">
        <v>7</v>
      </c>
      <c r="F336" s="5">
        <v>89231</v>
      </c>
      <c r="G336" t="s">
        <v>16</v>
      </c>
      <c r="H336" t="s">
        <v>10</v>
      </c>
      <c r="I336" s="5">
        <v>4200</v>
      </c>
      <c r="J336" t="s">
        <v>20</v>
      </c>
      <c r="K336" t="s">
        <v>938</v>
      </c>
      <c r="L336" t="s">
        <v>955</v>
      </c>
      <c r="M336" t="s">
        <v>956</v>
      </c>
    </row>
    <row r="337" spans="1:13" x14ac:dyDescent="0.25">
      <c r="A337" t="s">
        <v>662</v>
      </c>
      <c r="B337" t="s">
        <v>663</v>
      </c>
      <c r="C337" t="s">
        <v>23</v>
      </c>
      <c r="D337" t="s">
        <v>14</v>
      </c>
      <c r="E337" t="s">
        <v>13</v>
      </c>
      <c r="F337" s="5">
        <v>91710</v>
      </c>
      <c r="G337" t="s">
        <v>16</v>
      </c>
      <c r="H337" t="s">
        <v>10</v>
      </c>
      <c r="I337" s="5">
        <v>4200</v>
      </c>
      <c r="J337" t="s">
        <v>20</v>
      </c>
      <c r="K337" t="s">
        <v>938</v>
      </c>
      <c r="L337" t="s">
        <v>952</v>
      </c>
      <c r="M337" t="s">
        <v>953</v>
      </c>
    </row>
    <row r="338" spans="1:13" x14ac:dyDescent="0.25">
      <c r="A338" t="s">
        <v>664</v>
      </c>
      <c r="B338" t="s">
        <v>665</v>
      </c>
      <c r="C338" t="s">
        <v>23</v>
      </c>
      <c r="D338" t="s">
        <v>8</v>
      </c>
      <c r="E338" t="s">
        <v>4</v>
      </c>
      <c r="F338" s="5">
        <v>91918</v>
      </c>
      <c r="G338" t="s">
        <v>6</v>
      </c>
      <c r="H338" t="s">
        <v>10</v>
      </c>
      <c r="I338" s="5">
        <v>2800</v>
      </c>
      <c r="J338" t="s">
        <v>20</v>
      </c>
      <c r="K338" t="s">
        <v>938</v>
      </c>
      <c r="L338" t="s">
        <v>949</v>
      </c>
      <c r="M338" t="s">
        <v>950</v>
      </c>
    </row>
    <row r="339" spans="1:13" x14ac:dyDescent="0.25">
      <c r="A339" t="s">
        <v>666</v>
      </c>
      <c r="B339" t="s">
        <v>667</v>
      </c>
      <c r="C339" t="s">
        <v>23</v>
      </c>
      <c r="D339" t="s">
        <v>8</v>
      </c>
      <c r="E339" t="s">
        <v>9</v>
      </c>
      <c r="F339" s="5">
        <v>92215</v>
      </c>
      <c r="G339" t="s">
        <v>6</v>
      </c>
      <c r="H339" t="s">
        <v>10</v>
      </c>
      <c r="I339" s="5">
        <v>2800</v>
      </c>
      <c r="J339" t="s">
        <v>20</v>
      </c>
      <c r="K339" t="s">
        <v>938</v>
      </c>
      <c r="L339" t="s">
        <v>949</v>
      </c>
      <c r="M339" t="s">
        <v>950</v>
      </c>
    </row>
    <row r="340" spans="1:13" x14ac:dyDescent="0.25">
      <c r="A340" t="s">
        <v>668</v>
      </c>
      <c r="B340" t="s">
        <v>45</v>
      </c>
      <c r="C340" t="s">
        <v>23</v>
      </c>
      <c r="D340" t="s">
        <v>3</v>
      </c>
      <c r="E340" t="s">
        <v>9</v>
      </c>
      <c r="F340" s="5">
        <v>92840</v>
      </c>
      <c r="G340" t="s">
        <v>16</v>
      </c>
      <c r="H340" t="s">
        <v>10</v>
      </c>
      <c r="I340" s="5">
        <v>4200</v>
      </c>
      <c r="J340" t="s">
        <v>20</v>
      </c>
      <c r="K340" t="s">
        <v>938</v>
      </c>
      <c r="L340" t="s">
        <v>955</v>
      </c>
      <c r="M340" t="s">
        <v>956</v>
      </c>
    </row>
    <row r="341" spans="1:13" x14ac:dyDescent="0.25">
      <c r="A341" t="s">
        <v>669</v>
      </c>
      <c r="B341" t="s">
        <v>670</v>
      </c>
      <c r="C341" t="s">
        <v>23</v>
      </c>
      <c r="D341" t="s">
        <v>3</v>
      </c>
      <c r="E341" t="s">
        <v>13</v>
      </c>
      <c r="F341" s="5">
        <v>89499</v>
      </c>
      <c r="G341" t="s">
        <v>6</v>
      </c>
      <c r="H341" t="s">
        <v>10</v>
      </c>
      <c r="I341" s="5">
        <v>2800</v>
      </c>
      <c r="J341" t="s">
        <v>20</v>
      </c>
      <c r="K341" t="s">
        <v>938</v>
      </c>
      <c r="L341" t="s">
        <v>955</v>
      </c>
      <c r="M341" t="s">
        <v>956</v>
      </c>
    </row>
    <row r="342" spans="1:13" x14ac:dyDescent="0.25">
      <c r="A342" t="s">
        <v>671</v>
      </c>
      <c r="B342" t="s">
        <v>672</v>
      </c>
      <c r="C342" t="s">
        <v>23</v>
      </c>
      <c r="D342" t="s">
        <v>3</v>
      </c>
      <c r="E342" t="s">
        <v>4</v>
      </c>
      <c r="F342" s="5">
        <v>87527</v>
      </c>
      <c r="G342" t="s">
        <v>6</v>
      </c>
      <c r="H342" t="s">
        <v>10</v>
      </c>
      <c r="I342" s="5">
        <v>2800</v>
      </c>
      <c r="J342" t="s">
        <v>20</v>
      </c>
      <c r="K342" t="s">
        <v>938</v>
      </c>
      <c r="L342" t="s">
        <v>955</v>
      </c>
      <c r="M342" t="s">
        <v>956</v>
      </c>
    </row>
    <row r="343" spans="1:13" x14ac:dyDescent="0.25">
      <c r="A343" t="s">
        <v>673</v>
      </c>
      <c r="B343" t="s">
        <v>674</v>
      </c>
      <c r="C343" t="s">
        <v>23</v>
      </c>
      <c r="D343" t="s">
        <v>11</v>
      </c>
      <c r="E343" t="s">
        <v>7</v>
      </c>
      <c r="F343" s="5">
        <v>87128</v>
      </c>
      <c r="G343" t="s">
        <v>6</v>
      </c>
      <c r="H343" t="s">
        <v>10</v>
      </c>
      <c r="I343" s="5">
        <v>2800</v>
      </c>
      <c r="J343" t="s">
        <v>20</v>
      </c>
      <c r="K343" t="s">
        <v>938</v>
      </c>
      <c r="L343" t="s">
        <v>946</v>
      </c>
      <c r="M343" t="s">
        <v>947</v>
      </c>
    </row>
    <row r="344" spans="1:13" x14ac:dyDescent="0.25">
      <c r="A344" t="s">
        <v>675</v>
      </c>
      <c r="B344" t="s">
        <v>676</v>
      </c>
      <c r="C344" t="s">
        <v>23</v>
      </c>
      <c r="D344" t="s">
        <v>12</v>
      </c>
      <c r="E344" t="s">
        <v>7</v>
      </c>
      <c r="F344" s="5">
        <v>82450</v>
      </c>
      <c r="G344" t="s">
        <v>6</v>
      </c>
      <c r="H344" t="s">
        <v>10</v>
      </c>
      <c r="I344" s="5">
        <v>2800</v>
      </c>
      <c r="J344" t="s">
        <v>20</v>
      </c>
      <c r="K344" t="s">
        <v>938</v>
      </c>
      <c r="L344" t="s">
        <v>958</v>
      </c>
      <c r="M344" t="s">
        <v>959</v>
      </c>
    </row>
    <row r="345" spans="1:13" x14ac:dyDescent="0.25">
      <c r="A345" t="s">
        <v>677</v>
      </c>
      <c r="B345" t="s">
        <v>678</v>
      </c>
      <c r="C345" t="s">
        <v>23</v>
      </c>
      <c r="D345" t="s">
        <v>3</v>
      </c>
      <c r="E345" t="s">
        <v>9</v>
      </c>
      <c r="F345" s="5">
        <v>82509</v>
      </c>
      <c r="G345" t="s">
        <v>16</v>
      </c>
      <c r="H345" t="s">
        <v>10</v>
      </c>
      <c r="I345" s="5">
        <v>4200</v>
      </c>
      <c r="J345" t="s">
        <v>20</v>
      </c>
      <c r="K345" t="s">
        <v>938</v>
      </c>
      <c r="L345" t="s">
        <v>955</v>
      </c>
      <c r="M345" t="s">
        <v>956</v>
      </c>
    </row>
    <row r="346" spans="1:13" x14ac:dyDescent="0.25">
      <c r="A346" t="s">
        <v>679</v>
      </c>
      <c r="B346" t="s">
        <v>680</v>
      </c>
      <c r="C346" t="s">
        <v>23</v>
      </c>
      <c r="D346" t="s">
        <v>3</v>
      </c>
      <c r="E346" t="s">
        <v>13</v>
      </c>
      <c r="F346" s="5">
        <v>83350</v>
      </c>
      <c r="G346" t="s">
        <v>6</v>
      </c>
      <c r="H346" t="s">
        <v>10</v>
      </c>
      <c r="I346" s="5">
        <v>2800</v>
      </c>
      <c r="J346" t="s">
        <v>20</v>
      </c>
      <c r="K346" t="s">
        <v>938</v>
      </c>
      <c r="L346" t="s">
        <v>955</v>
      </c>
      <c r="M346" t="s">
        <v>956</v>
      </c>
    </row>
    <row r="347" spans="1:13" x14ac:dyDescent="0.25">
      <c r="A347" t="s">
        <v>681</v>
      </c>
      <c r="B347" t="s">
        <v>682</v>
      </c>
      <c r="C347" t="s">
        <v>23</v>
      </c>
      <c r="D347" t="s">
        <v>8</v>
      </c>
      <c r="E347" t="s">
        <v>7</v>
      </c>
      <c r="F347" s="5">
        <v>83614</v>
      </c>
      <c r="G347" t="s">
        <v>6</v>
      </c>
      <c r="H347" t="s">
        <v>10</v>
      </c>
      <c r="I347" s="5">
        <v>2800</v>
      </c>
      <c r="J347" t="s">
        <v>20</v>
      </c>
      <c r="K347" t="s">
        <v>938</v>
      </c>
      <c r="L347" t="s">
        <v>949</v>
      </c>
      <c r="M347" t="s">
        <v>950</v>
      </c>
    </row>
    <row r="348" spans="1:13" x14ac:dyDescent="0.25">
      <c r="A348" t="s">
        <v>683</v>
      </c>
      <c r="B348" t="s">
        <v>684</v>
      </c>
      <c r="C348" t="s">
        <v>23</v>
      </c>
      <c r="D348" t="s">
        <v>3</v>
      </c>
      <c r="E348" t="s">
        <v>7</v>
      </c>
      <c r="F348" s="5">
        <v>83618</v>
      </c>
      <c r="G348" t="s">
        <v>6</v>
      </c>
      <c r="H348" t="s">
        <v>10</v>
      </c>
      <c r="I348" s="5">
        <v>2800</v>
      </c>
      <c r="J348" t="s">
        <v>20</v>
      </c>
      <c r="K348" t="s">
        <v>938</v>
      </c>
      <c r="L348" t="s">
        <v>955</v>
      </c>
      <c r="M348" t="s">
        <v>956</v>
      </c>
    </row>
    <row r="349" spans="1:13" x14ac:dyDescent="0.25">
      <c r="A349" t="s">
        <v>685</v>
      </c>
      <c r="B349" t="s">
        <v>295</v>
      </c>
      <c r="C349" t="s">
        <v>23</v>
      </c>
      <c r="D349" t="s">
        <v>3</v>
      </c>
      <c r="E349" t="s">
        <v>4</v>
      </c>
      <c r="F349" s="5">
        <v>84264</v>
      </c>
      <c r="G349" t="s">
        <v>6</v>
      </c>
      <c r="H349" t="s">
        <v>10</v>
      </c>
      <c r="I349" s="5">
        <v>2800</v>
      </c>
      <c r="J349" t="s">
        <v>20</v>
      </c>
      <c r="K349" t="s">
        <v>938</v>
      </c>
      <c r="L349" t="s">
        <v>955</v>
      </c>
      <c r="M349" t="s">
        <v>956</v>
      </c>
    </row>
    <row r="350" spans="1:13" x14ac:dyDescent="0.25">
      <c r="A350" t="s">
        <v>686</v>
      </c>
      <c r="B350" t="s">
        <v>687</v>
      </c>
      <c r="C350" t="s">
        <v>23</v>
      </c>
      <c r="D350" t="s">
        <v>14</v>
      </c>
      <c r="E350" t="s">
        <v>7</v>
      </c>
      <c r="F350" s="5">
        <v>84638</v>
      </c>
      <c r="G350" t="s">
        <v>6</v>
      </c>
      <c r="H350" t="s">
        <v>10</v>
      </c>
      <c r="I350" s="5">
        <v>2800</v>
      </c>
      <c r="J350" t="s">
        <v>20</v>
      </c>
      <c r="K350" t="s">
        <v>938</v>
      </c>
      <c r="L350" t="s">
        <v>952</v>
      </c>
      <c r="M350" t="s">
        <v>953</v>
      </c>
    </row>
    <row r="351" spans="1:13" x14ac:dyDescent="0.25">
      <c r="A351" t="s">
        <v>688</v>
      </c>
      <c r="B351" t="s">
        <v>689</v>
      </c>
      <c r="C351" t="s">
        <v>23</v>
      </c>
      <c r="D351" t="s">
        <v>8</v>
      </c>
      <c r="E351" t="s">
        <v>4</v>
      </c>
      <c r="F351" s="5">
        <v>84916</v>
      </c>
      <c r="G351" t="s">
        <v>16</v>
      </c>
      <c r="H351" t="s">
        <v>10</v>
      </c>
      <c r="I351" s="5">
        <v>4200</v>
      </c>
      <c r="J351" t="s">
        <v>20</v>
      </c>
      <c r="K351" t="s">
        <v>938</v>
      </c>
      <c r="L351" t="s">
        <v>949</v>
      </c>
      <c r="M351" t="s">
        <v>950</v>
      </c>
    </row>
    <row r="352" spans="1:13" x14ac:dyDescent="0.25">
      <c r="A352" t="s">
        <v>690</v>
      </c>
      <c r="B352" t="s">
        <v>691</v>
      </c>
      <c r="C352" t="s">
        <v>23</v>
      </c>
      <c r="D352" t="s">
        <v>8</v>
      </c>
      <c r="E352" t="s">
        <v>4</v>
      </c>
      <c r="F352" s="5">
        <v>85938</v>
      </c>
      <c r="G352" t="s">
        <v>16</v>
      </c>
      <c r="H352" t="s">
        <v>10</v>
      </c>
      <c r="I352" s="5">
        <v>4200</v>
      </c>
      <c r="J352" t="s">
        <v>20</v>
      </c>
      <c r="K352" t="s">
        <v>938</v>
      </c>
      <c r="L352" t="s">
        <v>949</v>
      </c>
      <c r="M352" t="s">
        <v>950</v>
      </c>
    </row>
    <row r="353" spans="1:13" x14ac:dyDescent="0.25">
      <c r="A353" t="s">
        <v>692</v>
      </c>
      <c r="B353" t="s">
        <v>693</v>
      </c>
      <c r="C353" t="s">
        <v>23</v>
      </c>
      <c r="D353" t="s">
        <v>12</v>
      </c>
      <c r="E353" t="s">
        <v>4</v>
      </c>
      <c r="F353" s="5">
        <v>87214</v>
      </c>
      <c r="G353" t="s">
        <v>16</v>
      </c>
      <c r="H353" t="s">
        <v>10</v>
      </c>
      <c r="I353" s="5">
        <v>4200</v>
      </c>
      <c r="J353" t="s">
        <v>20</v>
      </c>
      <c r="K353" t="s">
        <v>938</v>
      </c>
      <c r="L353" t="s">
        <v>958</v>
      </c>
      <c r="M353" t="s">
        <v>959</v>
      </c>
    </row>
    <row r="354" spans="1:13" x14ac:dyDescent="0.25">
      <c r="A354" t="s">
        <v>694</v>
      </c>
      <c r="B354" t="s">
        <v>175</v>
      </c>
      <c r="C354" t="s">
        <v>23</v>
      </c>
      <c r="D354" t="s">
        <v>8</v>
      </c>
      <c r="E354" t="s">
        <v>9</v>
      </c>
      <c r="F354" s="5">
        <v>93052</v>
      </c>
      <c r="G354" t="s">
        <v>6</v>
      </c>
      <c r="H354" t="s">
        <v>10</v>
      </c>
      <c r="I354" s="5">
        <v>2800</v>
      </c>
      <c r="J354" t="s">
        <v>20</v>
      </c>
      <c r="K354" t="s">
        <v>938</v>
      </c>
      <c r="L354" t="s">
        <v>949</v>
      </c>
      <c r="M354" t="s">
        <v>950</v>
      </c>
    </row>
    <row r="355" spans="1:13" x14ac:dyDescent="0.25">
      <c r="A355" t="s">
        <v>695</v>
      </c>
      <c r="B355" t="s">
        <v>696</v>
      </c>
      <c r="C355" t="s">
        <v>23</v>
      </c>
      <c r="D355" t="s">
        <v>12</v>
      </c>
      <c r="E355" t="s">
        <v>7</v>
      </c>
      <c r="F355" s="5">
        <v>96651</v>
      </c>
      <c r="G355" t="s">
        <v>6</v>
      </c>
      <c r="H355" t="s">
        <v>10</v>
      </c>
      <c r="I355" s="5">
        <v>2800</v>
      </c>
      <c r="J355" t="s">
        <v>20</v>
      </c>
      <c r="K355" t="s">
        <v>938</v>
      </c>
      <c r="L355" t="s">
        <v>958</v>
      </c>
      <c r="M355" t="s">
        <v>959</v>
      </c>
    </row>
    <row r="356" spans="1:13" x14ac:dyDescent="0.25">
      <c r="A356" t="s">
        <v>697</v>
      </c>
      <c r="B356" t="s">
        <v>532</v>
      </c>
      <c r="C356" t="s">
        <v>23</v>
      </c>
      <c r="D356" t="s">
        <v>8</v>
      </c>
      <c r="E356" t="s">
        <v>4</v>
      </c>
      <c r="F356" s="5">
        <v>102362</v>
      </c>
      <c r="G356" t="s">
        <v>16</v>
      </c>
      <c r="H356" t="s">
        <v>10</v>
      </c>
      <c r="I356" s="5">
        <v>4200</v>
      </c>
      <c r="J356" t="s">
        <v>20</v>
      </c>
      <c r="K356" t="s">
        <v>938</v>
      </c>
      <c r="L356" t="s">
        <v>949</v>
      </c>
      <c r="M356" t="s">
        <v>950</v>
      </c>
    </row>
    <row r="357" spans="1:13" x14ac:dyDescent="0.25">
      <c r="A357" t="s">
        <v>698</v>
      </c>
      <c r="B357" t="s">
        <v>379</v>
      </c>
      <c r="C357" t="s">
        <v>23</v>
      </c>
      <c r="D357" t="s">
        <v>8</v>
      </c>
      <c r="E357" t="s">
        <v>9</v>
      </c>
      <c r="F357" s="5">
        <v>103031</v>
      </c>
      <c r="G357" t="s">
        <v>16</v>
      </c>
      <c r="H357" t="s">
        <v>10</v>
      </c>
      <c r="I357" s="5">
        <v>4200</v>
      </c>
      <c r="J357" t="s">
        <v>20</v>
      </c>
      <c r="K357" t="s">
        <v>938</v>
      </c>
      <c r="L357" t="s">
        <v>949</v>
      </c>
      <c r="M357" t="s">
        <v>950</v>
      </c>
    </row>
    <row r="358" spans="1:13" x14ac:dyDescent="0.25">
      <c r="A358" t="s">
        <v>699</v>
      </c>
      <c r="B358" t="s">
        <v>700</v>
      </c>
      <c r="C358" t="s">
        <v>23</v>
      </c>
      <c r="D358" t="s">
        <v>12</v>
      </c>
      <c r="E358" t="s">
        <v>13</v>
      </c>
      <c r="F358" s="5">
        <v>104278</v>
      </c>
      <c r="G358" t="s">
        <v>6</v>
      </c>
      <c r="H358" t="s">
        <v>10</v>
      </c>
      <c r="I358" s="5">
        <v>2800</v>
      </c>
      <c r="J358" t="s">
        <v>20</v>
      </c>
      <c r="K358" t="s">
        <v>938</v>
      </c>
      <c r="L358" t="s">
        <v>958</v>
      </c>
      <c r="M358" t="s">
        <v>959</v>
      </c>
    </row>
    <row r="359" spans="1:13" x14ac:dyDescent="0.25">
      <c r="A359" t="s">
        <v>701</v>
      </c>
      <c r="B359" t="s">
        <v>702</v>
      </c>
      <c r="C359" t="s">
        <v>23</v>
      </c>
      <c r="D359" t="s">
        <v>14</v>
      </c>
      <c r="E359" t="s">
        <v>4</v>
      </c>
      <c r="F359" s="5">
        <v>105233</v>
      </c>
      <c r="G359" t="s">
        <v>6</v>
      </c>
      <c r="H359" t="s">
        <v>10</v>
      </c>
      <c r="I359" s="5">
        <v>2800</v>
      </c>
      <c r="J359" t="s">
        <v>20</v>
      </c>
      <c r="K359" t="s">
        <v>938</v>
      </c>
      <c r="L359" t="s">
        <v>952</v>
      </c>
      <c r="M359" t="s">
        <v>953</v>
      </c>
    </row>
    <row r="360" spans="1:13" x14ac:dyDescent="0.25">
      <c r="A360" t="s">
        <v>703</v>
      </c>
      <c r="B360" t="s">
        <v>704</v>
      </c>
      <c r="C360" t="s">
        <v>23</v>
      </c>
      <c r="D360" t="s">
        <v>3</v>
      </c>
      <c r="E360" t="s">
        <v>7</v>
      </c>
      <c r="F360" s="5">
        <v>105579</v>
      </c>
      <c r="G360" t="s">
        <v>16</v>
      </c>
      <c r="H360" t="s">
        <v>10</v>
      </c>
      <c r="I360" s="5">
        <v>4200</v>
      </c>
      <c r="J360" t="s">
        <v>20</v>
      </c>
      <c r="K360" t="s">
        <v>938</v>
      </c>
      <c r="L360" t="s">
        <v>955</v>
      </c>
      <c r="M360" t="s">
        <v>956</v>
      </c>
    </row>
    <row r="361" spans="1:13" x14ac:dyDescent="0.25">
      <c r="A361" t="s">
        <v>705</v>
      </c>
      <c r="B361" t="s">
        <v>706</v>
      </c>
      <c r="C361" t="s">
        <v>23</v>
      </c>
      <c r="D361" t="s">
        <v>8</v>
      </c>
      <c r="E361" t="s">
        <v>7</v>
      </c>
      <c r="F361" s="5">
        <v>106973</v>
      </c>
      <c r="G361" t="s">
        <v>6</v>
      </c>
      <c r="H361" t="s">
        <v>10</v>
      </c>
      <c r="I361" s="5">
        <v>2800</v>
      </c>
      <c r="J361" t="s">
        <v>20</v>
      </c>
      <c r="K361" t="s">
        <v>938</v>
      </c>
      <c r="L361" t="s">
        <v>949</v>
      </c>
      <c r="M361" t="s">
        <v>950</v>
      </c>
    </row>
    <row r="362" spans="1:13" x14ac:dyDescent="0.25">
      <c r="A362" t="s">
        <v>707</v>
      </c>
      <c r="B362" t="s">
        <v>708</v>
      </c>
      <c r="C362" t="s">
        <v>23</v>
      </c>
      <c r="D362" t="s">
        <v>3</v>
      </c>
      <c r="E362" t="s">
        <v>9</v>
      </c>
      <c r="F362" s="5">
        <v>107622</v>
      </c>
      <c r="G362" t="s">
        <v>6</v>
      </c>
      <c r="H362" t="s">
        <v>10</v>
      </c>
      <c r="I362" s="5">
        <v>2800</v>
      </c>
      <c r="J362" t="s">
        <v>20</v>
      </c>
      <c r="K362" t="s">
        <v>938</v>
      </c>
      <c r="L362" t="s">
        <v>955</v>
      </c>
      <c r="M362" t="s">
        <v>956</v>
      </c>
    </row>
    <row r="363" spans="1:13" x14ac:dyDescent="0.25">
      <c r="A363" t="s">
        <v>709</v>
      </c>
      <c r="B363" t="s">
        <v>710</v>
      </c>
      <c r="C363" t="s">
        <v>23</v>
      </c>
      <c r="D363" t="s">
        <v>12</v>
      </c>
      <c r="E363" t="s">
        <v>4</v>
      </c>
      <c r="F363" s="5">
        <v>107717</v>
      </c>
      <c r="G363" t="s">
        <v>6</v>
      </c>
      <c r="H363" t="s">
        <v>10</v>
      </c>
      <c r="I363" s="5">
        <v>2800</v>
      </c>
      <c r="J363" t="s">
        <v>20</v>
      </c>
      <c r="K363" t="s">
        <v>938</v>
      </c>
      <c r="L363" t="s">
        <v>958</v>
      </c>
      <c r="M363" t="s">
        <v>959</v>
      </c>
    </row>
    <row r="364" spans="1:13" x14ac:dyDescent="0.25">
      <c r="A364" t="s">
        <v>711</v>
      </c>
      <c r="B364" t="s">
        <v>608</v>
      </c>
      <c r="C364" t="s">
        <v>23</v>
      </c>
      <c r="D364" t="s">
        <v>14</v>
      </c>
      <c r="E364" t="s">
        <v>13</v>
      </c>
      <c r="F364" s="5">
        <v>110097</v>
      </c>
      <c r="G364" t="s">
        <v>16</v>
      </c>
      <c r="H364" t="s">
        <v>10</v>
      </c>
      <c r="I364" s="5">
        <v>4200</v>
      </c>
      <c r="J364" t="s">
        <v>20</v>
      </c>
      <c r="K364" t="s">
        <v>938</v>
      </c>
      <c r="L364" t="s">
        <v>952</v>
      </c>
      <c r="M364" t="s">
        <v>953</v>
      </c>
    </row>
    <row r="365" spans="1:13" x14ac:dyDescent="0.25">
      <c r="A365" t="s">
        <v>712</v>
      </c>
      <c r="B365" t="s">
        <v>713</v>
      </c>
      <c r="C365" t="s">
        <v>23</v>
      </c>
      <c r="D365" t="s">
        <v>14</v>
      </c>
      <c r="E365" t="s">
        <v>7</v>
      </c>
      <c r="F365" s="5">
        <v>110221</v>
      </c>
      <c r="G365" t="s">
        <v>6</v>
      </c>
      <c r="H365" t="s">
        <v>10</v>
      </c>
      <c r="I365" s="5">
        <v>2800</v>
      </c>
      <c r="J365" t="s">
        <v>20</v>
      </c>
      <c r="K365" t="s">
        <v>938</v>
      </c>
      <c r="L365" t="s">
        <v>952</v>
      </c>
      <c r="M365" t="s">
        <v>953</v>
      </c>
    </row>
    <row r="366" spans="1:13" x14ac:dyDescent="0.25">
      <c r="A366" t="s">
        <v>714</v>
      </c>
      <c r="B366" t="s">
        <v>715</v>
      </c>
      <c r="C366" t="s">
        <v>23</v>
      </c>
      <c r="D366" t="s">
        <v>12</v>
      </c>
      <c r="E366" t="s">
        <v>4</v>
      </c>
      <c r="F366" s="5">
        <v>110483</v>
      </c>
      <c r="G366" t="s">
        <v>6</v>
      </c>
      <c r="H366" t="s">
        <v>10</v>
      </c>
      <c r="I366" s="5">
        <v>2800</v>
      </c>
      <c r="J366" t="s">
        <v>20</v>
      </c>
      <c r="K366" t="s">
        <v>938</v>
      </c>
      <c r="L366" t="s">
        <v>958</v>
      </c>
      <c r="M366" t="s">
        <v>959</v>
      </c>
    </row>
    <row r="367" spans="1:13" x14ac:dyDescent="0.25">
      <c r="A367" t="s">
        <v>716</v>
      </c>
      <c r="B367" t="s">
        <v>542</v>
      </c>
      <c r="C367" t="s">
        <v>23</v>
      </c>
      <c r="D367" t="s">
        <v>8</v>
      </c>
      <c r="E367" t="s">
        <v>7</v>
      </c>
      <c r="F367" s="5">
        <v>93474</v>
      </c>
      <c r="G367" t="s">
        <v>6</v>
      </c>
      <c r="H367" t="s">
        <v>10</v>
      </c>
      <c r="I367" s="5">
        <v>2800</v>
      </c>
      <c r="J367" t="s">
        <v>20</v>
      </c>
      <c r="K367" t="s">
        <v>938</v>
      </c>
      <c r="L367" t="s">
        <v>949</v>
      </c>
      <c r="M367" t="s">
        <v>950</v>
      </c>
    </row>
    <row r="368" spans="1:13" x14ac:dyDescent="0.25">
      <c r="A368" t="s">
        <v>717</v>
      </c>
      <c r="B368" t="s">
        <v>718</v>
      </c>
      <c r="C368" t="s">
        <v>23</v>
      </c>
      <c r="D368" t="s">
        <v>11</v>
      </c>
      <c r="E368" t="s">
        <v>4</v>
      </c>
      <c r="F368" s="5">
        <v>101486</v>
      </c>
      <c r="G368" t="s">
        <v>6</v>
      </c>
      <c r="H368" t="s">
        <v>10</v>
      </c>
      <c r="I368" s="5">
        <v>2800</v>
      </c>
      <c r="J368" t="s">
        <v>20</v>
      </c>
      <c r="K368" t="s">
        <v>938</v>
      </c>
      <c r="L368" t="s">
        <v>946</v>
      </c>
      <c r="M368" t="s">
        <v>947</v>
      </c>
    </row>
    <row r="369" spans="1:13" x14ac:dyDescent="0.25">
      <c r="A369" t="s">
        <v>719</v>
      </c>
      <c r="B369" t="s">
        <v>720</v>
      </c>
      <c r="C369" t="s">
        <v>23</v>
      </c>
      <c r="D369" t="s">
        <v>11</v>
      </c>
      <c r="E369" t="s">
        <v>4</v>
      </c>
      <c r="F369" s="5">
        <v>93977</v>
      </c>
      <c r="G369" t="s">
        <v>16</v>
      </c>
      <c r="H369" t="s">
        <v>10</v>
      </c>
      <c r="I369" s="5">
        <v>4200</v>
      </c>
      <c r="J369" t="s">
        <v>20</v>
      </c>
      <c r="K369" t="s">
        <v>938</v>
      </c>
      <c r="L369" t="s">
        <v>946</v>
      </c>
      <c r="M369" t="s">
        <v>947</v>
      </c>
    </row>
    <row r="370" spans="1:13" x14ac:dyDescent="0.25">
      <c r="A370" t="s">
        <v>721</v>
      </c>
      <c r="B370" t="s">
        <v>722</v>
      </c>
      <c r="C370" t="s">
        <v>23</v>
      </c>
      <c r="D370" t="s">
        <v>14</v>
      </c>
      <c r="E370" t="s">
        <v>13</v>
      </c>
      <c r="F370" s="5">
        <v>94863</v>
      </c>
      <c r="G370" t="s">
        <v>16</v>
      </c>
      <c r="H370" t="s">
        <v>10</v>
      </c>
      <c r="I370" s="5">
        <v>4200</v>
      </c>
      <c r="J370" t="s">
        <v>20</v>
      </c>
      <c r="K370" t="s">
        <v>938</v>
      </c>
      <c r="L370" t="s">
        <v>952</v>
      </c>
      <c r="M370" t="s">
        <v>953</v>
      </c>
    </row>
    <row r="371" spans="1:13" x14ac:dyDescent="0.25">
      <c r="A371" t="s">
        <v>723</v>
      </c>
      <c r="B371" t="s">
        <v>724</v>
      </c>
      <c r="C371" t="s">
        <v>23</v>
      </c>
      <c r="D371" t="s">
        <v>12</v>
      </c>
      <c r="E371" t="s">
        <v>4</v>
      </c>
      <c r="F371" s="5">
        <v>94951</v>
      </c>
      <c r="G371" t="s">
        <v>6</v>
      </c>
      <c r="H371" t="s">
        <v>10</v>
      </c>
      <c r="I371" s="5">
        <v>2800</v>
      </c>
      <c r="J371" t="s">
        <v>20</v>
      </c>
      <c r="K371" t="s">
        <v>938</v>
      </c>
      <c r="L371" t="s">
        <v>958</v>
      </c>
      <c r="M371" t="s">
        <v>959</v>
      </c>
    </row>
    <row r="372" spans="1:13" x14ac:dyDescent="0.25">
      <c r="A372" t="s">
        <v>725</v>
      </c>
      <c r="B372" t="s">
        <v>454</v>
      </c>
      <c r="C372" t="s">
        <v>23</v>
      </c>
      <c r="D372" t="s">
        <v>14</v>
      </c>
      <c r="E372" t="s">
        <v>7</v>
      </c>
      <c r="F372" s="5">
        <v>95035</v>
      </c>
      <c r="G372" t="s">
        <v>16</v>
      </c>
      <c r="H372" t="s">
        <v>10</v>
      </c>
      <c r="I372" s="5">
        <v>4200</v>
      </c>
      <c r="J372" t="s">
        <v>20</v>
      </c>
      <c r="K372" t="s">
        <v>938</v>
      </c>
      <c r="L372" t="s">
        <v>952</v>
      </c>
      <c r="M372" t="s">
        <v>953</v>
      </c>
    </row>
    <row r="373" spans="1:13" x14ac:dyDescent="0.25">
      <c r="A373" t="s">
        <v>726</v>
      </c>
      <c r="B373" t="s">
        <v>727</v>
      </c>
      <c r="C373" t="s">
        <v>23</v>
      </c>
      <c r="D373" t="s">
        <v>14</v>
      </c>
      <c r="E373" t="s">
        <v>9</v>
      </c>
      <c r="F373" s="5">
        <v>96263</v>
      </c>
      <c r="G373" t="s">
        <v>16</v>
      </c>
      <c r="H373" t="s">
        <v>10</v>
      </c>
      <c r="I373" s="5">
        <v>4200</v>
      </c>
      <c r="J373" t="s">
        <v>20</v>
      </c>
      <c r="K373" t="s">
        <v>938</v>
      </c>
      <c r="L373" t="s">
        <v>952</v>
      </c>
      <c r="M373" t="s">
        <v>953</v>
      </c>
    </row>
    <row r="374" spans="1:13" x14ac:dyDescent="0.25">
      <c r="A374" t="s">
        <v>728</v>
      </c>
      <c r="B374" t="s">
        <v>729</v>
      </c>
      <c r="C374" t="s">
        <v>23</v>
      </c>
      <c r="D374" t="s">
        <v>14</v>
      </c>
      <c r="E374" t="s">
        <v>4</v>
      </c>
      <c r="F374" s="5">
        <v>80975</v>
      </c>
      <c r="G374" t="s">
        <v>16</v>
      </c>
      <c r="H374" t="s">
        <v>10</v>
      </c>
      <c r="I374" s="5">
        <v>4200</v>
      </c>
      <c r="J374" t="s">
        <v>20</v>
      </c>
      <c r="K374" t="s">
        <v>938</v>
      </c>
      <c r="L374" t="s">
        <v>952</v>
      </c>
      <c r="M374" t="s">
        <v>953</v>
      </c>
    </row>
    <row r="375" spans="1:13" x14ac:dyDescent="0.25">
      <c r="A375" t="s">
        <v>730</v>
      </c>
      <c r="B375" t="s">
        <v>731</v>
      </c>
      <c r="C375" t="s">
        <v>23</v>
      </c>
      <c r="D375" t="s">
        <v>11</v>
      </c>
      <c r="E375" t="s">
        <v>13</v>
      </c>
      <c r="F375" s="5">
        <v>99333</v>
      </c>
      <c r="G375" t="s">
        <v>16</v>
      </c>
      <c r="H375" t="s">
        <v>10</v>
      </c>
      <c r="I375" s="5">
        <v>4200</v>
      </c>
      <c r="J375" t="s">
        <v>20</v>
      </c>
      <c r="K375" t="s">
        <v>938</v>
      </c>
      <c r="L375" t="s">
        <v>946</v>
      </c>
      <c r="M375" t="s">
        <v>947</v>
      </c>
    </row>
    <row r="376" spans="1:13" x14ac:dyDescent="0.25">
      <c r="A376" t="s">
        <v>732</v>
      </c>
      <c r="B376" t="s">
        <v>381</v>
      </c>
      <c r="C376" t="s">
        <v>23</v>
      </c>
      <c r="D376" t="s">
        <v>14</v>
      </c>
      <c r="E376" t="s">
        <v>4</v>
      </c>
      <c r="F376" s="5">
        <v>100234</v>
      </c>
      <c r="G376" t="s">
        <v>6</v>
      </c>
      <c r="H376" t="s">
        <v>10</v>
      </c>
      <c r="I376" s="5">
        <v>2800</v>
      </c>
      <c r="J376" t="s">
        <v>20</v>
      </c>
      <c r="K376" t="s">
        <v>938</v>
      </c>
      <c r="L376" t="s">
        <v>952</v>
      </c>
      <c r="M376" t="s">
        <v>953</v>
      </c>
    </row>
    <row r="377" spans="1:13" x14ac:dyDescent="0.25">
      <c r="A377" t="s">
        <v>733</v>
      </c>
      <c r="B377" t="s">
        <v>582</v>
      </c>
      <c r="C377" t="s">
        <v>23</v>
      </c>
      <c r="D377" t="s">
        <v>14</v>
      </c>
      <c r="E377" t="s">
        <v>4</v>
      </c>
      <c r="F377" s="5">
        <v>101112</v>
      </c>
      <c r="G377" t="s">
        <v>16</v>
      </c>
      <c r="H377" t="s">
        <v>10</v>
      </c>
      <c r="I377" s="5">
        <v>4200</v>
      </c>
      <c r="J377" t="s">
        <v>20</v>
      </c>
      <c r="K377" t="s">
        <v>938</v>
      </c>
      <c r="L377" t="s">
        <v>952</v>
      </c>
      <c r="M377" t="s">
        <v>953</v>
      </c>
    </row>
    <row r="378" spans="1:13" x14ac:dyDescent="0.25">
      <c r="A378" t="s">
        <v>734</v>
      </c>
      <c r="B378" t="s">
        <v>735</v>
      </c>
      <c r="C378" t="s">
        <v>23</v>
      </c>
      <c r="D378" t="s">
        <v>11</v>
      </c>
      <c r="E378" t="s">
        <v>13</v>
      </c>
      <c r="F378" s="5">
        <v>74048</v>
      </c>
      <c r="G378" t="s">
        <v>6</v>
      </c>
      <c r="H378" t="s">
        <v>10</v>
      </c>
      <c r="I378" s="5">
        <v>2800</v>
      </c>
      <c r="J378" t="s">
        <v>20</v>
      </c>
      <c r="K378" t="s">
        <v>939</v>
      </c>
      <c r="L378" t="s">
        <v>946</v>
      </c>
      <c r="M378" t="s">
        <v>947</v>
      </c>
    </row>
    <row r="379" spans="1:13" x14ac:dyDescent="0.25">
      <c r="A379" t="s">
        <v>736</v>
      </c>
      <c r="B379" t="s">
        <v>737</v>
      </c>
      <c r="C379" t="s">
        <v>23</v>
      </c>
      <c r="D379" t="s">
        <v>3</v>
      </c>
      <c r="E379" t="s">
        <v>7</v>
      </c>
      <c r="F379" s="5">
        <v>60048</v>
      </c>
      <c r="G379" t="s">
        <v>6</v>
      </c>
      <c r="H379" t="s">
        <v>10</v>
      </c>
      <c r="I379" s="5">
        <v>2800</v>
      </c>
      <c r="J379" t="s">
        <v>20</v>
      </c>
      <c r="K379" t="s">
        <v>939</v>
      </c>
      <c r="L379" t="s">
        <v>955</v>
      </c>
      <c r="M379" t="s">
        <v>956</v>
      </c>
    </row>
    <row r="380" spans="1:13" x14ac:dyDescent="0.25">
      <c r="A380" t="s">
        <v>738</v>
      </c>
      <c r="B380" t="s">
        <v>739</v>
      </c>
      <c r="C380" t="s">
        <v>23</v>
      </c>
      <c r="D380" t="s">
        <v>8</v>
      </c>
      <c r="E380" t="s">
        <v>4</v>
      </c>
      <c r="F380" s="5">
        <v>60062</v>
      </c>
      <c r="G380" t="s">
        <v>6</v>
      </c>
      <c r="H380" t="s">
        <v>10</v>
      </c>
      <c r="I380" s="5">
        <v>2800</v>
      </c>
      <c r="J380" t="s">
        <v>20</v>
      </c>
      <c r="K380" t="s">
        <v>939</v>
      </c>
      <c r="L380" t="s">
        <v>949</v>
      </c>
      <c r="M380" t="s">
        <v>950</v>
      </c>
    </row>
    <row r="381" spans="1:13" x14ac:dyDescent="0.25">
      <c r="A381" t="s">
        <v>740</v>
      </c>
      <c r="B381" t="s">
        <v>741</v>
      </c>
      <c r="C381" t="s">
        <v>23</v>
      </c>
      <c r="D381" t="s">
        <v>11</v>
      </c>
      <c r="E381" t="s">
        <v>7</v>
      </c>
      <c r="F381" s="5">
        <v>60577</v>
      </c>
      <c r="G381" t="s">
        <v>6</v>
      </c>
      <c r="H381" t="s">
        <v>10</v>
      </c>
      <c r="I381" s="5">
        <v>2800</v>
      </c>
      <c r="J381" t="s">
        <v>20</v>
      </c>
      <c r="K381" t="s">
        <v>939</v>
      </c>
      <c r="L381" t="s">
        <v>946</v>
      </c>
      <c r="M381" t="s">
        <v>947</v>
      </c>
    </row>
    <row r="382" spans="1:13" x14ac:dyDescent="0.25">
      <c r="A382" t="s">
        <v>742</v>
      </c>
      <c r="B382" t="s">
        <v>743</v>
      </c>
      <c r="C382" t="s">
        <v>23</v>
      </c>
      <c r="D382" t="s">
        <v>12</v>
      </c>
      <c r="E382" t="s">
        <v>7</v>
      </c>
      <c r="F382" s="5">
        <v>61121</v>
      </c>
      <c r="G382" t="s">
        <v>6</v>
      </c>
      <c r="H382" t="s">
        <v>10</v>
      </c>
      <c r="I382" s="5">
        <v>2800</v>
      </c>
      <c r="J382" t="s">
        <v>20</v>
      </c>
      <c r="K382" t="s">
        <v>939</v>
      </c>
      <c r="L382" t="s">
        <v>958</v>
      </c>
      <c r="M382" t="s">
        <v>959</v>
      </c>
    </row>
    <row r="383" spans="1:13" x14ac:dyDescent="0.25">
      <c r="A383" t="s">
        <v>744</v>
      </c>
      <c r="B383" t="s">
        <v>39</v>
      </c>
      <c r="C383" t="s">
        <v>23</v>
      </c>
      <c r="D383" t="s">
        <v>14</v>
      </c>
      <c r="E383" t="s">
        <v>7</v>
      </c>
      <c r="F383" s="5">
        <v>62682</v>
      </c>
      <c r="G383" t="s">
        <v>16</v>
      </c>
      <c r="H383" t="s">
        <v>10</v>
      </c>
      <c r="I383" s="5">
        <v>4200</v>
      </c>
      <c r="J383" t="s">
        <v>20</v>
      </c>
      <c r="K383" t="s">
        <v>939</v>
      </c>
      <c r="L383" t="s">
        <v>952</v>
      </c>
      <c r="M383" t="s">
        <v>953</v>
      </c>
    </row>
    <row r="384" spans="1:13" x14ac:dyDescent="0.25">
      <c r="A384" t="s">
        <v>745</v>
      </c>
      <c r="B384" t="s">
        <v>735</v>
      </c>
      <c r="C384" t="s">
        <v>23</v>
      </c>
      <c r="D384" t="s">
        <v>11</v>
      </c>
      <c r="E384" t="s">
        <v>9</v>
      </c>
      <c r="F384" s="5">
        <v>63179</v>
      </c>
      <c r="G384" t="s">
        <v>16</v>
      </c>
      <c r="H384" t="s">
        <v>10</v>
      </c>
      <c r="I384" s="5">
        <v>4200</v>
      </c>
      <c r="J384" t="s">
        <v>20</v>
      </c>
      <c r="K384" t="s">
        <v>939</v>
      </c>
      <c r="L384" t="s">
        <v>946</v>
      </c>
      <c r="M384" t="s">
        <v>947</v>
      </c>
    </row>
    <row r="385" spans="1:13" x14ac:dyDescent="0.25">
      <c r="A385" t="s">
        <v>746</v>
      </c>
      <c r="B385" t="s">
        <v>718</v>
      </c>
      <c r="C385" t="s">
        <v>23</v>
      </c>
      <c r="D385" t="s">
        <v>3</v>
      </c>
      <c r="E385" t="s">
        <v>4</v>
      </c>
      <c r="F385" s="5">
        <v>63516</v>
      </c>
      <c r="G385" t="s">
        <v>16</v>
      </c>
      <c r="H385" t="s">
        <v>10</v>
      </c>
      <c r="I385" s="5">
        <v>4200</v>
      </c>
      <c r="J385" t="s">
        <v>20</v>
      </c>
      <c r="K385" t="s">
        <v>939</v>
      </c>
      <c r="L385" t="s">
        <v>955</v>
      </c>
      <c r="M385" t="s">
        <v>956</v>
      </c>
    </row>
    <row r="386" spans="1:13" x14ac:dyDescent="0.25">
      <c r="A386" t="s">
        <v>747</v>
      </c>
      <c r="B386" t="s">
        <v>748</v>
      </c>
      <c r="C386" t="s">
        <v>23</v>
      </c>
      <c r="D386" t="s">
        <v>11</v>
      </c>
      <c r="E386" t="s">
        <v>13</v>
      </c>
      <c r="F386" s="5">
        <v>64043</v>
      </c>
      <c r="G386" t="s">
        <v>16</v>
      </c>
      <c r="H386" t="s">
        <v>10</v>
      </c>
      <c r="I386" s="5">
        <v>4200</v>
      </c>
      <c r="J386" t="s">
        <v>20</v>
      </c>
      <c r="K386" t="s">
        <v>939</v>
      </c>
      <c r="L386" t="s">
        <v>946</v>
      </c>
      <c r="M386" t="s">
        <v>947</v>
      </c>
    </row>
    <row r="387" spans="1:13" x14ac:dyDescent="0.25">
      <c r="A387" t="s">
        <v>749</v>
      </c>
      <c r="B387" t="s">
        <v>750</v>
      </c>
      <c r="C387" t="s">
        <v>23</v>
      </c>
      <c r="D387" t="s">
        <v>12</v>
      </c>
      <c r="E387" t="s">
        <v>4</v>
      </c>
      <c r="F387" s="5">
        <v>72977</v>
      </c>
      <c r="G387" t="s">
        <v>6</v>
      </c>
      <c r="H387" t="s">
        <v>10</v>
      </c>
      <c r="I387" s="5">
        <v>2800</v>
      </c>
      <c r="J387" t="s">
        <v>20</v>
      </c>
      <c r="K387" t="s">
        <v>939</v>
      </c>
      <c r="L387" t="s">
        <v>958</v>
      </c>
      <c r="M387" t="s">
        <v>959</v>
      </c>
    </row>
    <row r="388" spans="1:13" x14ac:dyDescent="0.25">
      <c r="A388" t="s">
        <v>751</v>
      </c>
      <c r="B388" t="s">
        <v>752</v>
      </c>
      <c r="C388" t="s">
        <v>23</v>
      </c>
      <c r="D388" t="s">
        <v>14</v>
      </c>
      <c r="E388" t="s">
        <v>9</v>
      </c>
      <c r="F388" s="5">
        <v>73155</v>
      </c>
      <c r="G388" t="s">
        <v>16</v>
      </c>
      <c r="H388" t="s">
        <v>10</v>
      </c>
      <c r="I388" s="5">
        <v>4200</v>
      </c>
      <c r="J388" t="s">
        <v>20</v>
      </c>
      <c r="K388" t="s">
        <v>939</v>
      </c>
      <c r="L388" t="s">
        <v>952</v>
      </c>
      <c r="M388" t="s">
        <v>953</v>
      </c>
    </row>
    <row r="389" spans="1:13" x14ac:dyDescent="0.25">
      <c r="A389" t="s">
        <v>753</v>
      </c>
      <c r="B389" t="s">
        <v>107</v>
      </c>
      <c r="C389" t="s">
        <v>23</v>
      </c>
      <c r="D389" t="s">
        <v>8</v>
      </c>
      <c r="E389" t="s">
        <v>13</v>
      </c>
      <c r="F389" s="5">
        <v>74026</v>
      </c>
      <c r="G389" t="s">
        <v>16</v>
      </c>
      <c r="H389" t="s">
        <v>10</v>
      </c>
      <c r="I389" s="5">
        <v>4200</v>
      </c>
      <c r="J389" t="s">
        <v>20</v>
      </c>
      <c r="K389" t="s">
        <v>939</v>
      </c>
      <c r="L389" t="s">
        <v>949</v>
      </c>
      <c r="M389" t="s">
        <v>950</v>
      </c>
    </row>
    <row r="390" spans="1:13" x14ac:dyDescent="0.25">
      <c r="A390" t="s">
        <v>754</v>
      </c>
      <c r="B390" t="s">
        <v>755</v>
      </c>
      <c r="C390" t="s">
        <v>23</v>
      </c>
      <c r="D390" t="s">
        <v>8</v>
      </c>
      <c r="E390" t="s">
        <v>7</v>
      </c>
      <c r="F390" s="5">
        <v>110588</v>
      </c>
      <c r="G390" t="s">
        <v>6</v>
      </c>
      <c r="H390" t="s">
        <v>10</v>
      </c>
      <c r="I390" s="5">
        <v>2800</v>
      </c>
      <c r="J390" t="s">
        <v>20</v>
      </c>
      <c r="K390" t="s">
        <v>938</v>
      </c>
      <c r="L390" t="s">
        <v>949</v>
      </c>
      <c r="M390" t="s">
        <v>950</v>
      </c>
    </row>
    <row r="391" spans="1:13" x14ac:dyDescent="0.25">
      <c r="A391" t="s">
        <v>756</v>
      </c>
      <c r="B391" t="s">
        <v>757</v>
      </c>
      <c r="C391" t="s">
        <v>23</v>
      </c>
      <c r="D391" t="s">
        <v>14</v>
      </c>
      <c r="E391" t="s">
        <v>7</v>
      </c>
      <c r="F391" s="5">
        <v>74460</v>
      </c>
      <c r="G391" t="s">
        <v>16</v>
      </c>
      <c r="H391" t="s">
        <v>10</v>
      </c>
      <c r="I391" s="5">
        <v>4200</v>
      </c>
      <c r="J391" t="s">
        <v>20</v>
      </c>
      <c r="K391" t="s">
        <v>939</v>
      </c>
      <c r="L391" t="s">
        <v>952</v>
      </c>
      <c r="M391" t="s">
        <v>953</v>
      </c>
    </row>
    <row r="392" spans="1:13" x14ac:dyDescent="0.25">
      <c r="A392" t="s">
        <v>758</v>
      </c>
      <c r="B392" t="s">
        <v>759</v>
      </c>
      <c r="C392" t="s">
        <v>23</v>
      </c>
      <c r="D392" t="s">
        <v>8</v>
      </c>
      <c r="E392" t="s">
        <v>9</v>
      </c>
      <c r="F392" s="5">
        <v>75859</v>
      </c>
      <c r="G392" t="s">
        <v>6</v>
      </c>
      <c r="H392" t="s">
        <v>10</v>
      </c>
      <c r="I392" s="5">
        <v>2800</v>
      </c>
      <c r="J392" t="s">
        <v>20</v>
      </c>
      <c r="K392" t="s">
        <v>939</v>
      </c>
      <c r="L392" t="s">
        <v>949</v>
      </c>
      <c r="M392" t="s">
        <v>950</v>
      </c>
    </row>
    <row r="393" spans="1:13" x14ac:dyDescent="0.25">
      <c r="A393" t="s">
        <v>760</v>
      </c>
      <c r="B393" t="s">
        <v>173</v>
      </c>
      <c r="C393" t="s">
        <v>23</v>
      </c>
      <c r="D393" t="s">
        <v>8</v>
      </c>
      <c r="E393" t="s">
        <v>9</v>
      </c>
      <c r="F393" s="5">
        <v>76942</v>
      </c>
      <c r="G393" t="s">
        <v>6</v>
      </c>
      <c r="H393" t="s">
        <v>10</v>
      </c>
      <c r="I393" s="5">
        <v>2800</v>
      </c>
      <c r="J393" t="s">
        <v>20</v>
      </c>
      <c r="K393" t="s">
        <v>939</v>
      </c>
      <c r="L393" t="s">
        <v>949</v>
      </c>
      <c r="M393" t="s">
        <v>950</v>
      </c>
    </row>
    <row r="394" spans="1:13" x14ac:dyDescent="0.25">
      <c r="A394" t="s">
        <v>761</v>
      </c>
      <c r="B394" t="s">
        <v>308</v>
      </c>
      <c r="C394" t="s">
        <v>23</v>
      </c>
      <c r="D394" t="s">
        <v>12</v>
      </c>
      <c r="E394" t="s">
        <v>9</v>
      </c>
      <c r="F394" s="5">
        <v>77592</v>
      </c>
      <c r="G394" t="s">
        <v>16</v>
      </c>
      <c r="H394" t="s">
        <v>10</v>
      </c>
      <c r="I394" s="5">
        <v>4200</v>
      </c>
      <c r="J394" t="s">
        <v>20</v>
      </c>
      <c r="K394" t="s">
        <v>939</v>
      </c>
      <c r="L394" t="s">
        <v>958</v>
      </c>
      <c r="M394" t="s">
        <v>959</v>
      </c>
    </row>
    <row r="395" spans="1:13" x14ac:dyDescent="0.25">
      <c r="A395" t="s">
        <v>762</v>
      </c>
      <c r="B395" t="s">
        <v>119</v>
      </c>
      <c r="C395" t="s">
        <v>23</v>
      </c>
      <c r="D395" t="s">
        <v>14</v>
      </c>
      <c r="E395" t="s">
        <v>9</v>
      </c>
      <c r="F395" s="5">
        <v>78678</v>
      </c>
      <c r="G395" t="s">
        <v>6</v>
      </c>
      <c r="H395" t="s">
        <v>10</v>
      </c>
      <c r="I395" s="5">
        <v>2800</v>
      </c>
      <c r="J395" t="s">
        <v>20</v>
      </c>
      <c r="K395" t="s">
        <v>939</v>
      </c>
      <c r="L395" t="s">
        <v>952</v>
      </c>
      <c r="M395" t="s">
        <v>953</v>
      </c>
    </row>
    <row r="396" spans="1:13" x14ac:dyDescent="0.25">
      <c r="A396" t="s">
        <v>763</v>
      </c>
      <c r="B396" t="s">
        <v>764</v>
      </c>
      <c r="C396" t="s">
        <v>23</v>
      </c>
      <c r="D396" t="s">
        <v>14</v>
      </c>
      <c r="E396" t="s">
        <v>13</v>
      </c>
      <c r="F396" s="5">
        <v>78895</v>
      </c>
      <c r="G396" t="s">
        <v>16</v>
      </c>
      <c r="H396" t="s">
        <v>10</v>
      </c>
      <c r="I396" s="5">
        <v>4200</v>
      </c>
      <c r="J396" t="s">
        <v>20</v>
      </c>
      <c r="K396" t="s">
        <v>939</v>
      </c>
      <c r="L396" t="s">
        <v>952</v>
      </c>
      <c r="M396" t="s">
        <v>953</v>
      </c>
    </row>
    <row r="397" spans="1:13" x14ac:dyDescent="0.25">
      <c r="A397" t="s">
        <v>765</v>
      </c>
      <c r="B397" t="s">
        <v>766</v>
      </c>
      <c r="C397" t="s">
        <v>23</v>
      </c>
      <c r="D397" t="s">
        <v>14</v>
      </c>
      <c r="E397" t="s">
        <v>13</v>
      </c>
      <c r="F397" s="5">
        <v>79153</v>
      </c>
      <c r="G397" t="s">
        <v>6</v>
      </c>
      <c r="H397" t="s">
        <v>10</v>
      </c>
      <c r="I397" s="5">
        <v>2800</v>
      </c>
      <c r="J397" t="s">
        <v>20</v>
      </c>
      <c r="K397" t="s">
        <v>938</v>
      </c>
      <c r="L397" t="s">
        <v>952</v>
      </c>
      <c r="M397" t="s">
        <v>953</v>
      </c>
    </row>
    <row r="398" spans="1:13" x14ac:dyDescent="0.25">
      <c r="A398" t="s">
        <v>767</v>
      </c>
      <c r="B398" t="s">
        <v>768</v>
      </c>
      <c r="C398" t="s">
        <v>23</v>
      </c>
      <c r="D398" t="s">
        <v>14</v>
      </c>
      <c r="E398" t="s">
        <v>13</v>
      </c>
      <c r="F398" s="5">
        <v>79175</v>
      </c>
      <c r="G398" t="s">
        <v>16</v>
      </c>
      <c r="H398" t="s">
        <v>10</v>
      </c>
      <c r="I398" s="5">
        <v>4200</v>
      </c>
      <c r="J398" t="s">
        <v>20</v>
      </c>
      <c r="K398" t="s">
        <v>938</v>
      </c>
      <c r="L398" t="s">
        <v>952</v>
      </c>
      <c r="M398" t="s">
        <v>953</v>
      </c>
    </row>
    <row r="399" spans="1:13" x14ac:dyDescent="0.25">
      <c r="A399" t="s">
        <v>769</v>
      </c>
      <c r="B399" t="s">
        <v>770</v>
      </c>
      <c r="C399" t="s">
        <v>23</v>
      </c>
      <c r="D399" t="s">
        <v>12</v>
      </c>
      <c r="E399" t="s">
        <v>7</v>
      </c>
      <c r="F399" s="5">
        <v>72779</v>
      </c>
      <c r="G399" t="s">
        <v>6</v>
      </c>
      <c r="H399" t="s">
        <v>10</v>
      </c>
      <c r="I399" s="5">
        <v>2800</v>
      </c>
      <c r="J399" t="s">
        <v>20</v>
      </c>
      <c r="K399" t="s">
        <v>939</v>
      </c>
      <c r="L399" t="s">
        <v>958</v>
      </c>
      <c r="M399" t="s">
        <v>959</v>
      </c>
    </row>
    <row r="400" spans="1:13" x14ac:dyDescent="0.25">
      <c r="A400" t="s">
        <v>771</v>
      </c>
      <c r="B400" t="s">
        <v>772</v>
      </c>
      <c r="C400" t="s">
        <v>23</v>
      </c>
      <c r="D400" t="s">
        <v>8</v>
      </c>
      <c r="E400" t="s">
        <v>7</v>
      </c>
      <c r="F400" s="5">
        <v>71912</v>
      </c>
      <c r="G400" t="s">
        <v>6</v>
      </c>
      <c r="H400" t="s">
        <v>10</v>
      </c>
      <c r="I400" s="5">
        <v>2800</v>
      </c>
      <c r="J400" t="s">
        <v>20</v>
      </c>
      <c r="K400" t="s">
        <v>939</v>
      </c>
      <c r="L400" t="s">
        <v>949</v>
      </c>
      <c r="M400" t="s">
        <v>950</v>
      </c>
    </row>
    <row r="401" spans="1:13" x14ac:dyDescent="0.25">
      <c r="A401" t="s">
        <v>773</v>
      </c>
      <c r="B401" t="s">
        <v>774</v>
      </c>
      <c r="C401" t="s">
        <v>23</v>
      </c>
      <c r="D401" t="s">
        <v>14</v>
      </c>
      <c r="E401" t="s">
        <v>4</v>
      </c>
      <c r="F401" s="5">
        <v>64758</v>
      </c>
      <c r="G401" t="s">
        <v>16</v>
      </c>
      <c r="H401" t="s">
        <v>10</v>
      </c>
      <c r="I401" s="5">
        <v>4200</v>
      </c>
      <c r="J401" t="s">
        <v>20</v>
      </c>
      <c r="K401" t="s">
        <v>939</v>
      </c>
      <c r="L401" t="s">
        <v>952</v>
      </c>
      <c r="M401" t="s">
        <v>953</v>
      </c>
    </row>
    <row r="402" spans="1:13" x14ac:dyDescent="0.25">
      <c r="A402" t="s">
        <v>775</v>
      </c>
      <c r="B402" t="s">
        <v>776</v>
      </c>
      <c r="C402" t="s">
        <v>23</v>
      </c>
      <c r="D402" t="s">
        <v>11</v>
      </c>
      <c r="E402" t="s">
        <v>7</v>
      </c>
      <c r="F402" s="5">
        <v>66897</v>
      </c>
      <c r="G402" t="s">
        <v>16</v>
      </c>
      <c r="H402" t="s">
        <v>10</v>
      </c>
      <c r="I402" s="5">
        <v>4200</v>
      </c>
      <c r="J402" t="s">
        <v>20</v>
      </c>
      <c r="K402" t="s">
        <v>939</v>
      </c>
      <c r="L402" t="s">
        <v>946</v>
      </c>
      <c r="M402" t="s">
        <v>947</v>
      </c>
    </row>
    <row r="403" spans="1:13" x14ac:dyDescent="0.25">
      <c r="A403" t="s">
        <v>777</v>
      </c>
      <c r="B403" t="s">
        <v>778</v>
      </c>
      <c r="C403" t="s">
        <v>23</v>
      </c>
      <c r="D403" t="s">
        <v>12</v>
      </c>
      <c r="E403" t="s">
        <v>13</v>
      </c>
      <c r="F403" s="5">
        <v>67240</v>
      </c>
      <c r="G403" t="s">
        <v>6</v>
      </c>
      <c r="H403" t="s">
        <v>10</v>
      </c>
      <c r="I403" s="5">
        <v>2800</v>
      </c>
      <c r="J403" t="s">
        <v>20</v>
      </c>
      <c r="K403" t="s">
        <v>939</v>
      </c>
      <c r="L403" t="s">
        <v>958</v>
      </c>
      <c r="M403" t="s">
        <v>959</v>
      </c>
    </row>
    <row r="404" spans="1:13" x14ac:dyDescent="0.25">
      <c r="A404" t="s">
        <v>779</v>
      </c>
      <c r="B404" t="s">
        <v>528</v>
      </c>
      <c r="C404" t="s">
        <v>23</v>
      </c>
      <c r="D404" t="s">
        <v>14</v>
      </c>
      <c r="E404" t="s">
        <v>7</v>
      </c>
      <c r="F404" s="5">
        <v>67874</v>
      </c>
      <c r="G404" t="s">
        <v>16</v>
      </c>
      <c r="H404" t="s">
        <v>10</v>
      </c>
      <c r="I404" s="5">
        <v>4200</v>
      </c>
      <c r="J404" t="s">
        <v>20</v>
      </c>
      <c r="K404" t="s">
        <v>939</v>
      </c>
      <c r="L404" t="s">
        <v>952</v>
      </c>
      <c r="M404" t="s">
        <v>953</v>
      </c>
    </row>
    <row r="405" spans="1:13" x14ac:dyDescent="0.25">
      <c r="A405" t="s">
        <v>780</v>
      </c>
      <c r="B405" t="s">
        <v>781</v>
      </c>
      <c r="C405" t="s">
        <v>23</v>
      </c>
      <c r="D405" t="s">
        <v>11</v>
      </c>
      <c r="E405" t="s">
        <v>9</v>
      </c>
      <c r="F405" s="5">
        <v>69298</v>
      </c>
      <c r="G405" t="s">
        <v>16</v>
      </c>
      <c r="H405" t="s">
        <v>10</v>
      </c>
      <c r="I405" s="5">
        <v>4200</v>
      </c>
      <c r="J405" t="s">
        <v>20</v>
      </c>
      <c r="K405" t="s">
        <v>939</v>
      </c>
      <c r="L405" t="s">
        <v>946</v>
      </c>
      <c r="M405" t="s">
        <v>947</v>
      </c>
    </row>
    <row r="406" spans="1:13" x14ac:dyDescent="0.25">
      <c r="A406" t="s">
        <v>782</v>
      </c>
      <c r="B406" t="s">
        <v>783</v>
      </c>
      <c r="C406" t="s">
        <v>23</v>
      </c>
      <c r="D406" t="s">
        <v>8</v>
      </c>
      <c r="E406" t="s">
        <v>4</v>
      </c>
      <c r="F406" s="5">
        <v>69899</v>
      </c>
      <c r="G406" t="s">
        <v>16</v>
      </c>
      <c r="H406" t="s">
        <v>10</v>
      </c>
      <c r="I406" s="5">
        <v>4200</v>
      </c>
      <c r="J406" t="s">
        <v>20</v>
      </c>
      <c r="K406" t="s">
        <v>939</v>
      </c>
      <c r="L406" t="s">
        <v>949</v>
      </c>
      <c r="M406" t="s">
        <v>950</v>
      </c>
    </row>
    <row r="407" spans="1:13" x14ac:dyDescent="0.25">
      <c r="A407" t="s">
        <v>784</v>
      </c>
      <c r="B407" t="s">
        <v>620</v>
      </c>
      <c r="C407" t="s">
        <v>23</v>
      </c>
      <c r="D407" t="s">
        <v>3</v>
      </c>
      <c r="E407" t="s">
        <v>7</v>
      </c>
      <c r="F407" s="5">
        <v>70001</v>
      </c>
      <c r="G407" t="s">
        <v>6</v>
      </c>
      <c r="H407" t="s">
        <v>10</v>
      </c>
      <c r="I407" s="5">
        <v>2800</v>
      </c>
      <c r="J407" t="s">
        <v>20</v>
      </c>
      <c r="K407" t="s">
        <v>939</v>
      </c>
      <c r="L407" t="s">
        <v>955</v>
      </c>
      <c r="M407" t="s">
        <v>956</v>
      </c>
    </row>
    <row r="408" spans="1:13" x14ac:dyDescent="0.25">
      <c r="A408" t="s">
        <v>785</v>
      </c>
      <c r="B408" t="s">
        <v>542</v>
      </c>
      <c r="C408" t="s">
        <v>23</v>
      </c>
      <c r="D408" t="s">
        <v>14</v>
      </c>
      <c r="E408" t="s">
        <v>4</v>
      </c>
      <c r="F408" s="5">
        <v>70162</v>
      </c>
      <c r="G408" t="s">
        <v>16</v>
      </c>
      <c r="H408" t="s">
        <v>10</v>
      </c>
      <c r="I408" s="5">
        <v>4200</v>
      </c>
      <c r="J408" t="s">
        <v>20</v>
      </c>
      <c r="K408" t="s">
        <v>939</v>
      </c>
      <c r="L408" t="s">
        <v>952</v>
      </c>
      <c r="M408" t="s">
        <v>953</v>
      </c>
    </row>
    <row r="409" spans="1:13" x14ac:dyDescent="0.25">
      <c r="A409" t="s">
        <v>786</v>
      </c>
      <c r="B409" t="s">
        <v>787</v>
      </c>
      <c r="C409" t="s">
        <v>23</v>
      </c>
      <c r="D409" t="s">
        <v>12</v>
      </c>
      <c r="E409" t="s">
        <v>4</v>
      </c>
      <c r="F409" s="5">
        <v>70963</v>
      </c>
      <c r="G409" t="s">
        <v>16</v>
      </c>
      <c r="H409" t="s">
        <v>10</v>
      </c>
      <c r="I409" s="5">
        <v>4200</v>
      </c>
      <c r="J409" t="s">
        <v>20</v>
      </c>
      <c r="K409" t="s">
        <v>939</v>
      </c>
      <c r="L409" t="s">
        <v>958</v>
      </c>
      <c r="M409" t="s">
        <v>959</v>
      </c>
    </row>
    <row r="410" spans="1:13" x14ac:dyDescent="0.25">
      <c r="A410" t="s">
        <v>788</v>
      </c>
      <c r="B410" t="s">
        <v>789</v>
      </c>
      <c r="C410" t="s">
        <v>23</v>
      </c>
      <c r="D410" t="s">
        <v>12</v>
      </c>
      <c r="E410" t="s">
        <v>7</v>
      </c>
      <c r="F410" s="5">
        <v>71087</v>
      </c>
      <c r="G410" t="s">
        <v>6</v>
      </c>
      <c r="H410" t="s">
        <v>10</v>
      </c>
      <c r="I410" s="5">
        <v>2800</v>
      </c>
      <c r="J410" t="s">
        <v>20</v>
      </c>
      <c r="K410" t="s">
        <v>939</v>
      </c>
      <c r="L410" t="s">
        <v>958</v>
      </c>
      <c r="M410" t="s">
        <v>959</v>
      </c>
    </row>
    <row r="411" spans="1:13" x14ac:dyDescent="0.25">
      <c r="A411" t="s">
        <v>790</v>
      </c>
      <c r="B411" t="s">
        <v>791</v>
      </c>
      <c r="C411" t="s">
        <v>23</v>
      </c>
      <c r="D411" t="s">
        <v>11</v>
      </c>
      <c r="E411" t="s">
        <v>13</v>
      </c>
      <c r="F411" s="5">
        <v>71408</v>
      </c>
      <c r="G411" t="s">
        <v>6</v>
      </c>
      <c r="H411" t="s">
        <v>10</v>
      </c>
      <c r="I411" s="5">
        <v>2800</v>
      </c>
      <c r="J411" t="s">
        <v>20</v>
      </c>
      <c r="K411" t="s">
        <v>939</v>
      </c>
      <c r="L411" t="s">
        <v>946</v>
      </c>
      <c r="M411" t="s">
        <v>947</v>
      </c>
    </row>
    <row r="412" spans="1:13" x14ac:dyDescent="0.25">
      <c r="A412" t="s">
        <v>792</v>
      </c>
      <c r="B412" t="s">
        <v>793</v>
      </c>
      <c r="C412" t="s">
        <v>23</v>
      </c>
      <c r="D412" t="s">
        <v>12</v>
      </c>
      <c r="E412" t="s">
        <v>9</v>
      </c>
      <c r="F412" s="5">
        <v>71547</v>
      </c>
      <c r="G412" t="s">
        <v>16</v>
      </c>
      <c r="H412" t="s">
        <v>10</v>
      </c>
      <c r="I412" s="5">
        <v>4200</v>
      </c>
      <c r="J412" t="s">
        <v>20</v>
      </c>
      <c r="K412" t="s">
        <v>939</v>
      </c>
      <c r="L412" t="s">
        <v>958</v>
      </c>
      <c r="M412" t="s">
        <v>959</v>
      </c>
    </row>
    <row r="413" spans="1:13" x14ac:dyDescent="0.25">
      <c r="A413" t="s">
        <v>794</v>
      </c>
      <c r="B413" t="s">
        <v>795</v>
      </c>
      <c r="C413" t="s">
        <v>23</v>
      </c>
      <c r="D413" t="s">
        <v>8</v>
      </c>
      <c r="E413" t="s">
        <v>13</v>
      </c>
      <c r="F413" s="5">
        <v>71873</v>
      </c>
      <c r="G413" t="s">
        <v>6</v>
      </c>
      <c r="H413" t="s">
        <v>10</v>
      </c>
      <c r="I413" s="5">
        <v>2800</v>
      </c>
      <c r="J413" t="s">
        <v>20</v>
      </c>
      <c r="K413" t="s">
        <v>939</v>
      </c>
      <c r="L413" t="s">
        <v>949</v>
      </c>
      <c r="M413" t="s">
        <v>950</v>
      </c>
    </row>
    <row r="414" spans="1:13" x14ac:dyDescent="0.25">
      <c r="A414" t="s">
        <v>796</v>
      </c>
      <c r="B414" t="s">
        <v>61</v>
      </c>
      <c r="C414" t="s">
        <v>23</v>
      </c>
      <c r="D414" t="s">
        <v>12</v>
      </c>
      <c r="E414" t="s">
        <v>13</v>
      </c>
      <c r="F414" s="5">
        <v>110874</v>
      </c>
      <c r="G414" t="s">
        <v>16</v>
      </c>
      <c r="H414" t="s">
        <v>10</v>
      </c>
      <c r="I414" s="5">
        <v>4200</v>
      </c>
      <c r="J414" t="s">
        <v>20</v>
      </c>
      <c r="K414" t="s">
        <v>938</v>
      </c>
      <c r="L414" t="s">
        <v>958</v>
      </c>
      <c r="M414" t="s">
        <v>959</v>
      </c>
    </row>
    <row r="415" spans="1:13" x14ac:dyDescent="0.25">
      <c r="A415" t="s">
        <v>797</v>
      </c>
      <c r="B415" t="s">
        <v>798</v>
      </c>
      <c r="C415" t="s">
        <v>23</v>
      </c>
      <c r="D415" t="s">
        <v>3</v>
      </c>
      <c r="E415" t="s">
        <v>9</v>
      </c>
      <c r="F415" s="5">
        <v>113244</v>
      </c>
      <c r="G415" t="s">
        <v>16</v>
      </c>
      <c r="H415" t="s">
        <v>10</v>
      </c>
      <c r="I415" s="5">
        <v>4200</v>
      </c>
      <c r="J415" t="s">
        <v>20</v>
      </c>
      <c r="K415" t="s">
        <v>940</v>
      </c>
      <c r="L415" t="s">
        <v>955</v>
      </c>
      <c r="M415" t="s">
        <v>956</v>
      </c>
    </row>
    <row r="416" spans="1:13" x14ac:dyDescent="0.25">
      <c r="A416" t="s">
        <v>799</v>
      </c>
      <c r="B416" t="s">
        <v>800</v>
      </c>
      <c r="C416" t="s">
        <v>23</v>
      </c>
      <c r="D416" t="s">
        <v>12</v>
      </c>
      <c r="E416" t="s">
        <v>4</v>
      </c>
      <c r="F416" s="5">
        <v>111621</v>
      </c>
      <c r="G416" t="s">
        <v>16</v>
      </c>
      <c r="H416" t="s">
        <v>10</v>
      </c>
      <c r="I416" s="5">
        <v>4200</v>
      </c>
      <c r="J416" t="s">
        <v>20</v>
      </c>
      <c r="K416" t="s">
        <v>938</v>
      </c>
      <c r="L416" t="s">
        <v>958</v>
      </c>
      <c r="M416" t="s">
        <v>959</v>
      </c>
    </row>
    <row r="417" spans="1:13" x14ac:dyDescent="0.25">
      <c r="A417" t="s">
        <v>801</v>
      </c>
      <c r="B417" t="s">
        <v>802</v>
      </c>
      <c r="C417" t="s">
        <v>23</v>
      </c>
      <c r="D417" t="s">
        <v>11</v>
      </c>
      <c r="E417" t="s">
        <v>4</v>
      </c>
      <c r="F417" s="5">
        <v>119013</v>
      </c>
      <c r="G417" t="s">
        <v>16</v>
      </c>
      <c r="H417" t="s">
        <v>10</v>
      </c>
      <c r="I417" s="5">
        <v>4200</v>
      </c>
      <c r="J417" t="s">
        <v>20</v>
      </c>
      <c r="K417" t="s">
        <v>940</v>
      </c>
      <c r="L417" t="s">
        <v>946</v>
      </c>
      <c r="M417" t="s">
        <v>947</v>
      </c>
    </row>
    <row r="418" spans="1:13" x14ac:dyDescent="0.25">
      <c r="A418" t="s">
        <v>803</v>
      </c>
      <c r="B418" t="s">
        <v>804</v>
      </c>
      <c r="C418" t="s">
        <v>23</v>
      </c>
      <c r="D418" t="s">
        <v>8</v>
      </c>
      <c r="E418" t="s">
        <v>4</v>
      </c>
      <c r="F418" s="5">
        <v>119610</v>
      </c>
      <c r="G418" t="s">
        <v>6</v>
      </c>
      <c r="H418" t="s">
        <v>10</v>
      </c>
      <c r="I418" s="5">
        <v>2800</v>
      </c>
      <c r="J418" t="s">
        <v>20</v>
      </c>
      <c r="K418" t="s">
        <v>940</v>
      </c>
      <c r="L418" t="s">
        <v>949</v>
      </c>
      <c r="M418" t="s">
        <v>950</v>
      </c>
    </row>
    <row r="419" spans="1:13" x14ac:dyDescent="0.25">
      <c r="A419" t="s">
        <v>805</v>
      </c>
      <c r="B419" t="s">
        <v>806</v>
      </c>
      <c r="C419" t="s">
        <v>23</v>
      </c>
      <c r="D419" t="s">
        <v>11</v>
      </c>
      <c r="E419" t="s">
        <v>9</v>
      </c>
      <c r="F419" s="5">
        <v>118306</v>
      </c>
      <c r="G419" t="s">
        <v>16</v>
      </c>
      <c r="H419" t="s">
        <v>10</v>
      </c>
      <c r="I419" s="5">
        <v>4200</v>
      </c>
      <c r="J419" t="s">
        <v>20</v>
      </c>
      <c r="K419" t="s">
        <v>940</v>
      </c>
      <c r="L419" t="s">
        <v>946</v>
      </c>
      <c r="M419" t="s">
        <v>947</v>
      </c>
    </row>
    <row r="420" spans="1:13" x14ac:dyDescent="0.25">
      <c r="A420" t="s">
        <v>807</v>
      </c>
      <c r="B420" t="s">
        <v>741</v>
      </c>
      <c r="C420" t="s">
        <v>23</v>
      </c>
      <c r="D420" t="s">
        <v>11</v>
      </c>
      <c r="E420" t="s">
        <v>9</v>
      </c>
      <c r="F420" s="5">
        <v>111691</v>
      </c>
      <c r="G420" t="s">
        <v>6</v>
      </c>
      <c r="H420" t="s">
        <v>10</v>
      </c>
      <c r="I420" s="5">
        <v>2800</v>
      </c>
      <c r="J420" t="s">
        <v>20</v>
      </c>
      <c r="K420" t="s">
        <v>938</v>
      </c>
      <c r="L420" t="s">
        <v>946</v>
      </c>
      <c r="M420" t="s">
        <v>947</v>
      </c>
    </row>
    <row r="421" spans="1:13" x14ac:dyDescent="0.25">
      <c r="A421" t="s">
        <v>808</v>
      </c>
      <c r="B421" t="s">
        <v>809</v>
      </c>
      <c r="C421" t="s">
        <v>23</v>
      </c>
      <c r="D421" t="s">
        <v>11</v>
      </c>
      <c r="E421" t="s">
        <v>9</v>
      </c>
      <c r="F421" s="5">
        <v>111986</v>
      </c>
      <c r="G421" t="s">
        <v>16</v>
      </c>
      <c r="H421" t="s">
        <v>10</v>
      </c>
      <c r="I421" s="5">
        <v>4200</v>
      </c>
      <c r="J421" t="s">
        <v>20</v>
      </c>
      <c r="K421" t="s">
        <v>938</v>
      </c>
      <c r="L421" t="s">
        <v>946</v>
      </c>
      <c r="M421" t="s">
        <v>947</v>
      </c>
    </row>
    <row r="422" spans="1:13" x14ac:dyDescent="0.25">
      <c r="A422" t="s">
        <v>810</v>
      </c>
      <c r="B422" t="s">
        <v>394</v>
      </c>
      <c r="C422" t="s">
        <v>23</v>
      </c>
      <c r="D422" t="s">
        <v>14</v>
      </c>
      <c r="E422" t="s">
        <v>7</v>
      </c>
      <c r="F422" s="5">
        <v>112754</v>
      </c>
      <c r="G422" t="s">
        <v>6</v>
      </c>
      <c r="H422" t="s">
        <v>10</v>
      </c>
      <c r="I422" s="5">
        <v>2800</v>
      </c>
      <c r="J422" t="s">
        <v>20</v>
      </c>
      <c r="K422" t="s">
        <v>938</v>
      </c>
      <c r="L422" t="s">
        <v>952</v>
      </c>
      <c r="M422" t="s">
        <v>953</v>
      </c>
    </row>
    <row r="423" spans="1:13" x14ac:dyDescent="0.25">
      <c r="A423" t="s">
        <v>811</v>
      </c>
      <c r="B423" t="s">
        <v>411</v>
      </c>
      <c r="C423" t="s">
        <v>23</v>
      </c>
      <c r="D423" t="s">
        <v>14</v>
      </c>
      <c r="E423" t="s">
        <v>13</v>
      </c>
      <c r="F423" s="5">
        <v>112838</v>
      </c>
      <c r="G423" t="s">
        <v>6</v>
      </c>
      <c r="H423" t="s">
        <v>10</v>
      </c>
      <c r="I423" s="5">
        <v>2800</v>
      </c>
      <c r="J423" t="s">
        <v>20</v>
      </c>
      <c r="K423" t="s">
        <v>938</v>
      </c>
      <c r="L423" t="s">
        <v>952</v>
      </c>
      <c r="M423" t="s">
        <v>953</v>
      </c>
    </row>
    <row r="424" spans="1:13" x14ac:dyDescent="0.25">
      <c r="A424" t="s">
        <v>812</v>
      </c>
      <c r="B424" t="s">
        <v>813</v>
      </c>
      <c r="C424" t="s">
        <v>23</v>
      </c>
      <c r="D424" t="s">
        <v>3</v>
      </c>
      <c r="E424" t="s">
        <v>4</v>
      </c>
      <c r="F424" s="5">
        <v>112943</v>
      </c>
      <c r="G424" t="s">
        <v>6</v>
      </c>
      <c r="H424" t="s">
        <v>10</v>
      </c>
      <c r="I424" s="5">
        <v>2800</v>
      </c>
      <c r="J424" t="s">
        <v>20</v>
      </c>
      <c r="K424" t="s">
        <v>938</v>
      </c>
      <c r="L424" t="s">
        <v>955</v>
      </c>
      <c r="M424" t="s">
        <v>956</v>
      </c>
    </row>
    <row r="425" spans="1:13" x14ac:dyDescent="0.25">
      <c r="A425" t="s">
        <v>814</v>
      </c>
      <c r="B425" t="s">
        <v>815</v>
      </c>
      <c r="C425" t="s">
        <v>23</v>
      </c>
      <c r="D425" t="s">
        <v>8</v>
      </c>
      <c r="E425" t="s">
        <v>13</v>
      </c>
      <c r="F425" s="5">
        <v>114498</v>
      </c>
      <c r="G425" t="s">
        <v>6</v>
      </c>
      <c r="H425" t="s">
        <v>10</v>
      </c>
      <c r="I425" s="5">
        <v>2800</v>
      </c>
      <c r="J425" t="s">
        <v>20</v>
      </c>
      <c r="K425" t="s">
        <v>940</v>
      </c>
      <c r="L425" t="s">
        <v>949</v>
      </c>
      <c r="M425" t="s">
        <v>950</v>
      </c>
    </row>
    <row r="426" spans="1:13" x14ac:dyDescent="0.25">
      <c r="A426" t="s">
        <v>816</v>
      </c>
      <c r="B426" t="s">
        <v>817</v>
      </c>
      <c r="C426" t="s">
        <v>23</v>
      </c>
      <c r="D426" t="s">
        <v>8</v>
      </c>
      <c r="E426" t="s">
        <v>4</v>
      </c>
      <c r="F426" s="5">
        <v>114734</v>
      </c>
      <c r="G426" t="s">
        <v>16</v>
      </c>
      <c r="H426" t="s">
        <v>10</v>
      </c>
      <c r="I426" s="5">
        <v>4200</v>
      </c>
      <c r="J426" t="s">
        <v>20</v>
      </c>
      <c r="K426" t="s">
        <v>940</v>
      </c>
      <c r="L426" t="s">
        <v>949</v>
      </c>
      <c r="M426" t="s">
        <v>950</v>
      </c>
    </row>
    <row r="427" spans="1:13" x14ac:dyDescent="0.25">
      <c r="A427" t="s">
        <v>818</v>
      </c>
      <c r="B427" t="s">
        <v>819</v>
      </c>
      <c r="C427" t="s">
        <v>23</v>
      </c>
      <c r="D427" t="s">
        <v>3</v>
      </c>
      <c r="E427" t="s">
        <v>9</v>
      </c>
      <c r="F427" s="5">
        <v>115432</v>
      </c>
      <c r="G427" t="s">
        <v>16</v>
      </c>
      <c r="H427" t="s">
        <v>10</v>
      </c>
      <c r="I427" s="5">
        <v>4200</v>
      </c>
      <c r="J427" t="s">
        <v>20</v>
      </c>
      <c r="K427" t="s">
        <v>940</v>
      </c>
      <c r="L427" t="s">
        <v>955</v>
      </c>
      <c r="M427" t="s">
        <v>956</v>
      </c>
    </row>
    <row r="428" spans="1:13" x14ac:dyDescent="0.25">
      <c r="A428" t="s">
        <v>820</v>
      </c>
      <c r="B428" t="s">
        <v>821</v>
      </c>
      <c r="C428" t="s">
        <v>23</v>
      </c>
      <c r="D428" t="s">
        <v>11</v>
      </c>
      <c r="E428" t="s">
        <v>13</v>
      </c>
      <c r="F428" s="5">
        <v>115676</v>
      </c>
      <c r="G428" t="s">
        <v>6</v>
      </c>
      <c r="H428" t="s">
        <v>10</v>
      </c>
      <c r="I428" s="5">
        <v>2800</v>
      </c>
      <c r="J428" t="s">
        <v>20</v>
      </c>
      <c r="K428" t="s">
        <v>940</v>
      </c>
      <c r="L428" t="s">
        <v>946</v>
      </c>
      <c r="M428" t="s">
        <v>947</v>
      </c>
    </row>
    <row r="429" spans="1:13" x14ac:dyDescent="0.25">
      <c r="A429" t="s">
        <v>822</v>
      </c>
      <c r="B429" t="s">
        <v>276</v>
      </c>
      <c r="C429" t="s">
        <v>23</v>
      </c>
      <c r="D429" t="s">
        <v>11</v>
      </c>
      <c r="E429" t="s">
        <v>9</v>
      </c>
      <c r="F429" s="5">
        <v>116825</v>
      </c>
      <c r="G429" t="s">
        <v>6</v>
      </c>
      <c r="H429" t="s">
        <v>10</v>
      </c>
      <c r="I429" s="5">
        <v>2800</v>
      </c>
      <c r="J429" t="s">
        <v>20</v>
      </c>
      <c r="K429" t="s">
        <v>940</v>
      </c>
      <c r="L429" t="s">
        <v>946</v>
      </c>
      <c r="M429" t="s">
        <v>947</v>
      </c>
    </row>
    <row r="430" spans="1:13" x14ac:dyDescent="0.25">
      <c r="A430" t="s">
        <v>823</v>
      </c>
      <c r="B430" t="s">
        <v>824</v>
      </c>
      <c r="C430" t="s">
        <v>23</v>
      </c>
      <c r="D430" t="s">
        <v>12</v>
      </c>
      <c r="E430" t="s">
        <v>4</v>
      </c>
      <c r="F430" s="5">
        <v>117012</v>
      </c>
      <c r="G430" t="s">
        <v>6</v>
      </c>
      <c r="H430" t="s">
        <v>10</v>
      </c>
      <c r="I430" s="5">
        <v>2800</v>
      </c>
      <c r="J430" t="s">
        <v>20</v>
      </c>
      <c r="K430" t="s">
        <v>940</v>
      </c>
      <c r="L430" t="s">
        <v>958</v>
      </c>
      <c r="M430" t="s">
        <v>959</v>
      </c>
    </row>
    <row r="431" spans="1:13" x14ac:dyDescent="0.25">
      <c r="A431" t="s">
        <v>825</v>
      </c>
      <c r="B431" t="s">
        <v>826</v>
      </c>
      <c r="C431" t="s">
        <v>23</v>
      </c>
      <c r="D431" t="s">
        <v>12</v>
      </c>
      <c r="E431" t="s">
        <v>7</v>
      </c>
      <c r="F431" s="5">
        <v>117736</v>
      </c>
      <c r="G431" t="s">
        <v>16</v>
      </c>
      <c r="H431" t="s">
        <v>10</v>
      </c>
      <c r="I431" s="5">
        <v>4200</v>
      </c>
      <c r="J431" t="s">
        <v>20</v>
      </c>
      <c r="K431" t="s">
        <v>940</v>
      </c>
      <c r="L431" t="s">
        <v>958</v>
      </c>
      <c r="M431" t="s">
        <v>959</v>
      </c>
    </row>
    <row r="432" spans="1:13" x14ac:dyDescent="0.25">
      <c r="A432" t="s">
        <v>827</v>
      </c>
      <c r="B432" t="s">
        <v>828</v>
      </c>
      <c r="C432" t="s">
        <v>25</v>
      </c>
      <c r="D432" t="s">
        <v>11</v>
      </c>
      <c r="E432" t="s">
        <v>13</v>
      </c>
      <c r="F432" s="5">
        <v>138582</v>
      </c>
      <c r="G432" t="s">
        <v>16</v>
      </c>
      <c r="H432" t="s">
        <v>17</v>
      </c>
      <c r="I432" s="5">
        <v>6750</v>
      </c>
      <c r="J432" t="s">
        <v>20</v>
      </c>
      <c r="K432" t="s">
        <v>940</v>
      </c>
      <c r="L432" t="s">
        <v>946</v>
      </c>
      <c r="M432" t="s">
        <v>947</v>
      </c>
    </row>
    <row r="433" spans="1:13" x14ac:dyDescent="0.25">
      <c r="A433" t="s">
        <v>829</v>
      </c>
      <c r="B433" t="s">
        <v>830</v>
      </c>
      <c r="C433" t="s">
        <v>24</v>
      </c>
      <c r="D433" t="s">
        <v>8</v>
      </c>
      <c r="E433" t="s">
        <v>7</v>
      </c>
      <c r="F433" s="5">
        <v>233542</v>
      </c>
      <c r="G433" t="s">
        <v>16</v>
      </c>
      <c r="H433" t="s">
        <v>17</v>
      </c>
      <c r="I433" s="5">
        <v>6750</v>
      </c>
      <c r="J433" t="s">
        <v>18</v>
      </c>
      <c r="K433" t="s">
        <v>941</v>
      </c>
      <c r="L433" t="s">
        <v>949</v>
      </c>
      <c r="M433" t="s">
        <v>950</v>
      </c>
    </row>
    <row r="434" spans="1:13" x14ac:dyDescent="0.25">
      <c r="A434" t="s">
        <v>831</v>
      </c>
      <c r="B434" t="s">
        <v>832</v>
      </c>
      <c r="C434" t="s">
        <v>24</v>
      </c>
      <c r="D434" t="s">
        <v>11</v>
      </c>
      <c r="E434" t="s">
        <v>4</v>
      </c>
      <c r="F434" s="5">
        <v>211837</v>
      </c>
      <c r="G434" t="s">
        <v>16</v>
      </c>
      <c r="H434" t="s">
        <v>17</v>
      </c>
      <c r="I434" s="5">
        <v>6750</v>
      </c>
      <c r="J434" t="s">
        <v>18</v>
      </c>
      <c r="K434" t="s">
        <v>941</v>
      </c>
      <c r="L434" t="s">
        <v>946</v>
      </c>
      <c r="M434" t="s">
        <v>947</v>
      </c>
    </row>
    <row r="435" spans="1:13" x14ac:dyDescent="0.25">
      <c r="A435" t="s">
        <v>833</v>
      </c>
      <c r="B435" t="s">
        <v>179</v>
      </c>
      <c r="C435" t="s">
        <v>24</v>
      </c>
      <c r="D435" t="s">
        <v>11</v>
      </c>
      <c r="E435" t="s">
        <v>9</v>
      </c>
      <c r="F435" s="5">
        <v>211345</v>
      </c>
      <c r="G435" t="s">
        <v>19</v>
      </c>
      <c r="H435" t="s">
        <v>17</v>
      </c>
      <c r="I435" s="5">
        <v>9000</v>
      </c>
      <c r="J435" t="s">
        <v>18</v>
      </c>
      <c r="K435" t="s">
        <v>941</v>
      </c>
      <c r="L435" t="s">
        <v>946</v>
      </c>
      <c r="M435" t="s">
        <v>947</v>
      </c>
    </row>
    <row r="436" spans="1:13" x14ac:dyDescent="0.25">
      <c r="A436" t="s">
        <v>834</v>
      </c>
      <c r="B436" t="s">
        <v>835</v>
      </c>
      <c r="C436" t="s">
        <v>24</v>
      </c>
      <c r="D436" t="s">
        <v>12</v>
      </c>
      <c r="E436" t="s">
        <v>7</v>
      </c>
      <c r="F436" s="5">
        <v>208314</v>
      </c>
      <c r="G436" t="s">
        <v>19</v>
      </c>
      <c r="H436" t="s">
        <v>17</v>
      </c>
      <c r="I436" s="5">
        <v>9000</v>
      </c>
      <c r="J436" t="s">
        <v>18</v>
      </c>
      <c r="K436" t="s">
        <v>941</v>
      </c>
      <c r="L436" t="s">
        <v>958</v>
      </c>
      <c r="M436" t="s">
        <v>959</v>
      </c>
    </row>
    <row r="437" spans="1:13" x14ac:dyDescent="0.25">
      <c r="A437" t="s">
        <v>836</v>
      </c>
      <c r="B437" t="s">
        <v>837</v>
      </c>
      <c r="C437" t="s">
        <v>24</v>
      </c>
      <c r="D437" t="s">
        <v>11</v>
      </c>
      <c r="E437" t="s">
        <v>13</v>
      </c>
      <c r="F437" s="5">
        <v>207884</v>
      </c>
      <c r="G437" t="s">
        <v>16</v>
      </c>
      <c r="H437" t="s">
        <v>17</v>
      </c>
      <c r="I437" s="5">
        <v>6750</v>
      </c>
      <c r="J437" t="s">
        <v>18</v>
      </c>
      <c r="K437" t="s">
        <v>941</v>
      </c>
      <c r="L437" t="s">
        <v>946</v>
      </c>
      <c r="M437" t="s">
        <v>947</v>
      </c>
    </row>
    <row r="438" spans="1:13" x14ac:dyDescent="0.25">
      <c r="A438" t="s">
        <v>838</v>
      </c>
      <c r="B438" t="s">
        <v>839</v>
      </c>
      <c r="C438" t="s">
        <v>25</v>
      </c>
      <c r="D438" t="s">
        <v>3</v>
      </c>
      <c r="E438" t="s">
        <v>7</v>
      </c>
      <c r="F438" s="5">
        <v>206439</v>
      </c>
      <c r="G438" t="s">
        <v>19</v>
      </c>
      <c r="H438" t="s">
        <v>17</v>
      </c>
      <c r="I438" s="5">
        <v>9000</v>
      </c>
      <c r="J438" t="s">
        <v>18</v>
      </c>
      <c r="K438" t="s">
        <v>941</v>
      </c>
      <c r="L438" t="s">
        <v>955</v>
      </c>
      <c r="M438" t="s">
        <v>956</v>
      </c>
    </row>
    <row r="439" spans="1:13" x14ac:dyDescent="0.25">
      <c r="A439" t="s">
        <v>840</v>
      </c>
      <c r="B439" t="s">
        <v>841</v>
      </c>
      <c r="C439" t="s">
        <v>23</v>
      </c>
      <c r="D439" t="s">
        <v>8</v>
      </c>
      <c r="E439" t="s">
        <v>7</v>
      </c>
      <c r="F439" s="5">
        <v>206392</v>
      </c>
      <c r="G439" t="s">
        <v>19</v>
      </c>
      <c r="H439" t="s">
        <v>17</v>
      </c>
      <c r="I439" s="5">
        <v>9000</v>
      </c>
      <c r="J439" t="s">
        <v>18</v>
      </c>
      <c r="K439" t="s">
        <v>941</v>
      </c>
      <c r="L439" t="s">
        <v>949</v>
      </c>
      <c r="M439" t="s">
        <v>950</v>
      </c>
    </row>
    <row r="440" spans="1:13" x14ac:dyDescent="0.25">
      <c r="A440" t="s">
        <v>842</v>
      </c>
      <c r="B440" t="s">
        <v>819</v>
      </c>
      <c r="C440" t="s">
        <v>23</v>
      </c>
      <c r="D440" t="s">
        <v>3</v>
      </c>
      <c r="E440" t="s">
        <v>9</v>
      </c>
      <c r="F440" s="5">
        <v>206306</v>
      </c>
      <c r="G440" t="s">
        <v>16</v>
      </c>
      <c r="H440" t="s">
        <v>17</v>
      </c>
      <c r="I440" s="5">
        <v>6750</v>
      </c>
      <c r="J440" t="s">
        <v>18</v>
      </c>
      <c r="K440" t="s">
        <v>941</v>
      </c>
      <c r="L440" t="s">
        <v>955</v>
      </c>
      <c r="M440" t="s">
        <v>956</v>
      </c>
    </row>
    <row r="441" spans="1:13" x14ac:dyDescent="0.25">
      <c r="A441" t="s">
        <v>843</v>
      </c>
      <c r="B441" t="s">
        <v>844</v>
      </c>
      <c r="C441" t="s">
        <v>23</v>
      </c>
      <c r="D441" t="s">
        <v>14</v>
      </c>
      <c r="E441" t="s">
        <v>13</v>
      </c>
      <c r="F441" s="5">
        <v>211976</v>
      </c>
      <c r="G441" t="s">
        <v>16</v>
      </c>
      <c r="H441" t="s">
        <v>17</v>
      </c>
      <c r="I441" s="5">
        <v>6750</v>
      </c>
      <c r="J441" t="s">
        <v>18</v>
      </c>
      <c r="K441" t="s">
        <v>941</v>
      </c>
      <c r="L441" t="s">
        <v>952</v>
      </c>
      <c r="M441" t="s">
        <v>953</v>
      </c>
    </row>
    <row r="442" spans="1:13" x14ac:dyDescent="0.25">
      <c r="A442" t="s">
        <v>845</v>
      </c>
      <c r="B442" t="s">
        <v>846</v>
      </c>
      <c r="C442" t="s">
        <v>23</v>
      </c>
      <c r="D442" t="s">
        <v>3</v>
      </c>
      <c r="E442" t="s">
        <v>7</v>
      </c>
      <c r="F442" s="5">
        <v>206152</v>
      </c>
      <c r="G442" t="s">
        <v>16</v>
      </c>
      <c r="H442" t="s">
        <v>17</v>
      </c>
      <c r="I442" s="5">
        <v>6750</v>
      </c>
      <c r="J442" t="s">
        <v>18</v>
      </c>
      <c r="K442" t="s">
        <v>941</v>
      </c>
      <c r="L442" t="s">
        <v>955</v>
      </c>
      <c r="M442" t="s">
        <v>956</v>
      </c>
    </row>
    <row r="443" spans="1:13" x14ac:dyDescent="0.25">
      <c r="A443" t="s">
        <v>847</v>
      </c>
      <c r="B443" t="s">
        <v>257</v>
      </c>
      <c r="C443" t="s">
        <v>23</v>
      </c>
      <c r="D443" t="s">
        <v>12</v>
      </c>
      <c r="E443" t="s">
        <v>9</v>
      </c>
      <c r="F443" s="5">
        <v>203117</v>
      </c>
      <c r="G443" t="s">
        <v>16</v>
      </c>
      <c r="H443" t="s">
        <v>17</v>
      </c>
      <c r="I443" s="5">
        <v>6750</v>
      </c>
      <c r="J443" t="s">
        <v>18</v>
      </c>
      <c r="K443" t="s">
        <v>941</v>
      </c>
      <c r="L443" t="s">
        <v>958</v>
      </c>
      <c r="M443" t="s">
        <v>959</v>
      </c>
    </row>
    <row r="444" spans="1:13" x14ac:dyDescent="0.25">
      <c r="A444" t="s">
        <v>848</v>
      </c>
      <c r="B444" t="s">
        <v>435</v>
      </c>
      <c r="C444" t="s">
        <v>23</v>
      </c>
      <c r="D444" t="s">
        <v>8</v>
      </c>
      <c r="E444" t="s">
        <v>13</v>
      </c>
      <c r="F444" s="5">
        <v>202527</v>
      </c>
      <c r="G444" t="s">
        <v>16</v>
      </c>
      <c r="H444" t="s">
        <v>17</v>
      </c>
      <c r="I444" s="5">
        <v>6750</v>
      </c>
      <c r="J444" t="s">
        <v>18</v>
      </c>
      <c r="K444" t="s">
        <v>941</v>
      </c>
      <c r="L444" t="s">
        <v>949</v>
      </c>
      <c r="M444" t="s">
        <v>950</v>
      </c>
    </row>
    <row r="445" spans="1:13" x14ac:dyDescent="0.25">
      <c r="A445" t="s">
        <v>849</v>
      </c>
      <c r="B445" t="s">
        <v>850</v>
      </c>
      <c r="C445" t="s">
        <v>24</v>
      </c>
      <c r="D445" t="s">
        <v>8</v>
      </c>
      <c r="E445" t="s">
        <v>13</v>
      </c>
      <c r="F445" s="5">
        <v>202121</v>
      </c>
      <c r="G445" t="s">
        <v>19</v>
      </c>
      <c r="H445" t="s">
        <v>17</v>
      </c>
      <c r="I445" s="5">
        <v>9000</v>
      </c>
      <c r="J445" t="s">
        <v>18</v>
      </c>
      <c r="K445" t="s">
        <v>941</v>
      </c>
      <c r="L445" t="s">
        <v>949</v>
      </c>
      <c r="M445" t="s">
        <v>950</v>
      </c>
    </row>
    <row r="446" spans="1:13" x14ac:dyDescent="0.25">
      <c r="A446" t="s">
        <v>851</v>
      </c>
      <c r="B446" t="s">
        <v>852</v>
      </c>
      <c r="C446" t="s">
        <v>24</v>
      </c>
      <c r="D446" t="s">
        <v>8</v>
      </c>
      <c r="E446" t="s">
        <v>4</v>
      </c>
      <c r="F446" s="5">
        <v>202029</v>
      </c>
      <c r="G446" t="s">
        <v>19</v>
      </c>
      <c r="H446" t="s">
        <v>17</v>
      </c>
      <c r="I446" s="5">
        <v>9000</v>
      </c>
      <c r="J446" t="s">
        <v>18</v>
      </c>
      <c r="K446" t="s">
        <v>941</v>
      </c>
      <c r="L446" t="s">
        <v>949</v>
      </c>
      <c r="M446" t="s">
        <v>950</v>
      </c>
    </row>
    <row r="447" spans="1:13" x14ac:dyDescent="0.25">
      <c r="A447" t="s">
        <v>853</v>
      </c>
      <c r="B447" t="s">
        <v>571</v>
      </c>
      <c r="C447" t="s">
        <v>23</v>
      </c>
      <c r="D447" t="s">
        <v>3</v>
      </c>
      <c r="E447" t="s">
        <v>4</v>
      </c>
      <c r="F447" s="5">
        <v>201737</v>
      </c>
      <c r="G447" t="s">
        <v>16</v>
      </c>
      <c r="H447" t="s">
        <v>17</v>
      </c>
      <c r="I447" s="5">
        <v>6750</v>
      </c>
      <c r="J447" t="s">
        <v>18</v>
      </c>
      <c r="K447" t="s">
        <v>941</v>
      </c>
      <c r="L447" t="s">
        <v>955</v>
      </c>
      <c r="M447" t="s">
        <v>956</v>
      </c>
    </row>
    <row r="448" spans="1:13" x14ac:dyDescent="0.25">
      <c r="A448" t="s">
        <v>854</v>
      </c>
      <c r="B448" t="s">
        <v>467</v>
      </c>
      <c r="C448" t="s">
        <v>23</v>
      </c>
      <c r="D448" t="s">
        <v>14</v>
      </c>
      <c r="E448" t="s">
        <v>7</v>
      </c>
      <c r="F448" s="5">
        <v>200645</v>
      </c>
      <c r="G448" t="s">
        <v>19</v>
      </c>
      <c r="H448" t="s">
        <v>17</v>
      </c>
      <c r="I448" s="5">
        <v>9000</v>
      </c>
      <c r="J448" t="s">
        <v>18</v>
      </c>
      <c r="K448" t="s">
        <v>941</v>
      </c>
      <c r="L448" t="s">
        <v>952</v>
      </c>
      <c r="M448" t="s">
        <v>953</v>
      </c>
    </row>
    <row r="449" spans="1:13" x14ac:dyDescent="0.25">
      <c r="A449" t="s">
        <v>855</v>
      </c>
      <c r="B449" t="s">
        <v>496</v>
      </c>
      <c r="C449" t="s">
        <v>24</v>
      </c>
      <c r="D449" t="s">
        <v>3</v>
      </c>
      <c r="E449" t="s">
        <v>7</v>
      </c>
      <c r="F449" s="5">
        <v>200421</v>
      </c>
      <c r="G449" t="s">
        <v>16</v>
      </c>
      <c r="H449" t="s">
        <v>17</v>
      </c>
      <c r="I449" s="5">
        <v>6750</v>
      </c>
      <c r="J449" t="s">
        <v>18</v>
      </c>
      <c r="K449" t="s">
        <v>941</v>
      </c>
      <c r="L449" t="s">
        <v>955</v>
      </c>
      <c r="M449" t="s">
        <v>956</v>
      </c>
    </row>
    <row r="450" spans="1:13" x14ac:dyDescent="0.25">
      <c r="A450" t="s">
        <v>856</v>
      </c>
      <c r="B450" t="s">
        <v>857</v>
      </c>
      <c r="C450" t="s">
        <v>24</v>
      </c>
      <c r="D450" t="s">
        <v>11</v>
      </c>
      <c r="E450" t="s">
        <v>13</v>
      </c>
      <c r="F450" s="5">
        <v>205638</v>
      </c>
      <c r="G450" t="s">
        <v>16</v>
      </c>
      <c r="H450" t="s">
        <v>17</v>
      </c>
      <c r="I450" s="5">
        <v>6750</v>
      </c>
      <c r="J450" t="s">
        <v>18</v>
      </c>
      <c r="K450" t="s">
        <v>941</v>
      </c>
      <c r="L450" t="s">
        <v>946</v>
      </c>
      <c r="M450" t="s">
        <v>947</v>
      </c>
    </row>
    <row r="451" spans="1:13" x14ac:dyDescent="0.25">
      <c r="A451" t="s">
        <v>858</v>
      </c>
      <c r="B451" t="s">
        <v>51</v>
      </c>
      <c r="C451" t="s">
        <v>23</v>
      </c>
      <c r="D451" t="s">
        <v>14</v>
      </c>
      <c r="E451" t="s">
        <v>9</v>
      </c>
      <c r="F451" s="5">
        <v>212078</v>
      </c>
      <c r="G451" t="s">
        <v>16</v>
      </c>
      <c r="H451" t="s">
        <v>17</v>
      </c>
      <c r="I451" s="5">
        <v>6750</v>
      </c>
      <c r="J451" t="s">
        <v>18</v>
      </c>
      <c r="K451" t="s">
        <v>941</v>
      </c>
      <c r="L451" t="s">
        <v>952</v>
      </c>
      <c r="M451" t="s">
        <v>953</v>
      </c>
    </row>
    <row r="452" spans="1:13" x14ac:dyDescent="0.25">
      <c r="A452" t="s">
        <v>859</v>
      </c>
      <c r="B452" t="s">
        <v>860</v>
      </c>
      <c r="C452" t="s">
        <v>23</v>
      </c>
      <c r="D452" t="s">
        <v>11</v>
      </c>
      <c r="E452" t="s">
        <v>13</v>
      </c>
      <c r="F452" s="5">
        <v>204934</v>
      </c>
      <c r="G452" t="s">
        <v>19</v>
      </c>
      <c r="H452" t="s">
        <v>17</v>
      </c>
      <c r="I452" s="5">
        <v>9000</v>
      </c>
      <c r="J452" t="s">
        <v>18</v>
      </c>
      <c r="K452" t="s">
        <v>941</v>
      </c>
      <c r="L452" t="s">
        <v>946</v>
      </c>
      <c r="M452" t="s">
        <v>947</v>
      </c>
    </row>
    <row r="453" spans="1:13" x14ac:dyDescent="0.25">
      <c r="A453" t="s">
        <v>861</v>
      </c>
      <c r="B453" t="s">
        <v>862</v>
      </c>
      <c r="C453" t="s">
        <v>24</v>
      </c>
      <c r="D453" t="s">
        <v>12</v>
      </c>
      <c r="E453" t="s">
        <v>9</v>
      </c>
      <c r="F453" s="5">
        <v>212574</v>
      </c>
      <c r="G453" t="s">
        <v>16</v>
      </c>
      <c r="H453" t="s">
        <v>17</v>
      </c>
      <c r="I453" s="5">
        <v>6750</v>
      </c>
      <c r="J453" t="s">
        <v>18</v>
      </c>
      <c r="K453" t="s">
        <v>941</v>
      </c>
      <c r="L453" t="s">
        <v>958</v>
      </c>
      <c r="M453" t="s">
        <v>959</v>
      </c>
    </row>
    <row r="454" spans="1:13" x14ac:dyDescent="0.25">
      <c r="A454" t="s">
        <v>863</v>
      </c>
      <c r="B454" t="s">
        <v>302</v>
      </c>
      <c r="C454" t="s">
        <v>24</v>
      </c>
      <c r="D454" t="s">
        <v>14</v>
      </c>
      <c r="E454" t="s">
        <v>9</v>
      </c>
      <c r="F454" s="5">
        <v>212371</v>
      </c>
      <c r="G454" t="s">
        <v>16</v>
      </c>
      <c r="H454" t="s">
        <v>17</v>
      </c>
      <c r="I454" s="5">
        <v>6750</v>
      </c>
      <c r="J454" t="s">
        <v>18</v>
      </c>
      <c r="K454" t="s">
        <v>941</v>
      </c>
      <c r="L454" t="s">
        <v>952</v>
      </c>
      <c r="M454" t="s">
        <v>953</v>
      </c>
    </row>
    <row r="455" spans="1:13" x14ac:dyDescent="0.25">
      <c r="A455" t="s">
        <v>864</v>
      </c>
      <c r="B455" t="s">
        <v>865</v>
      </c>
      <c r="C455" t="s">
        <v>24</v>
      </c>
      <c r="D455" t="s">
        <v>14</v>
      </c>
      <c r="E455" t="s">
        <v>7</v>
      </c>
      <c r="F455" s="5">
        <v>230880</v>
      </c>
      <c r="G455" t="s">
        <v>16</v>
      </c>
      <c r="H455" t="s">
        <v>17</v>
      </c>
      <c r="I455" s="5">
        <v>6750</v>
      </c>
      <c r="J455" t="s">
        <v>18</v>
      </c>
      <c r="K455" t="s">
        <v>941</v>
      </c>
      <c r="L455" t="s">
        <v>952</v>
      </c>
      <c r="M455" t="s">
        <v>953</v>
      </c>
    </row>
    <row r="456" spans="1:13" x14ac:dyDescent="0.25">
      <c r="A456" t="s">
        <v>876</v>
      </c>
      <c r="B456" t="s">
        <v>752</v>
      </c>
      <c r="C456" t="s">
        <v>23</v>
      </c>
      <c r="D456" t="s">
        <v>14</v>
      </c>
      <c r="E456" t="s">
        <v>7</v>
      </c>
      <c r="F456" s="5">
        <v>226959</v>
      </c>
      <c r="G456" t="s">
        <v>16</v>
      </c>
      <c r="H456" t="s">
        <v>17</v>
      </c>
      <c r="I456" s="5">
        <v>6750</v>
      </c>
      <c r="J456" t="s">
        <v>18</v>
      </c>
      <c r="K456" t="s">
        <v>941</v>
      </c>
      <c r="L456" t="s">
        <v>952</v>
      </c>
      <c r="M456" t="s">
        <v>953</v>
      </c>
    </row>
    <row r="457" spans="1:13" x14ac:dyDescent="0.25">
      <c r="A457" t="s">
        <v>866</v>
      </c>
      <c r="B457" t="s">
        <v>867</v>
      </c>
      <c r="C457" t="s">
        <v>24</v>
      </c>
      <c r="D457" t="s">
        <v>3</v>
      </c>
      <c r="E457" t="s">
        <v>13</v>
      </c>
      <c r="F457" s="5">
        <v>230431</v>
      </c>
      <c r="G457" t="s">
        <v>16</v>
      </c>
      <c r="H457" t="s">
        <v>17</v>
      </c>
      <c r="I457" s="5">
        <v>6750</v>
      </c>
      <c r="J457" t="s">
        <v>18</v>
      </c>
      <c r="K457" t="s">
        <v>941</v>
      </c>
      <c r="L457" t="s">
        <v>955</v>
      </c>
      <c r="M457" t="s">
        <v>956</v>
      </c>
    </row>
    <row r="458" spans="1:13" x14ac:dyDescent="0.25">
      <c r="A458" t="s">
        <v>868</v>
      </c>
      <c r="B458" t="s">
        <v>869</v>
      </c>
      <c r="C458" t="s">
        <v>25</v>
      </c>
      <c r="D458" t="s">
        <v>3</v>
      </c>
      <c r="E458" t="s">
        <v>4</v>
      </c>
      <c r="F458" s="5">
        <v>227531</v>
      </c>
      <c r="G458" t="s">
        <v>16</v>
      </c>
      <c r="H458" t="s">
        <v>17</v>
      </c>
      <c r="I458" s="5">
        <v>6750</v>
      </c>
      <c r="J458" t="s">
        <v>18</v>
      </c>
      <c r="K458" t="s">
        <v>941</v>
      </c>
      <c r="L458" t="s">
        <v>955</v>
      </c>
      <c r="M458" t="s">
        <v>956</v>
      </c>
    </row>
    <row r="459" spans="1:13" x14ac:dyDescent="0.25">
      <c r="A459" t="s">
        <v>872</v>
      </c>
      <c r="B459" t="s">
        <v>873</v>
      </c>
      <c r="C459" t="s">
        <v>24</v>
      </c>
      <c r="D459" t="s">
        <v>8</v>
      </c>
      <c r="E459" t="s">
        <v>7</v>
      </c>
      <c r="F459" s="5">
        <v>226784</v>
      </c>
      <c r="G459" t="s">
        <v>16</v>
      </c>
      <c r="H459" t="s">
        <v>17</v>
      </c>
      <c r="I459" s="5">
        <v>6750</v>
      </c>
      <c r="J459" t="s">
        <v>18</v>
      </c>
      <c r="K459" t="s">
        <v>941</v>
      </c>
      <c r="L459" t="s">
        <v>949</v>
      </c>
      <c r="M459" t="s">
        <v>950</v>
      </c>
    </row>
    <row r="460" spans="1:13" x14ac:dyDescent="0.25">
      <c r="A460" t="s">
        <v>874</v>
      </c>
      <c r="B460" t="s">
        <v>272</v>
      </c>
      <c r="C460" t="s">
        <v>23</v>
      </c>
      <c r="D460" t="s">
        <v>12</v>
      </c>
      <c r="E460" t="s">
        <v>13</v>
      </c>
      <c r="F460" s="5">
        <v>226495</v>
      </c>
      <c r="G460" t="s">
        <v>19</v>
      </c>
      <c r="H460" t="s">
        <v>17</v>
      </c>
      <c r="I460" s="5">
        <v>9000</v>
      </c>
      <c r="J460" t="s">
        <v>18</v>
      </c>
      <c r="K460" t="s">
        <v>941</v>
      </c>
      <c r="L460" t="s">
        <v>958</v>
      </c>
      <c r="M460" t="s">
        <v>959</v>
      </c>
    </row>
    <row r="461" spans="1:13" x14ac:dyDescent="0.25">
      <c r="A461" t="s">
        <v>875</v>
      </c>
      <c r="B461" t="s">
        <v>151</v>
      </c>
      <c r="C461" t="s">
        <v>23</v>
      </c>
      <c r="D461" t="s">
        <v>12</v>
      </c>
      <c r="E461" t="s">
        <v>7</v>
      </c>
      <c r="F461" s="5">
        <v>219509</v>
      </c>
      <c r="G461" t="s">
        <v>19</v>
      </c>
      <c r="H461" t="s">
        <v>17</v>
      </c>
      <c r="I461" s="5">
        <v>9000</v>
      </c>
      <c r="J461" t="s">
        <v>18</v>
      </c>
      <c r="K461" t="s">
        <v>941</v>
      </c>
      <c r="L461" t="s">
        <v>958</v>
      </c>
      <c r="M461" t="s">
        <v>959</v>
      </c>
    </row>
    <row r="462" spans="1:13" x14ac:dyDescent="0.25">
      <c r="A462" t="s">
        <v>870</v>
      </c>
      <c r="B462" t="s">
        <v>871</v>
      </c>
      <c r="C462" t="s">
        <v>24</v>
      </c>
      <c r="D462" t="s">
        <v>3</v>
      </c>
      <c r="E462" t="s">
        <v>7</v>
      </c>
      <c r="F462" s="5">
        <v>227320</v>
      </c>
      <c r="G462" t="s">
        <v>16</v>
      </c>
      <c r="H462" t="s">
        <v>17</v>
      </c>
      <c r="I462" s="5">
        <v>6750</v>
      </c>
      <c r="J462" t="s">
        <v>18</v>
      </c>
      <c r="K462" t="s">
        <v>941</v>
      </c>
      <c r="L462" t="s">
        <v>955</v>
      </c>
      <c r="M462" t="s">
        <v>956</v>
      </c>
    </row>
    <row r="463" spans="1:13" x14ac:dyDescent="0.25">
      <c r="A463" t="s">
        <v>877</v>
      </c>
      <c r="B463" t="s">
        <v>878</v>
      </c>
      <c r="C463" t="s">
        <v>23</v>
      </c>
      <c r="D463" t="s">
        <v>8</v>
      </c>
      <c r="E463" t="s">
        <v>7</v>
      </c>
      <c r="F463" s="5">
        <v>217765</v>
      </c>
      <c r="G463" t="s">
        <v>19</v>
      </c>
      <c r="H463" t="s">
        <v>17</v>
      </c>
      <c r="I463" s="5">
        <v>9000</v>
      </c>
      <c r="J463" t="s">
        <v>18</v>
      </c>
      <c r="K463" t="s">
        <v>941</v>
      </c>
      <c r="L463" t="s">
        <v>949</v>
      </c>
      <c r="M463" t="s">
        <v>950</v>
      </c>
    </row>
    <row r="464" spans="1:13" x14ac:dyDescent="0.25">
      <c r="A464" t="s">
        <v>879</v>
      </c>
      <c r="B464" t="s">
        <v>880</v>
      </c>
      <c r="C464" t="s">
        <v>23</v>
      </c>
      <c r="D464" t="s">
        <v>3</v>
      </c>
      <c r="E464" t="s">
        <v>7</v>
      </c>
      <c r="F464" s="5">
        <v>217039</v>
      </c>
      <c r="G464" t="s">
        <v>16</v>
      </c>
      <c r="H464" t="s">
        <v>17</v>
      </c>
      <c r="I464" s="5">
        <v>6750</v>
      </c>
      <c r="J464" t="s">
        <v>18</v>
      </c>
      <c r="K464" t="s">
        <v>941</v>
      </c>
      <c r="L464" t="s">
        <v>955</v>
      </c>
      <c r="M464" t="s">
        <v>956</v>
      </c>
    </row>
    <row r="465" spans="1:13" x14ac:dyDescent="0.25">
      <c r="A465" t="s">
        <v>881</v>
      </c>
      <c r="B465" t="s">
        <v>882</v>
      </c>
      <c r="C465" t="s">
        <v>24</v>
      </c>
      <c r="D465" t="s">
        <v>8</v>
      </c>
      <c r="E465" t="s">
        <v>7</v>
      </c>
      <c r="F465" s="5">
        <v>215963</v>
      </c>
      <c r="G465" t="s">
        <v>16</v>
      </c>
      <c r="H465" t="s">
        <v>17</v>
      </c>
      <c r="I465" s="5">
        <v>6750</v>
      </c>
      <c r="J465" t="s">
        <v>18</v>
      </c>
      <c r="K465" t="s">
        <v>941</v>
      </c>
      <c r="L465" t="s">
        <v>949</v>
      </c>
      <c r="M465" t="s">
        <v>950</v>
      </c>
    </row>
    <row r="466" spans="1:13" x14ac:dyDescent="0.25">
      <c r="A466" t="s">
        <v>883</v>
      </c>
      <c r="B466" t="s">
        <v>884</v>
      </c>
      <c r="C466" t="s">
        <v>24</v>
      </c>
      <c r="D466" t="s">
        <v>8</v>
      </c>
      <c r="E466" t="s">
        <v>7</v>
      </c>
      <c r="F466" s="5">
        <v>215946</v>
      </c>
      <c r="G466" t="s">
        <v>16</v>
      </c>
      <c r="H466" t="s">
        <v>17</v>
      </c>
      <c r="I466" s="5">
        <v>6750</v>
      </c>
      <c r="J466" t="s">
        <v>18</v>
      </c>
      <c r="K466" t="s">
        <v>941</v>
      </c>
      <c r="L466" t="s">
        <v>949</v>
      </c>
      <c r="M466" t="s">
        <v>950</v>
      </c>
    </row>
    <row r="467" spans="1:13" x14ac:dyDescent="0.25">
      <c r="A467" t="s">
        <v>885</v>
      </c>
      <c r="B467" t="s">
        <v>886</v>
      </c>
      <c r="C467" t="s">
        <v>24</v>
      </c>
      <c r="D467" t="s">
        <v>11</v>
      </c>
      <c r="E467" t="s">
        <v>7</v>
      </c>
      <c r="F467" s="5">
        <v>215780</v>
      </c>
      <c r="G467" t="s">
        <v>16</v>
      </c>
      <c r="H467" t="s">
        <v>17</v>
      </c>
      <c r="I467" s="5">
        <v>6750</v>
      </c>
      <c r="J467" t="s">
        <v>18</v>
      </c>
      <c r="K467" t="s">
        <v>941</v>
      </c>
      <c r="L467" t="s">
        <v>946</v>
      </c>
      <c r="M467" t="s">
        <v>947</v>
      </c>
    </row>
    <row r="468" spans="1:13" x14ac:dyDescent="0.25">
      <c r="A468" t="s">
        <v>887</v>
      </c>
      <c r="B468" t="s">
        <v>888</v>
      </c>
      <c r="C468" t="s">
        <v>24</v>
      </c>
      <c r="D468" t="s">
        <v>12</v>
      </c>
      <c r="E468" t="s">
        <v>7</v>
      </c>
      <c r="F468" s="5">
        <v>215621</v>
      </c>
      <c r="G468" t="s">
        <v>19</v>
      </c>
      <c r="H468" t="s">
        <v>17</v>
      </c>
      <c r="I468" s="5">
        <v>9000</v>
      </c>
      <c r="J468" t="s">
        <v>18</v>
      </c>
      <c r="K468" t="s">
        <v>941</v>
      </c>
      <c r="L468" t="s">
        <v>958</v>
      </c>
      <c r="M468" t="s">
        <v>959</v>
      </c>
    </row>
    <row r="469" spans="1:13" x14ac:dyDescent="0.25">
      <c r="A469" t="s">
        <v>889</v>
      </c>
      <c r="B469" t="s">
        <v>890</v>
      </c>
      <c r="C469" t="s">
        <v>24</v>
      </c>
      <c r="D469" t="s">
        <v>12</v>
      </c>
      <c r="E469" t="s">
        <v>13</v>
      </c>
      <c r="F469" s="5">
        <v>214169</v>
      </c>
      <c r="G469" t="s">
        <v>16</v>
      </c>
      <c r="H469" t="s">
        <v>17</v>
      </c>
      <c r="I469" s="5">
        <v>6750</v>
      </c>
      <c r="J469" t="s">
        <v>18</v>
      </c>
      <c r="K469" t="s">
        <v>941</v>
      </c>
      <c r="L469" t="s">
        <v>958</v>
      </c>
      <c r="M469" t="s">
        <v>959</v>
      </c>
    </row>
    <row r="470" spans="1:13" x14ac:dyDescent="0.25">
      <c r="A470" t="s">
        <v>891</v>
      </c>
      <c r="B470" t="s">
        <v>892</v>
      </c>
      <c r="C470" t="s">
        <v>24</v>
      </c>
      <c r="D470" t="s">
        <v>14</v>
      </c>
      <c r="E470" t="s">
        <v>13</v>
      </c>
      <c r="F470" s="5">
        <v>218602</v>
      </c>
      <c r="G470" t="s">
        <v>19</v>
      </c>
      <c r="H470" t="s">
        <v>17</v>
      </c>
      <c r="I470" s="5">
        <v>9000</v>
      </c>
      <c r="J470" t="s">
        <v>18</v>
      </c>
      <c r="K470" t="s">
        <v>941</v>
      </c>
      <c r="L470" t="s">
        <v>952</v>
      </c>
      <c r="M470" t="s">
        <v>953</v>
      </c>
    </row>
    <row r="471" spans="1:13" x14ac:dyDescent="0.25">
      <c r="A471" t="s">
        <v>893</v>
      </c>
      <c r="B471" t="s">
        <v>83</v>
      </c>
      <c r="C471" t="s">
        <v>24</v>
      </c>
      <c r="D471" t="s">
        <v>14</v>
      </c>
      <c r="E471" t="s">
        <v>13</v>
      </c>
      <c r="F471" s="5">
        <v>213624</v>
      </c>
      <c r="G471" t="s">
        <v>16</v>
      </c>
      <c r="H471" t="s">
        <v>17</v>
      </c>
      <c r="I471" s="5">
        <v>6750</v>
      </c>
      <c r="J471" t="s">
        <v>18</v>
      </c>
      <c r="K471" t="s">
        <v>941</v>
      </c>
      <c r="L471" t="s">
        <v>952</v>
      </c>
      <c r="M471" t="s">
        <v>953</v>
      </c>
    </row>
    <row r="472" spans="1:13" x14ac:dyDescent="0.25">
      <c r="A472" t="s">
        <v>894</v>
      </c>
      <c r="B472" t="s">
        <v>205</v>
      </c>
      <c r="C472" t="s">
        <v>24</v>
      </c>
      <c r="D472" t="s">
        <v>11</v>
      </c>
      <c r="E472" t="s">
        <v>9</v>
      </c>
      <c r="F472" s="5">
        <v>38296</v>
      </c>
      <c r="G472" t="s">
        <v>6</v>
      </c>
      <c r="H472" t="s">
        <v>5</v>
      </c>
      <c r="I472" s="5">
        <v>1500</v>
      </c>
      <c r="J472" t="s">
        <v>21</v>
      </c>
      <c r="K472" t="s">
        <v>939</v>
      </c>
      <c r="L472" t="s">
        <v>946</v>
      </c>
      <c r="M472" t="s">
        <v>947</v>
      </c>
    </row>
    <row r="473" spans="1:13" x14ac:dyDescent="0.25">
      <c r="A473" t="s">
        <v>895</v>
      </c>
      <c r="B473" t="s">
        <v>896</v>
      </c>
      <c r="C473" t="s">
        <v>24</v>
      </c>
      <c r="D473" t="s">
        <v>3</v>
      </c>
      <c r="E473" t="s">
        <v>7</v>
      </c>
      <c r="F473" s="5">
        <v>44275</v>
      </c>
      <c r="G473" t="s">
        <v>6</v>
      </c>
      <c r="H473" t="s">
        <v>5</v>
      </c>
      <c r="I473" s="5">
        <v>1500</v>
      </c>
      <c r="J473" t="s">
        <v>21</v>
      </c>
      <c r="K473" t="s">
        <v>939</v>
      </c>
      <c r="L473" t="s">
        <v>955</v>
      </c>
      <c r="M473" t="s">
        <v>956</v>
      </c>
    </row>
    <row r="474" spans="1:13" x14ac:dyDescent="0.25">
      <c r="A474" t="s">
        <v>897</v>
      </c>
      <c r="B474" t="s">
        <v>217</v>
      </c>
      <c r="C474" t="s">
        <v>23</v>
      </c>
      <c r="D474" t="s">
        <v>8</v>
      </c>
      <c r="E474" t="s">
        <v>7</v>
      </c>
      <c r="F474" s="5">
        <v>40358</v>
      </c>
      <c r="G474" t="s">
        <v>6</v>
      </c>
      <c r="H474" t="s">
        <v>5</v>
      </c>
      <c r="I474" s="5">
        <v>1500</v>
      </c>
      <c r="J474" t="s">
        <v>21</v>
      </c>
      <c r="K474" t="s">
        <v>939</v>
      </c>
      <c r="L474" t="s">
        <v>949</v>
      </c>
      <c r="M474" t="s">
        <v>950</v>
      </c>
    </row>
    <row r="475" spans="1:13" x14ac:dyDescent="0.25">
      <c r="A475" t="s">
        <v>898</v>
      </c>
      <c r="B475" t="s">
        <v>899</v>
      </c>
      <c r="C475" t="s">
        <v>24</v>
      </c>
      <c r="D475" t="s">
        <v>3</v>
      </c>
      <c r="E475" t="s">
        <v>4</v>
      </c>
      <c r="F475" s="5">
        <v>40601</v>
      </c>
      <c r="G475" t="s">
        <v>6</v>
      </c>
      <c r="H475" t="s">
        <v>5</v>
      </c>
      <c r="I475" s="5">
        <v>1500</v>
      </c>
      <c r="J475" t="s">
        <v>21</v>
      </c>
      <c r="K475" t="s">
        <v>939</v>
      </c>
      <c r="L475" t="s">
        <v>955</v>
      </c>
      <c r="M475" t="s">
        <v>956</v>
      </c>
    </row>
    <row r="476" spans="1:13" x14ac:dyDescent="0.25">
      <c r="A476" t="s">
        <v>900</v>
      </c>
      <c r="B476" t="s">
        <v>278</v>
      </c>
      <c r="C476" t="s">
        <v>23</v>
      </c>
      <c r="D476" t="s">
        <v>14</v>
      </c>
      <c r="E476" t="s">
        <v>4</v>
      </c>
      <c r="F476" s="5">
        <v>40969</v>
      </c>
      <c r="G476" t="s">
        <v>6</v>
      </c>
      <c r="H476" t="s">
        <v>5</v>
      </c>
      <c r="I476" s="5">
        <v>1500</v>
      </c>
      <c r="J476" t="s">
        <v>21</v>
      </c>
      <c r="K476" t="s">
        <v>939</v>
      </c>
      <c r="L476" t="s">
        <v>952</v>
      </c>
      <c r="M476" t="s">
        <v>953</v>
      </c>
    </row>
    <row r="477" spans="1:13" x14ac:dyDescent="0.25">
      <c r="A477" t="s">
        <v>901</v>
      </c>
      <c r="B477" t="s">
        <v>902</v>
      </c>
      <c r="C477" t="s">
        <v>24</v>
      </c>
      <c r="D477" t="s">
        <v>14</v>
      </c>
      <c r="E477" t="s">
        <v>9</v>
      </c>
      <c r="F477" s="5">
        <v>41937</v>
      </c>
      <c r="G477" t="s">
        <v>6</v>
      </c>
      <c r="H477" t="s">
        <v>5</v>
      </c>
      <c r="I477" s="5">
        <v>1500</v>
      </c>
      <c r="J477" t="s">
        <v>21</v>
      </c>
      <c r="K477" t="s">
        <v>939</v>
      </c>
      <c r="L477" t="s">
        <v>952</v>
      </c>
      <c r="M477" t="s">
        <v>953</v>
      </c>
    </row>
    <row r="478" spans="1:13" x14ac:dyDescent="0.25">
      <c r="A478" t="s">
        <v>903</v>
      </c>
      <c r="B478" t="s">
        <v>904</v>
      </c>
      <c r="C478" t="s">
        <v>24</v>
      </c>
      <c r="D478" t="s">
        <v>11</v>
      </c>
      <c r="E478" t="s">
        <v>4</v>
      </c>
      <c r="F478" s="5">
        <v>42370</v>
      </c>
      <c r="G478" t="s">
        <v>6</v>
      </c>
      <c r="H478" t="s">
        <v>5</v>
      </c>
      <c r="I478" s="5">
        <v>1500</v>
      </c>
      <c r="J478" t="s">
        <v>21</v>
      </c>
      <c r="K478" t="s">
        <v>939</v>
      </c>
      <c r="L478" t="s">
        <v>946</v>
      </c>
      <c r="M478" t="s">
        <v>947</v>
      </c>
    </row>
    <row r="479" spans="1:13" x14ac:dyDescent="0.25">
      <c r="A479" t="s">
        <v>905</v>
      </c>
      <c r="B479" t="s">
        <v>906</v>
      </c>
      <c r="C479" t="s">
        <v>24</v>
      </c>
      <c r="D479" t="s">
        <v>11</v>
      </c>
      <c r="E479" t="s">
        <v>7</v>
      </c>
      <c r="F479" s="5">
        <v>42814</v>
      </c>
      <c r="G479" t="s">
        <v>6</v>
      </c>
      <c r="H479" t="s">
        <v>5</v>
      </c>
      <c r="I479" s="5">
        <v>1500</v>
      </c>
      <c r="J479" t="s">
        <v>21</v>
      </c>
      <c r="K479" t="s">
        <v>939</v>
      </c>
      <c r="L479" t="s">
        <v>946</v>
      </c>
      <c r="M479" t="s">
        <v>947</v>
      </c>
    </row>
    <row r="480" spans="1:13" x14ac:dyDescent="0.25">
      <c r="A480" t="s">
        <v>907</v>
      </c>
      <c r="B480" t="s">
        <v>908</v>
      </c>
      <c r="C480" t="s">
        <v>23</v>
      </c>
      <c r="D480" t="s">
        <v>8</v>
      </c>
      <c r="E480" t="s">
        <v>4</v>
      </c>
      <c r="F480" s="5">
        <v>43431</v>
      </c>
      <c r="G480" t="s">
        <v>6</v>
      </c>
      <c r="H480" t="s">
        <v>5</v>
      </c>
      <c r="I480" s="5">
        <v>1500</v>
      </c>
      <c r="J480" t="s">
        <v>21</v>
      </c>
      <c r="K480" t="s">
        <v>939</v>
      </c>
      <c r="L480" t="s">
        <v>949</v>
      </c>
      <c r="M480" t="s">
        <v>950</v>
      </c>
    </row>
    <row r="481" spans="1:13" x14ac:dyDescent="0.25">
      <c r="A481" t="s">
        <v>909</v>
      </c>
      <c r="B481" t="s">
        <v>270</v>
      </c>
      <c r="C481" t="s">
        <v>23</v>
      </c>
      <c r="D481" t="s">
        <v>3</v>
      </c>
      <c r="E481" t="s">
        <v>7</v>
      </c>
      <c r="F481" s="5">
        <v>45178</v>
      </c>
      <c r="G481" t="s">
        <v>6</v>
      </c>
      <c r="H481" t="s">
        <v>5</v>
      </c>
      <c r="I481" s="5">
        <v>1500</v>
      </c>
      <c r="J481" t="s">
        <v>21</v>
      </c>
      <c r="K481" t="s">
        <v>939</v>
      </c>
      <c r="L481" t="s">
        <v>955</v>
      </c>
      <c r="M481" t="s">
        <v>956</v>
      </c>
    </row>
    <row r="482" spans="1:13" x14ac:dyDescent="0.25">
      <c r="A482" t="s">
        <v>910</v>
      </c>
      <c r="B482" t="s">
        <v>911</v>
      </c>
      <c r="C482" t="s">
        <v>24</v>
      </c>
      <c r="D482" t="s">
        <v>11</v>
      </c>
      <c r="E482" t="s">
        <v>7</v>
      </c>
      <c r="F482" s="5">
        <v>47639</v>
      </c>
      <c r="G482" t="s">
        <v>6</v>
      </c>
      <c r="H482" t="s">
        <v>5</v>
      </c>
      <c r="I482" s="5">
        <v>1500</v>
      </c>
      <c r="J482" t="s">
        <v>21</v>
      </c>
      <c r="K482" t="s">
        <v>939</v>
      </c>
      <c r="L482" t="s">
        <v>946</v>
      </c>
      <c r="M482" t="s">
        <v>947</v>
      </c>
    </row>
    <row r="483" spans="1:13" x14ac:dyDescent="0.25">
      <c r="A483" t="s">
        <v>912</v>
      </c>
      <c r="B483" t="s">
        <v>902</v>
      </c>
      <c r="C483" t="s">
        <v>24</v>
      </c>
      <c r="D483" t="s">
        <v>11</v>
      </c>
      <c r="E483" t="s">
        <v>9</v>
      </c>
      <c r="F483" s="5">
        <v>45842</v>
      </c>
      <c r="G483" t="s">
        <v>6</v>
      </c>
      <c r="H483" t="s">
        <v>5</v>
      </c>
      <c r="I483" s="5">
        <v>1500</v>
      </c>
      <c r="J483" t="s">
        <v>21</v>
      </c>
      <c r="K483" t="s">
        <v>939</v>
      </c>
      <c r="L483" t="s">
        <v>946</v>
      </c>
      <c r="M483" t="s">
        <v>947</v>
      </c>
    </row>
    <row r="484" spans="1:13" x14ac:dyDescent="0.25">
      <c r="A484" t="s">
        <v>913</v>
      </c>
      <c r="B484" t="s">
        <v>914</v>
      </c>
      <c r="C484" t="s">
        <v>23</v>
      </c>
      <c r="D484" t="s">
        <v>14</v>
      </c>
      <c r="E484" t="s">
        <v>13</v>
      </c>
      <c r="F484" s="5">
        <v>45863</v>
      </c>
      <c r="G484" t="s">
        <v>6</v>
      </c>
      <c r="H484" t="s">
        <v>5</v>
      </c>
      <c r="I484" s="5">
        <v>1500</v>
      </c>
      <c r="J484" t="s">
        <v>21</v>
      </c>
      <c r="K484" t="s">
        <v>939</v>
      </c>
      <c r="L484" t="s">
        <v>952</v>
      </c>
      <c r="M484" t="s">
        <v>953</v>
      </c>
    </row>
    <row r="485" spans="1:13" x14ac:dyDescent="0.25">
      <c r="A485" t="s">
        <v>915</v>
      </c>
      <c r="B485" t="s">
        <v>916</v>
      </c>
      <c r="C485" t="s">
        <v>23</v>
      </c>
      <c r="D485" t="s">
        <v>12</v>
      </c>
      <c r="E485" t="s">
        <v>7</v>
      </c>
      <c r="F485" s="5">
        <v>46200</v>
      </c>
      <c r="G485" t="s">
        <v>6</v>
      </c>
      <c r="H485" t="s">
        <v>5</v>
      </c>
      <c r="I485" s="5">
        <v>1500</v>
      </c>
      <c r="J485" t="s">
        <v>21</v>
      </c>
      <c r="K485" t="s">
        <v>939</v>
      </c>
      <c r="L485" t="s">
        <v>958</v>
      </c>
      <c r="M485" t="s">
        <v>959</v>
      </c>
    </row>
    <row r="486" spans="1:13" x14ac:dyDescent="0.25">
      <c r="A486" t="s">
        <v>917</v>
      </c>
      <c r="B486" t="s">
        <v>918</v>
      </c>
      <c r="C486" t="s">
        <v>24</v>
      </c>
      <c r="D486" t="s">
        <v>3</v>
      </c>
      <c r="E486" t="s">
        <v>9</v>
      </c>
      <c r="F486" s="5">
        <v>47376</v>
      </c>
      <c r="G486" t="s">
        <v>6</v>
      </c>
      <c r="H486" t="s">
        <v>5</v>
      </c>
      <c r="I486" s="5">
        <v>1500</v>
      </c>
      <c r="J486" t="s">
        <v>21</v>
      </c>
      <c r="K486" t="s">
        <v>939</v>
      </c>
      <c r="L486" t="s">
        <v>955</v>
      </c>
      <c r="M486" t="s">
        <v>956</v>
      </c>
    </row>
    <row r="487" spans="1:13" x14ac:dyDescent="0.25">
      <c r="A487" t="s">
        <v>919</v>
      </c>
      <c r="B487" t="s">
        <v>371</v>
      </c>
      <c r="C487" t="s">
        <v>23</v>
      </c>
      <c r="D487" t="s">
        <v>3</v>
      </c>
      <c r="E487" t="s">
        <v>13</v>
      </c>
      <c r="F487" s="5">
        <v>48451</v>
      </c>
      <c r="G487" t="s">
        <v>6</v>
      </c>
      <c r="H487" t="s">
        <v>5</v>
      </c>
      <c r="I487" s="5">
        <v>1500</v>
      </c>
      <c r="J487" t="s">
        <v>21</v>
      </c>
      <c r="K487" t="s">
        <v>939</v>
      </c>
      <c r="L487" t="s">
        <v>955</v>
      </c>
      <c r="M487" t="s">
        <v>956</v>
      </c>
    </row>
    <row r="488" spans="1:13" x14ac:dyDescent="0.25">
      <c r="A488" t="s">
        <v>920</v>
      </c>
      <c r="B488" t="s">
        <v>498</v>
      </c>
      <c r="C488" t="s">
        <v>23</v>
      </c>
      <c r="D488" t="s">
        <v>8</v>
      </c>
      <c r="E488" t="s">
        <v>9</v>
      </c>
      <c r="F488" s="5">
        <v>48863</v>
      </c>
      <c r="G488" t="s">
        <v>6</v>
      </c>
      <c r="H488" t="s">
        <v>5</v>
      </c>
      <c r="I488" s="5">
        <v>1500</v>
      </c>
      <c r="J488" t="s">
        <v>21</v>
      </c>
      <c r="K488" t="s">
        <v>939</v>
      </c>
      <c r="L488" t="s">
        <v>949</v>
      </c>
      <c r="M488" t="s">
        <v>950</v>
      </c>
    </row>
    <row r="489" spans="1:13" x14ac:dyDescent="0.25">
      <c r="A489" t="s">
        <v>921</v>
      </c>
      <c r="B489" t="s">
        <v>922</v>
      </c>
      <c r="C489" t="s">
        <v>23</v>
      </c>
      <c r="D489" t="s">
        <v>8</v>
      </c>
      <c r="E489" t="s">
        <v>13</v>
      </c>
      <c r="F489" s="5">
        <v>49109</v>
      </c>
      <c r="G489" t="s">
        <v>6</v>
      </c>
      <c r="H489" t="s">
        <v>5</v>
      </c>
      <c r="I489" s="5">
        <v>1500</v>
      </c>
      <c r="J489" t="s">
        <v>21</v>
      </c>
      <c r="K489" t="s">
        <v>939</v>
      </c>
      <c r="L489" t="s">
        <v>949</v>
      </c>
      <c r="M489" t="s">
        <v>950</v>
      </c>
    </row>
    <row r="490" spans="1:13" x14ac:dyDescent="0.25">
      <c r="A490" t="s">
        <v>923</v>
      </c>
      <c r="B490" t="s">
        <v>862</v>
      </c>
      <c r="C490" t="s">
        <v>23</v>
      </c>
      <c r="D490" t="s">
        <v>11</v>
      </c>
      <c r="E490" t="s">
        <v>7</v>
      </c>
      <c r="F490" s="5">
        <v>49228</v>
      </c>
      <c r="G490" t="s">
        <v>6</v>
      </c>
      <c r="H490" t="s">
        <v>5</v>
      </c>
      <c r="I490" s="5">
        <v>1500</v>
      </c>
      <c r="J490" t="s">
        <v>21</v>
      </c>
      <c r="K490" t="s">
        <v>939</v>
      </c>
      <c r="L490" t="s">
        <v>946</v>
      </c>
      <c r="M490" t="s">
        <v>947</v>
      </c>
    </row>
    <row r="491" spans="1:13" x14ac:dyDescent="0.25">
      <c r="A491" t="s">
        <v>924</v>
      </c>
      <c r="B491" t="s">
        <v>925</v>
      </c>
      <c r="C491" t="s">
        <v>24</v>
      </c>
      <c r="D491" t="s">
        <v>8</v>
      </c>
      <c r="E491" t="s">
        <v>13</v>
      </c>
      <c r="F491" s="5">
        <v>37393</v>
      </c>
      <c r="G491" t="s">
        <v>6</v>
      </c>
      <c r="H491" t="s">
        <v>5</v>
      </c>
      <c r="I491" s="5">
        <v>1500</v>
      </c>
      <c r="J491" t="s">
        <v>21</v>
      </c>
      <c r="K491" t="s">
        <v>939</v>
      </c>
      <c r="L491" t="s">
        <v>949</v>
      </c>
      <c r="M491" t="s">
        <v>950</v>
      </c>
    </row>
    <row r="492" spans="1:13" x14ac:dyDescent="0.25">
      <c r="A492" t="s">
        <v>926</v>
      </c>
      <c r="B492" t="s">
        <v>927</v>
      </c>
      <c r="C492" t="s">
        <v>23</v>
      </c>
      <c r="D492" t="s">
        <v>12</v>
      </c>
      <c r="E492" t="s">
        <v>9</v>
      </c>
      <c r="F492" s="5">
        <v>45515</v>
      </c>
      <c r="G492" t="s">
        <v>6</v>
      </c>
      <c r="H492" t="s">
        <v>5</v>
      </c>
      <c r="I492" s="5">
        <v>1500</v>
      </c>
      <c r="J492" t="s">
        <v>21</v>
      </c>
      <c r="K492" t="s">
        <v>939</v>
      </c>
      <c r="L492" t="s">
        <v>958</v>
      </c>
      <c r="M492" t="s">
        <v>959</v>
      </c>
    </row>
    <row r="493" spans="1:13" x14ac:dyDescent="0.25">
      <c r="A493" t="s">
        <v>928</v>
      </c>
      <c r="B493" t="s">
        <v>929</v>
      </c>
      <c r="C493" t="s">
        <v>24</v>
      </c>
      <c r="D493" t="s">
        <v>14</v>
      </c>
      <c r="E493" t="s">
        <v>7</v>
      </c>
      <c r="F493" s="5">
        <v>37078</v>
      </c>
      <c r="G493" t="s">
        <v>6</v>
      </c>
      <c r="H493" t="s">
        <v>5</v>
      </c>
      <c r="I493" s="5">
        <v>1500</v>
      </c>
      <c r="J493" t="s">
        <v>21</v>
      </c>
      <c r="K493" t="s">
        <v>939</v>
      </c>
      <c r="L493" t="s">
        <v>952</v>
      </c>
      <c r="M493" t="s">
        <v>953</v>
      </c>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errorTitle="Invalid entry" error="Choose a valid Gender from the dropdown list." promptTitle="Gender" prompt="Select a valid Gender." xr:uid="{9CEC55D3-54B3-45CF-A6B3-FAEE53742F34}">
          <x14:formula1>
            <xm:f>Validation!$A$2:$A$4</xm:f>
          </x14:formula1>
          <xm:sqref>C2:C493</xm:sqref>
        </x14:dataValidation>
        <x14:dataValidation type="list" allowBlank="1" showInputMessage="1" showErrorMessage="1" errorTitle="Invalid entry" error="Choose a valid Location from the dropdown list." promptTitle="Location" prompt="Select a valid Location." xr:uid="{85AE93D6-3CE7-44D6-A474-98ECBA61A0C0}">
          <x14:formula1>
            <xm:f>Validation!$B$2:$B$5</xm:f>
          </x14:formula1>
          <xm:sqref>E2:E493</xm:sqref>
        </x14:dataValidation>
        <x14:dataValidation type="list" allowBlank="1" showInputMessage="1" showErrorMessage="1" errorTitle="Invalid entry" error="Choose a valid Insurance tier from the dropdown list." promptTitle="Insurance tier" prompt="Select a valid Insurance tier." xr:uid="{08E3B00A-6CCA-416B-BF50-E0ED67D0E3DB}">
          <x14:formula1>
            <xm:f>Validation!$C$2:$C$4</xm:f>
          </x14:formula1>
          <xm:sqref>H2:H493</xm:sqref>
        </x14:dataValidation>
        <x14:dataValidation type="list" allowBlank="1" showInputMessage="1" showErrorMessage="1" errorTitle="Invalid entry" error="Choose a valid Corporate Benefit Plan from the dropdown list." promptTitle="Corporate Benefit Plan" prompt="Select a valid Corporate Benefit Plan." xr:uid="{FEA35F78-FD8B-43F2-9D5F-485F5437465C}">
          <x14:formula1>
            <xm:f>Validation!$D$2:$D$4</xm:f>
          </x14:formula1>
          <xm:sqref>G2:G493</xm:sqref>
        </x14:dataValidation>
        <x14:dataValidation type="list" allowBlank="1" showInputMessage="1" showErrorMessage="1" errorTitle="Invalid entry" error="Choose a valid Department from the dropdown list." promptTitle="Department" prompt="Select a valid Department." xr:uid="{C8963D75-85AB-417B-BF75-937B43C0768E}">
          <x14:formula1>
            <xm:f>Validation!$E$2:$E$6</xm:f>
          </x14:formula1>
          <xm:sqref>D2:D493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EA99-65D1-47BE-8762-D32977369964}">
  <dimension ref="A1:S521"/>
  <sheetViews>
    <sheetView workbookViewId="0">
      <selection activeCell="D13" sqref="D13"/>
    </sheetView>
  </sheetViews>
  <sheetFormatPr defaultRowHeight="15" x14ac:dyDescent="0.25"/>
  <cols>
    <col min="1" max="1" width="16.140625" bestFit="1" customWidth="1"/>
    <col min="2" max="2" width="22.140625" bestFit="1" customWidth="1"/>
    <col min="3" max="3" width="9.85546875" bestFit="1" customWidth="1"/>
    <col min="4" max="4" width="10.7109375" bestFit="1" customWidth="1"/>
    <col min="5" max="5" width="7" bestFit="1" customWidth="1"/>
    <col min="6" max="6" width="11.28515625" bestFit="1" customWidth="1"/>
    <col min="7" max="7" width="11.7109375" bestFit="1" customWidth="1"/>
    <col min="8" max="8" width="15.85546875" customWidth="1"/>
    <col min="9" max="9" width="3.7109375" customWidth="1"/>
    <col min="10" max="10" width="28.28515625" bestFit="1" customWidth="1"/>
    <col min="11" max="11" width="25.42578125" bestFit="1" customWidth="1"/>
    <col min="12" max="12" width="10.5703125" bestFit="1" customWidth="1"/>
    <col min="13" max="13" width="12" bestFit="1" customWidth="1"/>
    <col min="14" max="14" width="10.85546875" bestFit="1" customWidth="1"/>
    <col min="15" max="15" width="9.5703125" bestFit="1" customWidth="1"/>
    <col min="16" max="16" width="8.85546875" bestFit="1" customWidth="1"/>
    <col min="17" max="17" width="12" bestFit="1" customWidth="1"/>
    <col min="18" max="21" width="16.85546875" bestFit="1" customWidth="1"/>
    <col min="22" max="22" width="11.28515625" bestFit="1" customWidth="1"/>
  </cols>
  <sheetData>
    <row r="1" spans="1:15" ht="60" x14ac:dyDescent="0.25">
      <c r="A1" s="2" t="s">
        <v>979</v>
      </c>
      <c r="B1" s="2" t="s">
        <v>1</v>
      </c>
      <c r="J1" s="2" t="s">
        <v>944</v>
      </c>
      <c r="K1" s="2" t="s">
        <v>943</v>
      </c>
      <c r="L1" s="42" t="s">
        <v>977</v>
      </c>
      <c r="M1" s="42" t="s">
        <v>979</v>
      </c>
      <c r="N1" s="42" t="s">
        <v>976</v>
      </c>
      <c r="O1" s="42" t="s">
        <v>978</v>
      </c>
    </row>
    <row r="2" spans="1:15" x14ac:dyDescent="0.25">
      <c r="A2" s="2" t="s">
        <v>0</v>
      </c>
      <c r="B2" t="s">
        <v>13</v>
      </c>
      <c r="C2" t="s">
        <v>9</v>
      </c>
      <c r="D2" t="s">
        <v>7</v>
      </c>
      <c r="E2" t="s">
        <v>4</v>
      </c>
      <c r="F2" t="s">
        <v>27</v>
      </c>
      <c r="J2" t="s">
        <v>950</v>
      </c>
      <c r="K2" t="s">
        <v>949</v>
      </c>
      <c r="L2" s="40">
        <v>498750</v>
      </c>
      <c r="M2" s="13">
        <v>0.23711340206185566</v>
      </c>
      <c r="N2" s="6">
        <v>97</v>
      </c>
      <c r="O2" s="40">
        <v>118053.64948453609</v>
      </c>
    </row>
    <row r="3" spans="1:15" x14ac:dyDescent="0.25">
      <c r="A3" s="3" t="s">
        <v>3</v>
      </c>
      <c r="B3" s="41">
        <v>0.18181818181818182</v>
      </c>
      <c r="C3" s="41">
        <v>0.22727272727272727</v>
      </c>
      <c r="D3" s="41">
        <v>0.34482758620689657</v>
      </c>
      <c r="E3" s="41">
        <v>0.25</v>
      </c>
      <c r="F3" s="41">
        <v>0.25773195876288657</v>
      </c>
      <c r="J3" t="s">
        <v>956</v>
      </c>
      <c r="K3" t="s">
        <v>955</v>
      </c>
      <c r="L3" s="40">
        <v>533850</v>
      </c>
      <c r="M3" s="13">
        <v>0.25773195876288657</v>
      </c>
      <c r="N3" s="6">
        <v>97</v>
      </c>
      <c r="O3" s="40">
        <v>121820.41237113402</v>
      </c>
    </row>
    <row r="4" spans="1:15" x14ac:dyDescent="0.25">
      <c r="A4" s="3" t="s">
        <v>12</v>
      </c>
      <c r="B4" s="41">
        <v>0.26315789473684209</v>
      </c>
      <c r="C4" s="41">
        <v>0.19047619047619047</v>
      </c>
      <c r="D4" s="41">
        <v>0.19230769230769232</v>
      </c>
      <c r="E4" s="41">
        <v>0.18181818181818182</v>
      </c>
      <c r="F4" s="41">
        <v>0.20454545454545456</v>
      </c>
      <c r="J4" t="s">
        <v>959</v>
      </c>
      <c r="K4" t="s">
        <v>958</v>
      </c>
      <c r="L4" s="40">
        <v>436650</v>
      </c>
      <c r="M4" s="13">
        <v>0.20454545454545456</v>
      </c>
      <c r="N4" s="6">
        <v>88</v>
      </c>
      <c r="O4" s="40">
        <v>115837.36363636363</v>
      </c>
    </row>
    <row r="5" spans="1:15" x14ac:dyDescent="0.25">
      <c r="A5" s="3" t="s">
        <v>8</v>
      </c>
      <c r="B5" s="41">
        <v>0.21052631578947367</v>
      </c>
      <c r="C5" s="41">
        <v>0.25925925925925924</v>
      </c>
      <c r="D5" s="41">
        <v>0.30769230769230771</v>
      </c>
      <c r="E5" s="41">
        <v>0.16</v>
      </c>
      <c r="F5" s="41">
        <v>0.23711340206185566</v>
      </c>
      <c r="J5" t="s">
        <v>953</v>
      </c>
      <c r="K5" t="s">
        <v>952</v>
      </c>
      <c r="L5" s="40">
        <v>598750</v>
      </c>
      <c r="M5" s="13">
        <v>0.25688073394495414</v>
      </c>
      <c r="N5" s="6">
        <v>109</v>
      </c>
      <c r="O5" s="40">
        <v>121706.94495412844</v>
      </c>
    </row>
    <row r="6" spans="1:15" x14ac:dyDescent="0.25">
      <c r="A6" s="3" t="s">
        <v>14</v>
      </c>
      <c r="B6" s="41">
        <v>0.2</v>
      </c>
      <c r="C6" s="41">
        <v>0.32</v>
      </c>
      <c r="D6" s="41">
        <v>0.22857142857142856</v>
      </c>
      <c r="E6" s="41">
        <v>0.29166666666666669</v>
      </c>
      <c r="F6" s="41">
        <v>0.25688073394495414</v>
      </c>
      <c r="J6" t="s">
        <v>947</v>
      </c>
      <c r="K6" t="s">
        <v>946</v>
      </c>
      <c r="L6" s="40">
        <v>515000</v>
      </c>
      <c r="M6" s="13">
        <v>0.20792079207920791</v>
      </c>
      <c r="N6" s="6">
        <v>101</v>
      </c>
      <c r="O6" s="40">
        <v>115451.38613861386</v>
      </c>
    </row>
    <row r="7" spans="1:15" x14ac:dyDescent="0.25">
      <c r="A7" s="3" t="s">
        <v>11</v>
      </c>
      <c r="B7" s="41">
        <v>0.16</v>
      </c>
      <c r="C7" s="41">
        <v>0.2</v>
      </c>
      <c r="D7" s="41">
        <v>0.25</v>
      </c>
      <c r="E7" s="41">
        <v>0.22222222222222221</v>
      </c>
      <c r="F7" s="41">
        <v>0.20792079207920791</v>
      </c>
      <c r="J7" t="s">
        <v>27</v>
      </c>
      <c r="L7" s="40">
        <v>2583000</v>
      </c>
      <c r="M7" s="13">
        <v>0.23373983739837398</v>
      </c>
      <c r="N7" s="6">
        <v>492</v>
      </c>
      <c r="O7" s="40">
        <v>118675.03861788618</v>
      </c>
    </row>
    <row r="8" spans="1:15" x14ac:dyDescent="0.25">
      <c r="A8" s="3" t="s">
        <v>27</v>
      </c>
      <c r="B8" s="41">
        <v>0.2</v>
      </c>
      <c r="C8" s="41">
        <v>0.24166666666666667</v>
      </c>
      <c r="D8" s="41">
        <v>0.26428571428571429</v>
      </c>
      <c r="E8" s="41">
        <v>0.22131147540983606</v>
      </c>
      <c r="F8" s="41">
        <v>0.23373983739837398</v>
      </c>
    </row>
    <row r="11" spans="1:15" ht="15" customHeight="1" x14ac:dyDescent="0.25">
      <c r="A11" s="2" t="s">
        <v>931</v>
      </c>
      <c r="B11" s="2" t="s">
        <v>22</v>
      </c>
      <c r="D11" s="8"/>
      <c r="E11" s="47" t="s">
        <v>967</v>
      </c>
      <c r="F11" s="47"/>
    </row>
    <row r="12" spans="1:15" x14ac:dyDescent="0.25">
      <c r="A12" s="2" t="s">
        <v>971</v>
      </c>
      <c r="B12" t="s">
        <v>23</v>
      </c>
      <c r="C12" t="s">
        <v>24</v>
      </c>
      <c r="D12" s="9" t="s">
        <v>969</v>
      </c>
      <c r="E12" s="47"/>
      <c r="F12" s="47"/>
    </row>
    <row r="13" spans="1:15" x14ac:dyDescent="0.25">
      <c r="A13" s="3" t="s">
        <v>939</v>
      </c>
      <c r="B13" s="4">
        <v>62039.327272727271</v>
      </c>
      <c r="C13" s="4">
        <v>59809.779411764706</v>
      </c>
      <c r="D13" s="4">
        <f>C13-B13</f>
        <v>-2229.5478609625643</v>
      </c>
      <c r="E13" s="47"/>
      <c r="F13" s="47"/>
    </row>
    <row r="14" spans="1:15" x14ac:dyDescent="0.25">
      <c r="A14" s="3" t="s">
        <v>938</v>
      </c>
      <c r="B14" s="4">
        <v>95928.465517241377</v>
      </c>
      <c r="C14" s="4">
        <v>93651.092307692306</v>
      </c>
      <c r="D14" s="4">
        <f t="shared" ref="D14:D17" si="0">C14-B14</f>
        <v>-2277.3732095490705</v>
      </c>
      <c r="E14" s="47"/>
      <c r="F14" s="47"/>
    </row>
    <row r="15" spans="1:15" x14ac:dyDescent="0.25">
      <c r="A15" s="3" t="s">
        <v>940</v>
      </c>
      <c r="B15" s="4">
        <v>132606.51666666666</v>
      </c>
      <c r="C15" s="4">
        <v>131052.96721311475</v>
      </c>
      <c r="D15" s="4">
        <f t="shared" si="0"/>
        <v>-1553.5494535519101</v>
      </c>
      <c r="E15" s="47"/>
      <c r="F15" s="47"/>
    </row>
    <row r="16" spans="1:15" x14ac:dyDescent="0.25">
      <c r="A16" s="3" t="s">
        <v>941</v>
      </c>
      <c r="B16" s="4">
        <v>184793.39215686274</v>
      </c>
      <c r="C16" s="4">
        <v>187465.94366197183</v>
      </c>
      <c r="D16" s="4">
        <f t="shared" si="0"/>
        <v>2672.5515051090915</v>
      </c>
      <c r="E16" s="47"/>
      <c r="F16" s="47"/>
    </row>
    <row r="17" spans="1:19" x14ac:dyDescent="0.25">
      <c r="A17" s="3" t="s">
        <v>27</v>
      </c>
      <c r="B17" s="4">
        <v>117664.58928571429</v>
      </c>
      <c r="C17" s="4">
        <v>118712.07169811321</v>
      </c>
      <c r="D17" s="12">
        <f t="shared" si="0"/>
        <v>1047.4824123989238</v>
      </c>
      <c r="E17" s="47"/>
      <c r="F17" s="47"/>
    </row>
    <row r="19" spans="1:19" ht="54.75" customHeight="1" x14ac:dyDescent="0.25">
      <c r="A19" s="35" t="s">
        <v>968</v>
      </c>
    </row>
    <row r="21" spans="1:19" x14ac:dyDescent="0.25">
      <c r="A21" s="2" t="s">
        <v>1018</v>
      </c>
      <c r="B21" t="s">
        <v>960</v>
      </c>
    </row>
    <row r="22" spans="1:19" x14ac:dyDescent="0.25">
      <c r="A22" s="3" t="s">
        <v>5</v>
      </c>
      <c r="B22" s="66">
        <v>59</v>
      </c>
    </row>
    <row r="23" spans="1:19" x14ac:dyDescent="0.25">
      <c r="A23" s="3" t="s">
        <v>17</v>
      </c>
      <c r="B23" s="66">
        <v>216</v>
      </c>
    </row>
    <row r="24" spans="1:19" x14ac:dyDescent="0.25">
      <c r="A24" s="3" t="s">
        <v>10</v>
      </c>
      <c r="B24" s="66">
        <v>217</v>
      </c>
    </row>
    <row r="25" spans="1:19" x14ac:dyDescent="0.25">
      <c r="A25" s="3" t="s">
        <v>27</v>
      </c>
      <c r="B25" s="66">
        <v>492</v>
      </c>
    </row>
    <row r="28" spans="1:19" x14ac:dyDescent="0.25">
      <c r="A28" s="2" t="s">
        <v>1026</v>
      </c>
      <c r="B28" t="s">
        <v>1027</v>
      </c>
    </row>
    <row r="29" spans="1:19" x14ac:dyDescent="0.25">
      <c r="A29" s="3" t="s">
        <v>16</v>
      </c>
      <c r="B29" s="66">
        <v>208</v>
      </c>
      <c r="J29" s="38" t="s">
        <v>29</v>
      </c>
      <c r="K29" s="38" t="s">
        <v>15</v>
      </c>
      <c r="L29" s="38" t="str" vm="986">
        <f>CUBEMEMBER("ThisWorkbookDataModel","[Measures].[Sum of Monthly Base Salary (INR)]")</f>
        <v>Sum of Monthly Base Salary (INR)</v>
      </c>
      <c r="M29" s="38" t="str" vm="985">
        <f>CUBEMEMBER("ThisWorkbookDataModel","[Measures].[Sum of Monthly Premiums]")</f>
        <v>Sum of Monthly Premiums</v>
      </c>
      <c r="N29" s="38" t="s">
        <v>1023</v>
      </c>
      <c r="O29" s="38" t="s">
        <v>1024</v>
      </c>
      <c r="P29" s="38" t="s">
        <v>1025</v>
      </c>
      <c r="Q29" s="39" t="s">
        <v>1020</v>
      </c>
      <c r="R29" s="39" t="s">
        <v>1021</v>
      </c>
      <c r="S29" s="39" t="s">
        <v>1022</v>
      </c>
    </row>
    <row r="30" spans="1:19" x14ac:dyDescent="0.25">
      <c r="A30" s="3" t="s">
        <v>6</v>
      </c>
      <c r="B30" s="66">
        <v>170</v>
      </c>
      <c r="J30" s="36" t="str" vm="984">
        <f>CUBEMEMBER("ThisWorkbookDataModel","[Indian_Employee_Data].[Employee ID].&amp;[Emp1000]")</f>
        <v>Emp1000</v>
      </c>
      <c r="K30" s="36" t="str" vm="983">
        <f>CUBEMEMBER("ThisWorkbookDataModel",{"[Indian_Employee_Data].[Employee ID].&amp;[Emp1000]","[Indian_Employee_Data].[Insurance tier].&amp;[Silver]"})</f>
        <v>Silver</v>
      </c>
      <c r="L30" s="37" vm="988">
        <f>CUBEVALUE("ThisWorkbookDataModel",$K30,L$29,Slicer_Department)</f>
        <v>94822</v>
      </c>
      <c r="M30" s="37" vm="987">
        <f>CUBEVALUE("ThisWorkbookDataModel",$K30,M$29,Slicer_Department)</f>
        <v>4200</v>
      </c>
      <c r="N30" s="37" t="e">
        <f t="shared" ref="N30:N93" si="1">IF(AND($K30="Bronze",ISNUMBER($L30),ISNUMBER($M30)),$M30,NA())</f>
        <v>#N/A</v>
      </c>
      <c r="O30" s="37" vm="987">
        <f t="shared" ref="O30:O93" si="2">IF(AND($K30="Silver",ISNUMBER($L30),ISNUMBER($M30)),$M30,NA())</f>
        <v>4200</v>
      </c>
      <c r="P30" s="37" t="e">
        <f t="shared" ref="P30:P93" si="3">IF(AND($K30="Gold",ISNUMBER($L30),ISNUMBER($M30)),$M30,NA())</f>
        <v>#N/A</v>
      </c>
      <c r="Q30" s="37" t="e">
        <f t="shared" ref="Q30:Q93" si="4">IF(AND($K30="Bronze",ISNUMBER($L30),ISNUMBER($N30)),$L30,NA())</f>
        <v>#N/A</v>
      </c>
      <c r="R30" s="37" vm="988">
        <f t="shared" ref="R30:R93" si="5">IF(AND($K30="Silver",ISNUMBER($L30),ISNUMBER($O30)),$L30,NA())</f>
        <v>94822</v>
      </c>
      <c r="S30" s="37" t="e">
        <f t="shared" ref="S30:S93" si="6">IF(AND($K30="Gold",ISNUMBER($L30),ISNUMBER($P30)),$L30,NA())</f>
        <v>#N/A</v>
      </c>
    </row>
    <row r="31" spans="1:19" x14ac:dyDescent="0.25">
      <c r="A31" s="3" t="s">
        <v>19</v>
      </c>
      <c r="B31" s="66">
        <v>114</v>
      </c>
      <c r="J31" s="36" t="str" vm="982">
        <f>CUBEMEMBER("ThisWorkbookDataModel","[Indian_Employee_Data].[Employee ID].&amp;[Emp1001]")</f>
        <v>Emp1001</v>
      </c>
      <c r="K31" s="36" t="str" vm="981">
        <f>CUBEMEMBER("ThisWorkbookDataModel",{"[Indian_Employee_Data].[Employee ID].&amp;[Emp1001]","[Indian_Employee_Data].[Insurance tier].&amp;[Gold]"})</f>
        <v>Gold</v>
      </c>
      <c r="L31" s="37" vm="990">
        <f>CUBEVALUE("ThisWorkbookDataModel",$K31,L$29,Slicer_Department)</f>
        <v>206439</v>
      </c>
      <c r="M31" s="37" vm="989">
        <f>CUBEVALUE("ThisWorkbookDataModel",$K31,M$29,Slicer_Department)</f>
        <v>9000</v>
      </c>
      <c r="N31" s="37" t="e">
        <f t="shared" si="1"/>
        <v>#N/A</v>
      </c>
      <c r="O31" s="37" t="e">
        <f t="shared" si="2"/>
        <v>#N/A</v>
      </c>
      <c r="P31" s="37" vm="989">
        <f t="shared" si="3"/>
        <v>9000</v>
      </c>
      <c r="Q31" s="37" t="e">
        <f t="shared" si="4"/>
        <v>#N/A</v>
      </c>
      <c r="R31" s="37" t="e">
        <f t="shared" si="5"/>
        <v>#N/A</v>
      </c>
      <c r="S31" s="37" vm="990">
        <f t="shared" si="6"/>
        <v>206439</v>
      </c>
    </row>
    <row r="32" spans="1:19" x14ac:dyDescent="0.25">
      <c r="A32" s="3" t="s">
        <v>27</v>
      </c>
      <c r="B32" s="66">
        <v>492</v>
      </c>
      <c r="J32" s="36" t="str" vm="980">
        <f>CUBEMEMBER("ThisWorkbookDataModel","[Indian_Employee_Data].[Employee ID].&amp;[Emp1002]")</f>
        <v>Emp1002</v>
      </c>
      <c r="K32" s="36" t="str" vm="979">
        <f>CUBEMEMBER("ThisWorkbookDataModel",{"[Indian_Employee_Data].[Employee ID].&amp;[Emp1002]","[Indian_Employee_Data].[Insurance tier].&amp;[Gold]"})</f>
        <v>Gold</v>
      </c>
      <c r="L32" s="37" vm="992">
        <f>CUBEVALUE("ThisWorkbookDataModel",$K32,L$29,Slicer_Department)</f>
        <v>148421</v>
      </c>
      <c r="M32" s="37" vm="991">
        <f>CUBEVALUE("ThisWorkbookDataModel",$K32,M$29,Slicer_Department)</f>
        <v>9000</v>
      </c>
      <c r="N32" s="37" t="e">
        <f t="shared" si="1"/>
        <v>#N/A</v>
      </c>
      <c r="O32" s="37" t="e">
        <f t="shared" si="2"/>
        <v>#N/A</v>
      </c>
      <c r="P32" s="37" vm="991">
        <f t="shared" si="3"/>
        <v>9000</v>
      </c>
      <c r="Q32" s="37" t="e">
        <f t="shared" si="4"/>
        <v>#N/A</v>
      </c>
      <c r="R32" s="37" t="e">
        <f t="shared" si="5"/>
        <v>#N/A</v>
      </c>
      <c r="S32" s="37" vm="992">
        <f t="shared" si="6"/>
        <v>148421</v>
      </c>
    </row>
    <row r="33" spans="1:19" x14ac:dyDescent="0.25">
      <c r="J33" s="36" t="str" vm="978">
        <f>CUBEMEMBER("ThisWorkbookDataModel","[Indian_Employee_Data].[Employee ID].&amp;[Emp1003]")</f>
        <v>Emp1003</v>
      </c>
      <c r="K33" s="36" t="str" vm="977">
        <f>CUBEMEMBER("ThisWorkbookDataModel",{"[Indian_Employee_Data].[Employee ID].&amp;[Emp1003]","[Indian_Employee_Data].[Insurance tier].&amp;[Gold]"})</f>
        <v>Gold</v>
      </c>
      <c r="L33" s="37" vm="994">
        <f>CUBEVALUE("ThisWorkbookDataModel",$K33,L$29,Slicer_Department)</f>
        <v>125695</v>
      </c>
      <c r="M33" s="37" vm="993">
        <f>CUBEVALUE("ThisWorkbookDataModel",$K33,M$29,Slicer_Department)</f>
        <v>9000</v>
      </c>
      <c r="N33" s="37" t="e">
        <f t="shared" si="1"/>
        <v>#N/A</v>
      </c>
      <c r="O33" s="37" t="e">
        <f t="shared" si="2"/>
        <v>#N/A</v>
      </c>
      <c r="P33" s="37" vm="993">
        <f t="shared" si="3"/>
        <v>9000</v>
      </c>
      <c r="Q33" s="37" t="e">
        <f t="shared" si="4"/>
        <v>#N/A</v>
      </c>
      <c r="R33" s="37" t="e">
        <f t="shared" si="5"/>
        <v>#N/A</v>
      </c>
      <c r="S33" s="37" vm="994">
        <f t="shared" si="6"/>
        <v>125695</v>
      </c>
    </row>
    <row r="34" spans="1:19" x14ac:dyDescent="0.25">
      <c r="J34" s="36" t="str" vm="976">
        <f>CUBEMEMBER("ThisWorkbookDataModel","[Indian_Employee_Data].[Employee ID].&amp;[Emp1004]")</f>
        <v>Emp1004</v>
      </c>
      <c r="K34" s="36" t="str" vm="975">
        <f>CUBEMEMBER("ThisWorkbookDataModel",{"[Indian_Employee_Data].[Employee ID].&amp;[Emp1004]","[Indian_Employee_Data].[Insurance tier].&amp;[Silver]"})</f>
        <v>Silver</v>
      </c>
      <c r="L34" s="37" vm="996">
        <f>CUBEVALUE("ThisWorkbookDataModel",$K34,L$29,Slicer_Department)</f>
        <v>69301</v>
      </c>
      <c r="M34" s="37" vm="995">
        <f>CUBEVALUE("ThisWorkbookDataModel",$K34,M$29,Slicer_Department)</f>
        <v>4200</v>
      </c>
      <c r="N34" s="37" t="e">
        <f t="shared" si="1"/>
        <v>#N/A</v>
      </c>
      <c r="O34" s="37" vm="995">
        <f t="shared" si="2"/>
        <v>4200</v>
      </c>
      <c r="P34" s="37" t="e">
        <f t="shared" si="3"/>
        <v>#N/A</v>
      </c>
      <c r="Q34" s="37" t="e">
        <f t="shared" si="4"/>
        <v>#N/A</v>
      </c>
      <c r="R34" s="37" vm="996">
        <f t="shared" si="5"/>
        <v>69301</v>
      </c>
      <c r="S34" s="37" t="e">
        <f t="shared" si="6"/>
        <v>#N/A</v>
      </c>
    </row>
    <row r="35" spans="1:19" x14ac:dyDescent="0.25">
      <c r="J35" s="36" t="str" vm="974">
        <f>CUBEMEMBER("ThisWorkbookDataModel","[Indian_Employee_Data].[Employee ID].&amp;[Emp1005]")</f>
        <v>Emp1005</v>
      </c>
      <c r="K35" s="36" t="str" vm="973">
        <f>CUBEMEMBER("ThisWorkbookDataModel",{"[Indian_Employee_Data].[Employee ID].&amp;[Emp1005]","[Indian_Employee_Data].[Insurance tier].&amp;[Silver]"})</f>
        <v>Silver</v>
      </c>
      <c r="L35" s="37" vm="998">
        <f>CUBEVALUE("ThisWorkbookDataModel",$K35,L$29,Slicer_Department)</f>
        <v>69298</v>
      </c>
      <c r="M35" s="37" vm="997">
        <f>CUBEVALUE("ThisWorkbookDataModel",$K35,M$29,Slicer_Department)</f>
        <v>4200</v>
      </c>
      <c r="N35" s="37" t="e">
        <f t="shared" si="1"/>
        <v>#N/A</v>
      </c>
      <c r="O35" s="37" vm="997">
        <f t="shared" si="2"/>
        <v>4200</v>
      </c>
      <c r="P35" s="37" t="e">
        <f t="shared" si="3"/>
        <v>#N/A</v>
      </c>
      <c r="Q35" s="37" t="e">
        <f t="shared" si="4"/>
        <v>#N/A</v>
      </c>
      <c r="R35" s="37" vm="998">
        <f t="shared" si="5"/>
        <v>69298</v>
      </c>
      <c r="S35" s="37" t="e">
        <f t="shared" si="6"/>
        <v>#N/A</v>
      </c>
    </row>
    <row r="36" spans="1:19" x14ac:dyDescent="0.25">
      <c r="J36" s="36" t="str" vm="972">
        <f>CUBEMEMBER("ThisWorkbookDataModel","[Indian_Employee_Data].[Employee ID].&amp;[Emp1006]")</f>
        <v>Emp1006</v>
      </c>
      <c r="K36" s="36" t="str" vm="971">
        <f>CUBEMEMBER("ThisWorkbookDataModel",{"[Indian_Employee_Data].[Employee ID].&amp;[Emp1006]","[Indian_Employee_Data].[Insurance tier].&amp;[Bronze]"})</f>
        <v>Bronze</v>
      </c>
      <c r="L36" s="37" vm="1000">
        <f>CUBEVALUE("ThisWorkbookDataModel",$K36,L$29,Slicer_Department)</f>
        <v>53979</v>
      </c>
      <c r="M36" s="37" vm="999">
        <f>CUBEVALUE("ThisWorkbookDataModel",$K36,M$29,Slicer_Department)</f>
        <v>1500</v>
      </c>
      <c r="N36" s="37" vm="999">
        <f t="shared" si="1"/>
        <v>1500</v>
      </c>
      <c r="O36" s="37" t="e">
        <f t="shared" si="2"/>
        <v>#N/A</v>
      </c>
      <c r="P36" s="37" t="e">
        <f t="shared" si="3"/>
        <v>#N/A</v>
      </c>
      <c r="Q36" s="37" vm="1000">
        <f t="shared" si="4"/>
        <v>53979</v>
      </c>
      <c r="R36" s="37" t="e">
        <f t="shared" si="5"/>
        <v>#N/A</v>
      </c>
      <c r="S36" s="37" t="e">
        <f t="shared" si="6"/>
        <v>#N/A</v>
      </c>
    </row>
    <row r="37" spans="1:19" x14ac:dyDescent="0.25">
      <c r="J37" s="36" t="str" vm="970">
        <f>CUBEMEMBER("ThisWorkbookDataModel","[Indian_Employee_Data].[Employee ID].&amp;[Emp1007]")</f>
        <v>Emp1007</v>
      </c>
      <c r="K37" s="36" t="str" vm="969">
        <f>CUBEMEMBER("ThisWorkbookDataModel",{"[Indian_Employee_Data].[Employee ID].&amp;[Emp1007]","[Indian_Employee_Data].[Insurance tier].&amp;[Bronze]"})</f>
        <v>Bronze</v>
      </c>
      <c r="L37" s="37" vm="1002">
        <f>CUBEVALUE("ThisWorkbookDataModel",$K37,L$29,Slicer_Department)</f>
        <v>178221</v>
      </c>
      <c r="M37" s="37" vm="1001">
        <f>CUBEVALUE("ThisWorkbookDataModel",$K37,M$29,Slicer_Department)</f>
        <v>9500</v>
      </c>
      <c r="N37" s="37" vm="1001">
        <f t="shared" si="1"/>
        <v>9500</v>
      </c>
      <c r="O37" s="37" t="e">
        <f t="shared" si="2"/>
        <v>#N/A</v>
      </c>
      <c r="P37" s="37" t="e">
        <f t="shared" si="3"/>
        <v>#N/A</v>
      </c>
      <c r="Q37" s="37" vm="1002">
        <f t="shared" si="4"/>
        <v>178221</v>
      </c>
      <c r="R37" s="37" t="e">
        <f t="shared" si="5"/>
        <v>#N/A</v>
      </c>
      <c r="S37" s="37" t="e">
        <f t="shared" si="6"/>
        <v>#N/A</v>
      </c>
    </row>
    <row r="38" spans="1:19" x14ac:dyDescent="0.25">
      <c r="J38" s="36" t="str" vm="968">
        <f>CUBEMEMBER("ThisWorkbookDataModel","[Indian_Employee_Data].[Employee ID].&amp;[Emp1008]")</f>
        <v>Emp1008</v>
      </c>
      <c r="K38" s="36" t="str" vm="967">
        <f>CUBEMEMBER("ThisWorkbookDataModel",{"[Indian_Employee_Data].[Employee ID].&amp;[Emp1008]","[Indian_Employee_Data].[Insurance tier].&amp;[Gold]"})</f>
        <v>Gold</v>
      </c>
      <c r="L38" s="37" vm="1004">
        <f>CUBEVALUE("ThisWorkbookDataModel",$K38,L$29,Slicer_Department)</f>
        <v>126076</v>
      </c>
      <c r="M38" s="37" vm="1003">
        <f>CUBEVALUE("ThisWorkbookDataModel",$K38,M$29,Slicer_Department)</f>
        <v>9000</v>
      </c>
      <c r="N38" s="37" t="e">
        <f t="shared" si="1"/>
        <v>#N/A</v>
      </c>
      <c r="O38" s="37" t="e">
        <f t="shared" si="2"/>
        <v>#N/A</v>
      </c>
      <c r="P38" s="37" vm="1003">
        <f t="shared" si="3"/>
        <v>9000</v>
      </c>
      <c r="Q38" s="37" t="e">
        <f t="shared" si="4"/>
        <v>#N/A</v>
      </c>
      <c r="R38" s="37" t="e">
        <f t="shared" si="5"/>
        <v>#N/A</v>
      </c>
      <c r="S38" s="37" vm="1004">
        <f t="shared" si="6"/>
        <v>126076</v>
      </c>
    </row>
    <row r="39" spans="1:19" x14ac:dyDescent="0.25">
      <c r="J39" s="36" t="str" vm="966">
        <f>CUBEMEMBER("ThisWorkbookDataModel","[Indian_Employee_Data].[Employee ID].&amp;[Emp1009]")</f>
        <v>Emp1009</v>
      </c>
      <c r="K39" s="36" t="str" vm="965">
        <f>CUBEMEMBER("ThisWorkbookDataModel",{"[Indian_Employee_Data].[Employee ID].&amp;[Emp1009]","[Indian_Employee_Data].[Insurance tier].&amp;[Gold]"})</f>
        <v>Gold</v>
      </c>
      <c r="L39" s="37" vm="1006">
        <f>CUBEVALUE("ThisWorkbookDataModel",$K39,L$29,Slicer_Department)</f>
        <v>143984</v>
      </c>
      <c r="M39" s="37" vm="1005">
        <f>CUBEVALUE("ThisWorkbookDataModel",$K39,M$29,Slicer_Department)</f>
        <v>6750</v>
      </c>
      <c r="N39" s="37" t="e">
        <f t="shared" si="1"/>
        <v>#N/A</v>
      </c>
      <c r="O39" s="37" t="e">
        <f t="shared" si="2"/>
        <v>#N/A</v>
      </c>
      <c r="P39" s="37" vm="1005">
        <f t="shared" si="3"/>
        <v>6750</v>
      </c>
      <c r="Q39" s="37" t="e">
        <f t="shared" si="4"/>
        <v>#N/A</v>
      </c>
      <c r="R39" s="37" t="e">
        <f t="shared" si="5"/>
        <v>#N/A</v>
      </c>
      <c r="S39" s="37" vm="1006">
        <f t="shared" si="6"/>
        <v>143984</v>
      </c>
    </row>
    <row r="40" spans="1:19" x14ac:dyDescent="0.25">
      <c r="J40" s="36" t="str" vm="964">
        <f>CUBEMEMBER("ThisWorkbookDataModel","[Indian_Employee_Data].[Employee ID].&amp;[Emp1010]")</f>
        <v>Emp1010</v>
      </c>
      <c r="K40" s="36" t="str" vm="963">
        <f>CUBEMEMBER("ThisWorkbookDataModel",{"[Indian_Employee_Data].[Employee ID].&amp;[Emp1010]","[Indian_Employee_Data].[Insurance tier].&amp;[Bronze]"})</f>
        <v>Bronze</v>
      </c>
      <c r="L40" s="37" vm="1008">
        <f>CUBEVALUE("ThisWorkbookDataModel",$K40,L$29,Slicer_Department)</f>
        <v>44275</v>
      </c>
      <c r="M40" s="37" vm="1007">
        <f>CUBEVALUE("ThisWorkbookDataModel",$K40,M$29,Slicer_Department)</f>
        <v>1500</v>
      </c>
      <c r="N40" s="37" vm="1007">
        <f t="shared" si="1"/>
        <v>1500</v>
      </c>
      <c r="O40" s="37" t="e">
        <f t="shared" si="2"/>
        <v>#N/A</v>
      </c>
      <c r="P40" s="37" t="e">
        <f t="shared" si="3"/>
        <v>#N/A</v>
      </c>
      <c r="Q40" s="37" vm="1008">
        <f t="shared" si="4"/>
        <v>44275</v>
      </c>
      <c r="R40" s="37" t="e">
        <f t="shared" si="5"/>
        <v>#N/A</v>
      </c>
      <c r="S40" s="37" t="e">
        <f t="shared" si="6"/>
        <v>#N/A</v>
      </c>
    </row>
    <row r="41" spans="1:19" x14ac:dyDescent="0.25">
      <c r="J41" s="36" t="str" vm="962">
        <f>CUBEMEMBER("ThisWorkbookDataModel","[Indian_Employee_Data].[Employee ID].&amp;[Emp1011]")</f>
        <v>Emp1011</v>
      </c>
      <c r="K41" s="36" t="str" vm="961">
        <f>CUBEMEMBER("ThisWorkbookDataModel",{"[Indian_Employee_Data].[Employee ID].&amp;[Emp1011]","[Indian_Employee_Data].[Insurance tier].&amp;[Gold]"})</f>
        <v>Gold</v>
      </c>
      <c r="L41" s="37" vm="1010">
        <f>CUBEVALUE("ThisWorkbookDataModel",$K41,L$29,Slicer_Department)</f>
        <v>215963</v>
      </c>
      <c r="M41" s="37" vm="1009">
        <f>CUBEVALUE("ThisWorkbookDataModel",$K41,M$29,Slicer_Department)</f>
        <v>6750</v>
      </c>
      <c r="N41" s="37" t="e">
        <f t="shared" si="1"/>
        <v>#N/A</v>
      </c>
      <c r="O41" s="37" t="e">
        <f t="shared" si="2"/>
        <v>#N/A</v>
      </c>
      <c r="P41" s="37" vm="1009">
        <f t="shared" si="3"/>
        <v>6750</v>
      </c>
      <c r="Q41" s="37" t="e">
        <f t="shared" si="4"/>
        <v>#N/A</v>
      </c>
      <c r="R41" s="37" t="e">
        <f t="shared" si="5"/>
        <v>#N/A</v>
      </c>
      <c r="S41" s="37" vm="1010">
        <f t="shared" si="6"/>
        <v>215963</v>
      </c>
    </row>
    <row r="42" spans="1:19" x14ac:dyDescent="0.25">
      <c r="J42" s="36" t="str" vm="960">
        <f>CUBEMEMBER("ThisWorkbookDataModel","[Indian_Employee_Data].[Employee ID].&amp;[Emp1012]")</f>
        <v>Emp1012</v>
      </c>
      <c r="K42" s="36" t="str" vm="959">
        <f>CUBEMEMBER("ThisWorkbookDataModel",{"[Indian_Employee_Data].[Employee ID].&amp;[Emp1012]","[Indian_Employee_Data].[Insurance tier].&amp;[Gold]"})</f>
        <v>Gold</v>
      </c>
      <c r="L42" s="37" vm="1012">
        <f>CUBEVALUE("ThisWorkbookDataModel",$K42,L$29,Slicer_Department)</f>
        <v>169682</v>
      </c>
      <c r="M42" s="37" vm="1011">
        <f>CUBEVALUE("ThisWorkbookDataModel",$K42,M$29,Slicer_Department)</f>
        <v>6750</v>
      </c>
      <c r="N42" s="37" t="e">
        <f t="shared" si="1"/>
        <v>#N/A</v>
      </c>
      <c r="O42" s="37" t="e">
        <f t="shared" si="2"/>
        <v>#N/A</v>
      </c>
      <c r="P42" s="37" vm="1011">
        <f t="shared" si="3"/>
        <v>6750</v>
      </c>
      <c r="Q42" s="37" t="e">
        <f t="shared" si="4"/>
        <v>#N/A</v>
      </c>
      <c r="R42" s="37" t="e">
        <f t="shared" si="5"/>
        <v>#N/A</v>
      </c>
      <c r="S42" s="37" vm="1012">
        <f t="shared" si="6"/>
        <v>169682</v>
      </c>
    </row>
    <row r="43" spans="1:19" x14ac:dyDescent="0.25">
      <c r="J43" s="36" t="str" vm="958">
        <f>CUBEMEMBER("ThisWorkbookDataModel","[Indian_Employee_Data].[Employee ID].&amp;[Emp1013]")</f>
        <v>Emp1013</v>
      </c>
      <c r="K43" s="36" t="str" vm="957">
        <f>CUBEMEMBER("ThisWorkbookDataModel",{"[Indian_Employee_Data].[Employee ID].&amp;[Emp1013]","[Indian_Employee_Data].[Insurance tier].&amp;[Silver]"})</f>
        <v>Silver</v>
      </c>
      <c r="L43" s="37" vm="1014">
        <f>CUBEVALUE("ThisWorkbookDataModel",$K43,L$29,Slicer_Department)</f>
        <v>75859</v>
      </c>
      <c r="M43" s="37" vm="1013">
        <f>CUBEVALUE("ThisWorkbookDataModel",$K43,M$29,Slicer_Department)</f>
        <v>2800</v>
      </c>
      <c r="N43" s="37" t="e">
        <f t="shared" si="1"/>
        <v>#N/A</v>
      </c>
      <c r="O43" s="37" vm="1013">
        <f t="shared" si="2"/>
        <v>2800</v>
      </c>
      <c r="P43" s="37" t="e">
        <f t="shared" si="3"/>
        <v>#N/A</v>
      </c>
      <c r="Q43" s="37" t="e">
        <f t="shared" si="4"/>
        <v>#N/A</v>
      </c>
      <c r="R43" s="37" vm="1014">
        <f t="shared" si="5"/>
        <v>75859</v>
      </c>
      <c r="S43" s="37" t="e">
        <f t="shared" si="6"/>
        <v>#N/A</v>
      </c>
    </row>
    <row r="44" spans="1:19" x14ac:dyDescent="0.25">
      <c r="J44" s="36" t="str" vm="956">
        <f>CUBEMEMBER("ThisWorkbookDataModel","[Indian_Employee_Data].[Employee ID].&amp;[Emp1014]")</f>
        <v>Emp1014</v>
      </c>
      <c r="K44" s="36" t="str" vm="955">
        <f>CUBEMEMBER("ThisWorkbookDataModel",{"[Indian_Employee_Data].[Employee ID].&amp;[Emp1014]","[Indian_Employee_Data].[Insurance tier].&amp;[Silver]"})</f>
        <v>Silver</v>
      </c>
      <c r="L44" s="37" vm="1016">
        <f>CUBEVALUE("ThisWorkbookDataModel",$K44,L$29,Slicer_Department)</f>
        <v>72427</v>
      </c>
      <c r="M44" s="37" vm="1015">
        <f>CUBEVALUE("ThisWorkbookDataModel",$K44,M$29,Slicer_Department)</f>
        <v>4200</v>
      </c>
      <c r="N44" s="37" t="e">
        <f t="shared" si="1"/>
        <v>#N/A</v>
      </c>
      <c r="O44" s="37" vm="1015">
        <f t="shared" si="2"/>
        <v>4200</v>
      </c>
      <c r="P44" s="37" t="e">
        <f t="shared" si="3"/>
        <v>#N/A</v>
      </c>
      <c r="Q44" s="37" t="e">
        <f t="shared" si="4"/>
        <v>#N/A</v>
      </c>
      <c r="R44" s="37" vm="1016">
        <f t="shared" si="5"/>
        <v>72427</v>
      </c>
      <c r="S44" s="37" t="e">
        <f t="shared" si="6"/>
        <v>#N/A</v>
      </c>
    </row>
    <row r="45" spans="1:19" x14ac:dyDescent="0.25">
      <c r="A45" s="2" t="s">
        <v>1018</v>
      </c>
      <c r="B45" t="s">
        <v>977</v>
      </c>
      <c r="J45" s="36" t="str" vm="954">
        <f>CUBEMEMBER("ThisWorkbookDataModel","[Indian_Employee_Data].[Employee ID].&amp;[Emp1015]")</f>
        <v>Emp1015</v>
      </c>
      <c r="K45" s="36" t="str" vm="953">
        <f>CUBEMEMBER("ThisWorkbookDataModel",{"[Indian_Employee_Data].[Employee ID].&amp;[Emp1015]","[Indian_Employee_Data].[Insurance tier].&amp;[Silver]"})</f>
        <v>Silver</v>
      </c>
      <c r="L45" s="37" vm="1018">
        <f>CUBEVALUE("ThisWorkbookDataModel",$K45,L$29,Slicer_Department)</f>
        <v>72611</v>
      </c>
      <c r="M45" s="37" vm="1017">
        <f>CUBEVALUE("ThisWorkbookDataModel",$K45,M$29,Slicer_Department)</f>
        <v>4200</v>
      </c>
      <c r="N45" s="37" t="e">
        <f t="shared" si="1"/>
        <v>#N/A</v>
      </c>
      <c r="O45" s="37" vm="1017">
        <f t="shared" si="2"/>
        <v>4200</v>
      </c>
      <c r="P45" s="37" t="e">
        <f t="shared" si="3"/>
        <v>#N/A</v>
      </c>
      <c r="Q45" s="37" t="e">
        <f t="shared" si="4"/>
        <v>#N/A</v>
      </c>
      <c r="R45" s="37" vm="1018">
        <f t="shared" si="5"/>
        <v>72611</v>
      </c>
      <c r="S45" s="37" t="e">
        <f t="shared" si="6"/>
        <v>#N/A</v>
      </c>
    </row>
    <row r="46" spans="1:19" x14ac:dyDescent="0.25">
      <c r="A46" s="3" t="s">
        <v>16</v>
      </c>
      <c r="B46" s="65">
        <v>1148700</v>
      </c>
      <c r="J46" s="36" t="str" vm="952">
        <f>CUBEMEMBER("ThisWorkbookDataModel","[Indian_Employee_Data].[Employee ID].&amp;[Emp1016]")</f>
        <v>Emp1016</v>
      </c>
      <c r="K46" s="36" t="str" vm="951">
        <f>CUBEMEMBER("ThisWorkbookDataModel",{"[Indian_Employee_Data].[Employee ID].&amp;[Emp1016]","[Indian_Employee_Data].[Insurance tier].&amp;[Silver]"})</f>
        <v>Silver</v>
      </c>
      <c r="L46" s="37" vm="1020">
        <f>CUBEVALUE("ThisWorkbookDataModel",$K46,L$29,Slicer_Department)</f>
        <v>86333</v>
      </c>
      <c r="M46" s="37" vm="1019">
        <f>CUBEVALUE("ThisWorkbookDataModel",$K46,M$29,Slicer_Department)</f>
        <v>2800</v>
      </c>
      <c r="N46" s="37" t="e">
        <f t="shared" si="1"/>
        <v>#N/A</v>
      </c>
      <c r="O46" s="37" vm="1019">
        <f t="shared" si="2"/>
        <v>2800</v>
      </c>
      <c r="P46" s="37" t="e">
        <f t="shared" si="3"/>
        <v>#N/A</v>
      </c>
      <c r="Q46" s="37" t="e">
        <f t="shared" si="4"/>
        <v>#N/A</v>
      </c>
      <c r="R46" s="37" vm="1020">
        <f t="shared" si="5"/>
        <v>86333</v>
      </c>
      <c r="S46" s="37" t="e">
        <f t="shared" si="6"/>
        <v>#N/A</v>
      </c>
    </row>
    <row r="47" spans="1:19" x14ac:dyDescent="0.25">
      <c r="A47" s="3" t="s">
        <v>6</v>
      </c>
      <c r="B47" s="65">
        <v>405800</v>
      </c>
      <c r="J47" s="36" t="str" vm="950">
        <f>CUBEMEMBER("ThisWorkbookDataModel","[Indian_Employee_Data].[Employee ID].&amp;[Emp1017]")</f>
        <v>Emp1017</v>
      </c>
      <c r="K47" s="36" t="str" vm="949">
        <f>CUBEMEMBER("ThisWorkbookDataModel",{"[Indian_Employee_Data].[Employee ID].&amp;[Emp1017]","[Indian_Employee_Data].[Insurance tier].&amp;[Silver]"})</f>
        <v>Silver</v>
      </c>
      <c r="L47" s="37" vm="1022">
        <f>CUBEVALUE("ThisWorkbookDataModel",$K47,L$29,Slicer_Department)</f>
        <v>114734</v>
      </c>
      <c r="M47" s="37" vm="1021">
        <f>CUBEVALUE("ThisWorkbookDataModel",$K47,M$29,Slicer_Department)</f>
        <v>4200</v>
      </c>
      <c r="N47" s="37" t="e">
        <f t="shared" si="1"/>
        <v>#N/A</v>
      </c>
      <c r="O47" s="37" vm="1021">
        <f t="shared" si="2"/>
        <v>4200</v>
      </c>
      <c r="P47" s="37" t="e">
        <f t="shared" si="3"/>
        <v>#N/A</v>
      </c>
      <c r="Q47" s="37" t="e">
        <f t="shared" si="4"/>
        <v>#N/A</v>
      </c>
      <c r="R47" s="37" vm="1022">
        <f t="shared" si="5"/>
        <v>114734</v>
      </c>
      <c r="S47" s="37" t="e">
        <f t="shared" si="6"/>
        <v>#N/A</v>
      </c>
    </row>
    <row r="48" spans="1:19" x14ac:dyDescent="0.25">
      <c r="A48" s="3" t="s">
        <v>19</v>
      </c>
      <c r="B48" s="65">
        <v>1028500</v>
      </c>
      <c r="J48" s="36" t="str" vm="948">
        <f>CUBEMEMBER("ThisWorkbookDataModel","[Indian_Employee_Data].[Employee ID].&amp;[Emp1018]")</f>
        <v>Emp1018</v>
      </c>
      <c r="K48" s="36" t="str" vm="947">
        <f>CUBEMEMBER("ThisWorkbookDataModel",{"[Indian_Employee_Data].[Employee ID].&amp;[Emp1018]","[Indian_Employee_Data].[Insurance tier].&amp;[Silver]"})</f>
        <v>Silver</v>
      </c>
      <c r="L48" s="37" vm="1024">
        <f>CUBEVALUE("ThisWorkbookDataModel",$K48,L$29,Slicer_Department)</f>
        <v>102114</v>
      </c>
      <c r="M48" s="37" vm="1023">
        <f>CUBEVALUE("ThisWorkbookDataModel",$K48,M$29,Slicer_Department)</f>
        <v>2800</v>
      </c>
      <c r="N48" s="37" t="e">
        <f t="shared" si="1"/>
        <v>#N/A</v>
      </c>
      <c r="O48" s="37" vm="1023">
        <f t="shared" si="2"/>
        <v>2800</v>
      </c>
      <c r="P48" s="37" t="e">
        <f t="shared" si="3"/>
        <v>#N/A</v>
      </c>
      <c r="Q48" s="37" t="e">
        <f t="shared" si="4"/>
        <v>#N/A</v>
      </c>
      <c r="R48" s="37" vm="1024">
        <f t="shared" si="5"/>
        <v>102114</v>
      </c>
      <c r="S48" s="37" t="e">
        <f t="shared" si="6"/>
        <v>#N/A</v>
      </c>
    </row>
    <row r="49" spans="1:19" x14ac:dyDescent="0.25">
      <c r="A49" s="3" t="s">
        <v>27</v>
      </c>
      <c r="B49" s="65">
        <v>2583000</v>
      </c>
      <c r="J49" s="36" t="str" vm="946">
        <f>CUBEMEMBER("ThisWorkbookDataModel","[Indian_Employee_Data].[Employee ID].&amp;[Emp1019]")</f>
        <v>Emp1019</v>
      </c>
      <c r="K49" s="36" t="str" vm="945">
        <f>CUBEMEMBER("ThisWorkbookDataModel",{"[Indian_Employee_Data].[Employee ID].&amp;[Emp1019]","[Indian_Employee_Data].[Insurance tier].&amp;[Silver]"})</f>
        <v>Silver</v>
      </c>
      <c r="L49" s="37" vm="1026">
        <f>CUBEVALUE("ThisWorkbookDataModel",$K49,L$29,Slicer_Department)</f>
        <v>84810</v>
      </c>
      <c r="M49" s="37" vm="1025">
        <f>CUBEVALUE("ThisWorkbookDataModel",$K49,M$29,Slicer_Department)</f>
        <v>2800</v>
      </c>
      <c r="N49" s="37" t="e">
        <f t="shared" si="1"/>
        <v>#N/A</v>
      </c>
      <c r="O49" s="37" vm="1025">
        <f t="shared" si="2"/>
        <v>2800</v>
      </c>
      <c r="P49" s="37" t="e">
        <f t="shared" si="3"/>
        <v>#N/A</v>
      </c>
      <c r="Q49" s="37" t="e">
        <f t="shared" si="4"/>
        <v>#N/A</v>
      </c>
      <c r="R49" s="37" vm="1026">
        <f t="shared" si="5"/>
        <v>84810</v>
      </c>
      <c r="S49" s="37" t="e">
        <f t="shared" si="6"/>
        <v>#N/A</v>
      </c>
    </row>
    <row r="50" spans="1:19" x14ac:dyDescent="0.25">
      <c r="J50" s="36" t="str" vm="944">
        <f>CUBEMEMBER("ThisWorkbookDataModel","[Indian_Employee_Data].[Employee ID].&amp;[Emp1020]")</f>
        <v>Emp1020</v>
      </c>
      <c r="K50" s="36" t="str" vm="943">
        <f>CUBEMEMBER("ThisWorkbookDataModel",{"[Indian_Employee_Data].[Employee ID].&amp;[Emp1020]","[Indian_Employee_Data].[Insurance tier].&amp;[Gold]"})</f>
        <v>Gold</v>
      </c>
      <c r="L50" s="37" vm="1028">
        <f>CUBEVALUE("ThisWorkbookDataModel",$K50,L$29,Slicer_Department)</f>
        <v>127755</v>
      </c>
      <c r="M50" s="37" vm="1027">
        <f>CUBEVALUE("ThisWorkbookDataModel",$K50,M$29,Slicer_Department)</f>
        <v>6750</v>
      </c>
      <c r="N50" s="37" t="e">
        <f t="shared" si="1"/>
        <v>#N/A</v>
      </c>
      <c r="O50" s="37" t="e">
        <f t="shared" si="2"/>
        <v>#N/A</v>
      </c>
      <c r="P50" s="37" vm="1027">
        <f t="shared" si="3"/>
        <v>6750</v>
      </c>
      <c r="Q50" s="37" t="e">
        <f t="shared" si="4"/>
        <v>#N/A</v>
      </c>
      <c r="R50" s="37" t="e">
        <f t="shared" si="5"/>
        <v>#N/A</v>
      </c>
      <c r="S50" s="37" vm="1028">
        <f t="shared" si="6"/>
        <v>127755</v>
      </c>
    </row>
    <row r="51" spans="1:19" x14ac:dyDescent="0.25">
      <c r="J51" s="36" t="str" vm="942">
        <f>CUBEMEMBER("ThisWorkbookDataModel","[Indian_Employee_Data].[Employee ID].&amp;[Emp1021]")</f>
        <v>Emp1021</v>
      </c>
      <c r="K51" s="36" t="str" vm="941">
        <f>CUBEMEMBER("ThisWorkbookDataModel",{"[Indian_Employee_Data].[Employee ID].&amp;[Emp1021]","[Indian_Employee_Data].[Insurance tier].&amp;[Silver]"})</f>
        <v>Silver</v>
      </c>
      <c r="L51" s="37" vm="1030">
        <f>CUBEVALUE("ThisWorkbookDataModel",$K51,L$29,Slicer_Department)</f>
        <v>67161</v>
      </c>
      <c r="M51" s="37" vm="1029">
        <f>CUBEVALUE("ThisWorkbookDataModel",$K51,M$29,Slicer_Department)</f>
        <v>2800</v>
      </c>
      <c r="N51" s="37" t="e">
        <f t="shared" si="1"/>
        <v>#N/A</v>
      </c>
      <c r="O51" s="37" vm="1029">
        <f t="shared" si="2"/>
        <v>2800</v>
      </c>
      <c r="P51" s="37" t="e">
        <f t="shared" si="3"/>
        <v>#N/A</v>
      </c>
      <c r="Q51" s="37" t="e">
        <f t="shared" si="4"/>
        <v>#N/A</v>
      </c>
      <c r="R51" s="37" vm="1030">
        <f t="shared" si="5"/>
        <v>67161</v>
      </c>
      <c r="S51" s="37" t="e">
        <f t="shared" si="6"/>
        <v>#N/A</v>
      </c>
    </row>
    <row r="52" spans="1:19" x14ac:dyDescent="0.25">
      <c r="J52" s="36" t="str" vm="940">
        <f>CUBEMEMBER("ThisWorkbookDataModel","[Indian_Employee_Data].[Employee ID].&amp;[Emp1022]")</f>
        <v>Emp1022</v>
      </c>
      <c r="K52" s="36" t="str" vm="939">
        <f>CUBEMEMBER("ThisWorkbookDataModel",{"[Indian_Employee_Data].[Employee ID].&amp;[Emp1022]","[Indian_Employee_Data].[Insurance tier].&amp;[Silver]"})</f>
        <v>Silver</v>
      </c>
      <c r="L52" s="37" vm="1032">
        <f>CUBEVALUE("ThisWorkbookDataModel",$K52,L$29,Slicer_Department)</f>
        <v>84916</v>
      </c>
      <c r="M52" s="37" vm="1031">
        <f>CUBEVALUE("ThisWorkbookDataModel",$K52,M$29,Slicer_Department)</f>
        <v>4200</v>
      </c>
      <c r="N52" s="37" t="e">
        <f t="shared" si="1"/>
        <v>#N/A</v>
      </c>
      <c r="O52" s="37" vm="1031">
        <f t="shared" si="2"/>
        <v>4200</v>
      </c>
      <c r="P52" s="37" t="e">
        <f t="shared" si="3"/>
        <v>#N/A</v>
      </c>
      <c r="Q52" s="37" t="e">
        <f t="shared" si="4"/>
        <v>#N/A</v>
      </c>
      <c r="R52" s="37" vm="1032">
        <f t="shared" si="5"/>
        <v>84916</v>
      </c>
      <c r="S52" s="37" t="e">
        <f t="shared" si="6"/>
        <v>#N/A</v>
      </c>
    </row>
    <row r="53" spans="1:19" x14ac:dyDescent="0.25">
      <c r="J53" s="36" t="str" vm="938">
        <f>CUBEMEMBER("ThisWorkbookDataModel","[Indian_Employee_Data].[Employee ID].&amp;[Emp1023]")</f>
        <v>Emp1023</v>
      </c>
      <c r="K53" s="36" t="str" vm="937">
        <f>CUBEMEMBER("ThisWorkbookDataModel",{"[Indian_Employee_Data].[Employee ID].&amp;[Emp1023]","[Indian_Employee_Data].[Insurance tier].&amp;[Silver]"})</f>
        <v>Silver</v>
      </c>
      <c r="L53" s="37" vm="1034">
        <f>CUBEVALUE("ThisWorkbookDataModel",$K53,L$29,Slicer_Department)</f>
        <v>93810</v>
      </c>
      <c r="M53" s="37" vm="1033">
        <f>CUBEVALUE("ThisWorkbookDataModel",$K53,M$29,Slicer_Department)</f>
        <v>2800</v>
      </c>
      <c r="N53" s="37" t="e">
        <f t="shared" si="1"/>
        <v>#N/A</v>
      </c>
      <c r="O53" s="37" vm="1033">
        <f t="shared" si="2"/>
        <v>2800</v>
      </c>
      <c r="P53" s="37" t="e">
        <f t="shared" si="3"/>
        <v>#N/A</v>
      </c>
      <c r="Q53" s="37" t="e">
        <f t="shared" si="4"/>
        <v>#N/A</v>
      </c>
      <c r="R53" s="37" vm="1034">
        <f t="shared" si="5"/>
        <v>93810</v>
      </c>
      <c r="S53" s="37" t="e">
        <f t="shared" si="6"/>
        <v>#N/A</v>
      </c>
    </row>
    <row r="54" spans="1:19" x14ac:dyDescent="0.25">
      <c r="J54" s="36" t="str" vm="936">
        <f>CUBEMEMBER("ThisWorkbookDataModel","[Indian_Employee_Data].[Employee ID].&amp;[Emp1024]")</f>
        <v>Emp1024</v>
      </c>
      <c r="K54" s="36" t="str" vm="935">
        <f>CUBEMEMBER("ThisWorkbookDataModel",{"[Indian_Employee_Data].[Employee ID].&amp;[Emp1024]","[Indian_Employee_Data].[Insurance tier].&amp;[Silver]"})</f>
        <v>Silver</v>
      </c>
      <c r="L54" s="37" vm="1036">
        <f>CUBEVALUE("ThisWorkbookDataModel",$K54,L$29,Slicer_Department)</f>
        <v>105288</v>
      </c>
      <c r="M54" s="37" vm="1035">
        <f>CUBEVALUE("ThisWorkbookDataModel",$K54,M$29,Slicer_Department)</f>
        <v>4200</v>
      </c>
      <c r="N54" s="37" t="e">
        <f t="shared" si="1"/>
        <v>#N/A</v>
      </c>
      <c r="O54" s="37" vm="1035">
        <f t="shared" si="2"/>
        <v>4200</v>
      </c>
      <c r="P54" s="37" t="e">
        <f t="shared" si="3"/>
        <v>#N/A</v>
      </c>
      <c r="Q54" s="37" t="e">
        <f t="shared" si="4"/>
        <v>#N/A</v>
      </c>
      <c r="R54" s="37" vm="1036">
        <f t="shared" si="5"/>
        <v>105288</v>
      </c>
      <c r="S54" s="37" t="e">
        <f t="shared" si="6"/>
        <v>#N/A</v>
      </c>
    </row>
    <row r="55" spans="1:19" x14ac:dyDescent="0.25">
      <c r="J55" s="36" t="str" vm="934">
        <f>CUBEMEMBER("ThisWorkbookDataModel","[Indian_Employee_Data].[Employee ID].&amp;[Emp1025]")</f>
        <v>Emp1025</v>
      </c>
      <c r="K55" s="36" t="str" vm="933">
        <f>CUBEMEMBER("ThisWorkbookDataModel",{"[Indian_Employee_Data].[Employee ID].&amp;[Emp1025]","[Indian_Employee_Data].[Insurance tier].&amp;[Gold]"})</f>
        <v>Gold</v>
      </c>
      <c r="L55" s="37" vm="1038">
        <f>CUBEVALUE("ThisWorkbookDataModel",$K55,L$29,Slicer_Department)</f>
        <v>159056</v>
      </c>
      <c r="M55" s="37" vm="1037">
        <f>CUBEVALUE("ThisWorkbookDataModel",$K55,M$29,Slicer_Department)</f>
        <v>9000</v>
      </c>
      <c r="N55" s="37" t="e">
        <f t="shared" si="1"/>
        <v>#N/A</v>
      </c>
      <c r="O55" s="37" t="e">
        <f t="shared" si="2"/>
        <v>#N/A</v>
      </c>
      <c r="P55" s="37" vm="1037">
        <f t="shared" si="3"/>
        <v>9000</v>
      </c>
      <c r="Q55" s="37" t="e">
        <f t="shared" si="4"/>
        <v>#N/A</v>
      </c>
      <c r="R55" s="37" t="e">
        <f t="shared" si="5"/>
        <v>#N/A</v>
      </c>
      <c r="S55" s="37" vm="1038">
        <f t="shared" si="6"/>
        <v>159056</v>
      </c>
    </row>
    <row r="56" spans="1:19" x14ac:dyDescent="0.25">
      <c r="J56" s="36" t="str" vm="932">
        <f>CUBEMEMBER("ThisWorkbookDataModel","[Indian_Employee_Data].[Employee ID].&amp;[Emp1026]")</f>
        <v>Emp1026</v>
      </c>
      <c r="K56" s="36" t="str" vm="931">
        <f>CUBEMEMBER("ThisWorkbookDataModel",{"[Indian_Employee_Data].[Employee ID].&amp;[Emp1026]","[Indian_Employee_Data].[Insurance tier].&amp;[Silver]"})</f>
        <v>Silver</v>
      </c>
      <c r="L56" s="37" vm="1040">
        <f>CUBEVALUE("ThisWorkbookDataModel",$K56,L$29,Slicer_Department)</f>
        <v>74460</v>
      </c>
      <c r="M56" s="37" vm="1039">
        <f>CUBEVALUE("ThisWorkbookDataModel",$K56,M$29,Slicer_Department)</f>
        <v>4200</v>
      </c>
      <c r="N56" s="37" t="e">
        <f t="shared" si="1"/>
        <v>#N/A</v>
      </c>
      <c r="O56" s="37" vm="1039">
        <f t="shared" si="2"/>
        <v>4200</v>
      </c>
      <c r="P56" s="37" t="e">
        <f t="shared" si="3"/>
        <v>#N/A</v>
      </c>
      <c r="Q56" s="37" t="e">
        <f t="shared" si="4"/>
        <v>#N/A</v>
      </c>
      <c r="R56" s="37" vm="1040">
        <f t="shared" si="5"/>
        <v>74460</v>
      </c>
      <c r="S56" s="37" t="e">
        <f t="shared" si="6"/>
        <v>#N/A</v>
      </c>
    </row>
    <row r="57" spans="1:19" x14ac:dyDescent="0.25">
      <c r="J57" s="36" t="str" vm="930">
        <f>CUBEMEMBER("ThisWorkbookDataModel","[Indian_Employee_Data].[Employee ID].&amp;[Emp1027]")</f>
        <v>Emp1027</v>
      </c>
      <c r="K57" s="36" t="str" vm="929">
        <f>CUBEMEMBER("ThisWorkbookDataModel",{"[Indian_Employee_Data].[Employee ID].&amp;[Emp1027]","[Indian_Employee_Data].[Insurance tier].&amp;[Silver]"})</f>
        <v>Silver</v>
      </c>
      <c r="L57" s="37" vm="1042">
        <f>CUBEVALUE("ThisWorkbookDataModel",$K57,L$29,Slicer_Department)</f>
        <v>113244</v>
      </c>
      <c r="M57" s="37" vm="1041">
        <f>CUBEVALUE("ThisWorkbookDataModel",$K57,M$29,Slicer_Department)</f>
        <v>4200</v>
      </c>
      <c r="N57" s="37" t="e">
        <f t="shared" si="1"/>
        <v>#N/A</v>
      </c>
      <c r="O57" s="37" vm="1041">
        <f t="shared" si="2"/>
        <v>4200</v>
      </c>
      <c r="P57" s="37" t="e">
        <f t="shared" si="3"/>
        <v>#N/A</v>
      </c>
      <c r="Q57" s="37" t="e">
        <f t="shared" si="4"/>
        <v>#N/A</v>
      </c>
      <c r="R57" s="37" vm="1042">
        <f t="shared" si="5"/>
        <v>113244</v>
      </c>
      <c r="S57" s="37" t="e">
        <f t="shared" si="6"/>
        <v>#N/A</v>
      </c>
    </row>
    <row r="58" spans="1:19" x14ac:dyDescent="0.25">
      <c r="J58" s="36" t="str" vm="928">
        <f>CUBEMEMBER("ThisWorkbookDataModel","[Indian_Employee_Data].[Employee ID].&amp;[Emp1028]")</f>
        <v>Emp1028</v>
      </c>
      <c r="K58" s="36" t="str" vm="927">
        <f>CUBEMEMBER("ThisWorkbookDataModel",{"[Indian_Employee_Data].[Employee ID].&amp;[Emp1028]","[Indian_Employee_Data].[Insurance tier].&amp;[Gold]"})</f>
        <v>Gold</v>
      </c>
      <c r="L58" s="37" vm="1044">
        <f>CUBEVALUE("ThisWorkbookDataModel",$K58,L$29,Slicer_Department)</f>
        <v>124732</v>
      </c>
      <c r="M58" s="37" vm="1043">
        <f>CUBEVALUE("ThisWorkbookDataModel",$K58,M$29,Slicer_Department)</f>
        <v>6750</v>
      </c>
      <c r="N58" s="37" t="e">
        <f t="shared" si="1"/>
        <v>#N/A</v>
      </c>
      <c r="O58" s="37" t="e">
        <f t="shared" si="2"/>
        <v>#N/A</v>
      </c>
      <c r="P58" s="37" vm="1043">
        <f t="shared" si="3"/>
        <v>6750</v>
      </c>
      <c r="Q58" s="37" t="e">
        <f t="shared" si="4"/>
        <v>#N/A</v>
      </c>
      <c r="R58" s="37" t="e">
        <f t="shared" si="5"/>
        <v>#N/A</v>
      </c>
      <c r="S58" s="37" vm="1044">
        <f t="shared" si="6"/>
        <v>124732</v>
      </c>
    </row>
    <row r="59" spans="1:19" x14ac:dyDescent="0.25">
      <c r="J59" s="36" t="str" vm="926">
        <f>CUBEMEMBER("ThisWorkbookDataModel","[Indian_Employee_Data].[Employee ID].&amp;[Emp1029]")</f>
        <v>Emp1029</v>
      </c>
      <c r="K59" s="36" t="str" vm="925">
        <f>CUBEMEMBER("ThisWorkbookDataModel",{"[Indian_Employee_Data].[Employee ID].&amp;[Emp1029]","[Indian_Employee_Data].[Insurance tier].&amp;[Bronze]"})</f>
        <v>Bronze</v>
      </c>
      <c r="L59" s="37" vm="1046">
        <f>CUBEVALUE("ThisWorkbookDataModel",$K59,L$29,Slicer_Department)</f>
        <v>51444</v>
      </c>
      <c r="M59" s="37" vm="1045">
        <f>CUBEVALUE("ThisWorkbookDataModel",$K59,M$29,Slicer_Department)</f>
        <v>1500</v>
      </c>
      <c r="N59" s="37" vm="1045">
        <f t="shared" si="1"/>
        <v>1500</v>
      </c>
      <c r="O59" s="37" t="e">
        <f t="shared" si="2"/>
        <v>#N/A</v>
      </c>
      <c r="P59" s="37" t="e">
        <f t="shared" si="3"/>
        <v>#N/A</v>
      </c>
      <c r="Q59" s="37" vm="1046">
        <f t="shared" si="4"/>
        <v>51444</v>
      </c>
      <c r="R59" s="37" t="e">
        <f t="shared" si="5"/>
        <v>#N/A</v>
      </c>
      <c r="S59" s="37" t="e">
        <f t="shared" si="6"/>
        <v>#N/A</v>
      </c>
    </row>
    <row r="60" spans="1:19" x14ac:dyDescent="0.25">
      <c r="J60" s="36" t="str" vm="924">
        <f>CUBEMEMBER("ThisWorkbookDataModel","[Indian_Employee_Data].[Employee ID].&amp;[Emp1030]")</f>
        <v>Emp1030</v>
      </c>
      <c r="K60" s="36" t="str" vm="923">
        <f>CUBEMEMBER("ThisWorkbookDataModel",{"[Indian_Employee_Data].[Employee ID].&amp;[Emp1030]","[Indian_Employee_Data].[Insurance tier].&amp;[Gold]"})</f>
        <v>Gold</v>
      </c>
      <c r="L60" s="37" vm="1048">
        <f>CUBEVALUE("ThisWorkbookDataModel",$K60,L$29,Slicer_Department)</f>
        <v>127079</v>
      </c>
      <c r="M60" s="37" vm="1047">
        <f>CUBEVALUE("ThisWorkbookDataModel",$K60,M$29,Slicer_Department)</f>
        <v>6750</v>
      </c>
      <c r="N60" s="37" t="e">
        <f t="shared" si="1"/>
        <v>#N/A</v>
      </c>
      <c r="O60" s="37" t="e">
        <f t="shared" si="2"/>
        <v>#N/A</v>
      </c>
      <c r="P60" s="37" vm="1047">
        <f t="shared" si="3"/>
        <v>6750</v>
      </c>
      <c r="Q60" s="37" t="e">
        <f t="shared" si="4"/>
        <v>#N/A</v>
      </c>
      <c r="R60" s="37" t="e">
        <f t="shared" si="5"/>
        <v>#N/A</v>
      </c>
      <c r="S60" s="37" vm="1048">
        <f t="shared" si="6"/>
        <v>127079</v>
      </c>
    </row>
    <row r="61" spans="1:19" x14ac:dyDescent="0.25">
      <c r="J61" s="36" t="str" vm="922">
        <f>CUBEMEMBER("ThisWorkbookDataModel","[Indian_Employee_Data].[Employee ID].&amp;[Emp1031]")</f>
        <v>Emp1031</v>
      </c>
      <c r="K61" s="36" t="str" vm="921">
        <f>CUBEMEMBER("ThisWorkbookDataModel",{"[Indian_Employee_Data].[Employee ID].&amp;[Emp1031]","[Indian_Employee_Data].[Insurance tier].&amp;[Silver]"})</f>
        <v>Silver</v>
      </c>
      <c r="L61" s="37" vm="1050">
        <f>CUBEVALUE("ThisWorkbookDataModel",$K61,L$29,Slicer_Department)</f>
        <v>71087</v>
      </c>
      <c r="M61" s="37" vm="1049">
        <f>CUBEVALUE("ThisWorkbookDataModel",$K61,M$29,Slicer_Department)</f>
        <v>2800</v>
      </c>
      <c r="N61" s="37" t="e">
        <f t="shared" si="1"/>
        <v>#N/A</v>
      </c>
      <c r="O61" s="37" vm="1049">
        <f t="shared" si="2"/>
        <v>2800</v>
      </c>
      <c r="P61" s="37" t="e">
        <f t="shared" si="3"/>
        <v>#N/A</v>
      </c>
      <c r="Q61" s="37" t="e">
        <f t="shared" si="4"/>
        <v>#N/A</v>
      </c>
      <c r="R61" s="37" vm="1050">
        <f t="shared" si="5"/>
        <v>71087</v>
      </c>
      <c r="S61" s="37" t="e">
        <f t="shared" si="6"/>
        <v>#N/A</v>
      </c>
    </row>
    <row r="62" spans="1:19" x14ac:dyDescent="0.25">
      <c r="J62" s="36" t="str" vm="920">
        <f>CUBEMEMBER("ThisWorkbookDataModel","[Indian_Employee_Data].[Employee ID].&amp;[Emp1032]")</f>
        <v>Emp1032</v>
      </c>
      <c r="K62" s="36" t="str" vm="919">
        <f>CUBEMEMBER("ThisWorkbookDataModel",{"[Indian_Employee_Data].[Employee ID].&amp;[Emp1032]","[Indian_Employee_Data].[Insurance tier].&amp;[Bronze]"})</f>
        <v>Bronze</v>
      </c>
      <c r="L62" s="37" vm="1052">
        <f>CUBEVALUE("ThisWorkbookDataModel",$K62,L$29,Slicer_Department)</f>
        <v>55377</v>
      </c>
      <c r="M62" s="37" vm="1051">
        <f>CUBEVALUE("ThisWorkbookDataModel",$K62,M$29,Slicer_Department)</f>
        <v>1500</v>
      </c>
      <c r="N62" s="37" vm="1051">
        <f t="shared" si="1"/>
        <v>1500</v>
      </c>
      <c r="O62" s="37" t="e">
        <f t="shared" si="2"/>
        <v>#N/A</v>
      </c>
      <c r="P62" s="37" t="e">
        <f t="shared" si="3"/>
        <v>#N/A</v>
      </c>
      <c r="Q62" s="37" vm="1052">
        <f t="shared" si="4"/>
        <v>55377</v>
      </c>
      <c r="R62" s="37" t="e">
        <f t="shared" si="5"/>
        <v>#N/A</v>
      </c>
      <c r="S62" s="37" t="e">
        <f t="shared" si="6"/>
        <v>#N/A</v>
      </c>
    </row>
    <row r="63" spans="1:19" x14ac:dyDescent="0.25">
      <c r="J63" s="36" t="str" vm="918">
        <f>CUBEMEMBER("ThisWorkbookDataModel","[Indian_Employee_Data].[Employee ID].&amp;[Emp1033]")</f>
        <v>Emp1033</v>
      </c>
      <c r="K63" s="36" t="str" vm="917">
        <f>CUBEMEMBER("ThisWorkbookDataModel",{"[Indian_Employee_Data].[Employee ID].&amp;[Emp1033]","[Indian_Employee_Data].[Insurance tier].&amp;[Gold]"})</f>
        <v>Gold</v>
      </c>
      <c r="L63" s="37" vm="1054">
        <f>CUBEVALUE("ThisWorkbookDataModel",$K63,L$29,Slicer_Department)</f>
        <v>205638</v>
      </c>
      <c r="M63" s="37" vm="1053">
        <f>CUBEVALUE("ThisWorkbookDataModel",$K63,M$29,Slicer_Department)</f>
        <v>6750</v>
      </c>
      <c r="N63" s="37" t="e">
        <f t="shared" si="1"/>
        <v>#N/A</v>
      </c>
      <c r="O63" s="37" t="e">
        <f t="shared" si="2"/>
        <v>#N/A</v>
      </c>
      <c r="P63" s="37" vm="1053">
        <f t="shared" si="3"/>
        <v>6750</v>
      </c>
      <c r="Q63" s="37" t="e">
        <f t="shared" si="4"/>
        <v>#N/A</v>
      </c>
      <c r="R63" s="37" t="e">
        <f t="shared" si="5"/>
        <v>#N/A</v>
      </c>
      <c r="S63" s="37" vm="1054">
        <f t="shared" si="6"/>
        <v>205638</v>
      </c>
    </row>
    <row r="64" spans="1:19" x14ac:dyDescent="0.25">
      <c r="J64" s="36" t="str" vm="916">
        <f>CUBEMEMBER("ThisWorkbookDataModel","[Indian_Employee_Data].[Employee ID].&amp;[Emp1034]")</f>
        <v>Emp1034</v>
      </c>
      <c r="K64" s="36" t="str" vm="915">
        <f>CUBEMEMBER("ThisWorkbookDataModel",{"[Indian_Employee_Data].[Employee ID].&amp;[Emp1034]","[Indian_Employee_Data].[Insurance tier].&amp;[Gold]"})</f>
        <v>Gold</v>
      </c>
      <c r="L64" s="37" vm="1056">
        <f>CUBEVALUE("ThisWorkbookDataModel",$K64,L$29,Slicer_Department)</f>
        <v>213624</v>
      </c>
      <c r="M64" s="37" vm="1055">
        <f>CUBEVALUE("ThisWorkbookDataModel",$K64,M$29,Slicer_Department)</f>
        <v>6750</v>
      </c>
      <c r="N64" s="37" t="e">
        <f t="shared" si="1"/>
        <v>#N/A</v>
      </c>
      <c r="O64" s="37" t="e">
        <f t="shared" si="2"/>
        <v>#N/A</v>
      </c>
      <c r="P64" s="37" vm="1055">
        <f t="shared" si="3"/>
        <v>6750</v>
      </c>
      <c r="Q64" s="37" t="e">
        <f t="shared" si="4"/>
        <v>#N/A</v>
      </c>
      <c r="R64" s="37" t="e">
        <f t="shared" si="5"/>
        <v>#N/A</v>
      </c>
      <c r="S64" s="37" vm="1056">
        <f t="shared" si="6"/>
        <v>213624</v>
      </c>
    </row>
    <row r="65" spans="10:19" x14ac:dyDescent="0.25">
      <c r="J65" s="36" t="str" vm="914">
        <f>CUBEMEMBER("ThisWorkbookDataModel","[Indian_Employee_Data].[Employee ID].&amp;[Emp1035]")</f>
        <v>Emp1035</v>
      </c>
      <c r="K65" s="36" t="str" vm="913">
        <f>CUBEMEMBER("ThisWorkbookDataModel",{"[Indian_Employee_Data].[Employee ID].&amp;[Emp1035]","[Indian_Employee_Data].[Insurance tier].&amp;[Gold]"})</f>
        <v>Gold</v>
      </c>
      <c r="L65" s="37" vm="1058">
        <f>CUBEVALUE("ThisWorkbookDataModel",$K65,L$29,Slicer_Department)</f>
        <v>164112</v>
      </c>
      <c r="M65" s="37" vm="1057">
        <f>CUBEVALUE("ThisWorkbookDataModel",$K65,M$29,Slicer_Department)</f>
        <v>6750</v>
      </c>
      <c r="N65" s="37" t="e">
        <f t="shared" si="1"/>
        <v>#N/A</v>
      </c>
      <c r="O65" s="37" t="e">
        <f t="shared" si="2"/>
        <v>#N/A</v>
      </c>
      <c r="P65" s="37" vm="1057">
        <f t="shared" si="3"/>
        <v>6750</v>
      </c>
      <c r="Q65" s="37" t="e">
        <f t="shared" si="4"/>
        <v>#N/A</v>
      </c>
      <c r="R65" s="37" t="e">
        <f t="shared" si="5"/>
        <v>#N/A</v>
      </c>
      <c r="S65" s="37" vm="1058">
        <f t="shared" si="6"/>
        <v>164112</v>
      </c>
    </row>
    <row r="66" spans="10:19" x14ac:dyDescent="0.25">
      <c r="J66" s="36" t="str" vm="912">
        <f>CUBEMEMBER("ThisWorkbookDataModel","[Indian_Employee_Data].[Employee ID].&amp;[Emp1036]")</f>
        <v>Emp1036</v>
      </c>
      <c r="K66" s="36" t="str" vm="911">
        <f>CUBEMEMBER("ThisWorkbookDataModel",{"[Indian_Employee_Data].[Employee ID].&amp;[Emp1036]","[Indian_Employee_Data].[Insurance tier].&amp;[Silver]"})</f>
        <v>Silver</v>
      </c>
      <c r="L66" s="37" vm="1060">
        <f>CUBEVALUE("ThisWorkbookDataModel",$K66,L$29,Slicer_Department)</f>
        <v>86377</v>
      </c>
      <c r="M66" s="37" vm="1059">
        <f>CUBEVALUE("ThisWorkbookDataModel",$K66,M$29,Slicer_Department)</f>
        <v>4200</v>
      </c>
      <c r="N66" s="37" t="e">
        <f t="shared" si="1"/>
        <v>#N/A</v>
      </c>
      <c r="O66" s="37" vm="1059">
        <f t="shared" si="2"/>
        <v>4200</v>
      </c>
      <c r="P66" s="37" t="e">
        <f t="shared" si="3"/>
        <v>#N/A</v>
      </c>
      <c r="Q66" s="37" t="e">
        <f t="shared" si="4"/>
        <v>#N/A</v>
      </c>
      <c r="R66" s="37" vm="1060">
        <f t="shared" si="5"/>
        <v>86377</v>
      </c>
      <c r="S66" s="37" t="e">
        <f t="shared" si="6"/>
        <v>#N/A</v>
      </c>
    </row>
    <row r="67" spans="10:19" x14ac:dyDescent="0.25">
      <c r="J67" s="36" t="str" vm="910">
        <f>CUBEMEMBER("ThisWorkbookDataModel","[Indian_Employee_Data].[Employee ID].&amp;[Emp1037]")</f>
        <v>Emp1037</v>
      </c>
      <c r="K67" s="36" t="str" vm="909">
        <f>CUBEMEMBER("ThisWorkbookDataModel",{"[Indian_Employee_Data].[Employee ID].&amp;[Emp1037]","[Indian_Employee_Data].[Insurance tier].&amp;[Silver]"})</f>
        <v>Silver</v>
      </c>
      <c r="L67" s="37" vm="1062">
        <f>CUBEVALUE("ThisWorkbookDataModel",$K67,L$29,Slicer_Department)</f>
        <v>61095</v>
      </c>
      <c r="M67" s="37" vm="1061">
        <f>CUBEVALUE("ThisWorkbookDataModel",$K67,M$29,Slicer_Department)</f>
        <v>2800</v>
      </c>
      <c r="N67" s="37" t="e">
        <f t="shared" si="1"/>
        <v>#N/A</v>
      </c>
      <c r="O67" s="37" vm="1061">
        <f t="shared" si="2"/>
        <v>2800</v>
      </c>
      <c r="P67" s="37" t="e">
        <f t="shared" si="3"/>
        <v>#N/A</v>
      </c>
      <c r="Q67" s="37" t="e">
        <f t="shared" si="4"/>
        <v>#N/A</v>
      </c>
      <c r="R67" s="37" vm="1062">
        <f t="shared" si="5"/>
        <v>61095</v>
      </c>
      <c r="S67" s="37" t="e">
        <f t="shared" si="6"/>
        <v>#N/A</v>
      </c>
    </row>
    <row r="68" spans="10:19" x14ac:dyDescent="0.25">
      <c r="J68" s="36" t="str" vm="908">
        <f>CUBEMEMBER("ThisWorkbookDataModel","[Indian_Employee_Data].[Employee ID].&amp;[Emp1038]")</f>
        <v>Emp1038</v>
      </c>
      <c r="K68" s="36" t="str" vm="907">
        <f>CUBEMEMBER("ThisWorkbookDataModel",{"[Indian_Employee_Data].[Employee ID].&amp;[Emp1038]","[Indian_Employee_Data].[Insurance tier].&amp;[Gold]"})</f>
        <v>Gold</v>
      </c>
      <c r="L68" s="37" vm="1064">
        <f>CUBEVALUE("ThisWorkbookDataModel",$K68,L$29,Slicer_Department)</f>
        <v>139741</v>
      </c>
      <c r="M68" s="37" vm="1063">
        <f>CUBEVALUE("ThisWorkbookDataModel",$K68,M$29,Slicer_Department)</f>
        <v>6750</v>
      </c>
      <c r="N68" s="37" t="e">
        <f t="shared" si="1"/>
        <v>#N/A</v>
      </c>
      <c r="O68" s="37" t="e">
        <f t="shared" si="2"/>
        <v>#N/A</v>
      </c>
      <c r="P68" s="37" vm="1063">
        <f t="shared" si="3"/>
        <v>6750</v>
      </c>
      <c r="Q68" s="37" t="e">
        <f t="shared" si="4"/>
        <v>#N/A</v>
      </c>
      <c r="R68" s="37" t="e">
        <f t="shared" si="5"/>
        <v>#N/A</v>
      </c>
      <c r="S68" s="37" vm="1064">
        <f t="shared" si="6"/>
        <v>139741</v>
      </c>
    </row>
    <row r="69" spans="10:19" x14ac:dyDescent="0.25">
      <c r="J69" s="36" t="str" vm="906">
        <f>CUBEMEMBER("ThisWorkbookDataModel","[Indian_Employee_Data].[Employee ID].&amp;[Emp1039]")</f>
        <v>Emp1039</v>
      </c>
      <c r="K69" s="36" t="str" vm="905">
        <f>CUBEMEMBER("ThisWorkbookDataModel",{"[Indian_Employee_Data].[Employee ID].&amp;[Emp1039]","[Indian_Employee_Data].[Insurance tier].&amp;[Silver]"})</f>
        <v>Silver</v>
      </c>
      <c r="L69" s="37" vm="1066">
        <f>CUBEVALUE("ThisWorkbookDataModel",$K69,L$29,Slicer_Department)</f>
        <v>103186</v>
      </c>
      <c r="M69" s="37" vm="1065">
        <f>CUBEVALUE("ThisWorkbookDataModel",$K69,M$29,Slicer_Department)</f>
        <v>2800</v>
      </c>
      <c r="N69" s="37" t="e">
        <f t="shared" si="1"/>
        <v>#N/A</v>
      </c>
      <c r="O69" s="37" vm="1065">
        <f t="shared" si="2"/>
        <v>2800</v>
      </c>
      <c r="P69" s="37" t="e">
        <f t="shared" si="3"/>
        <v>#N/A</v>
      </c>
      <c r="Q69" s="37" t="e">
        <f t="shared" si="4"/>
        <v>#N/A</v>
      </c>
      <c r="R69" s="37" vm="1066">
        <f t="shared" si="5"/>
        <v>103186</v>
      </c>
      <c r="S69" s="37" t="e">
        <f t="shared" si="6"/>
        <v>#N/A</v>
      </c>
    </row>
    <row r="70" spans="10:19" x14ac:dyDescent="0.25">
      <c r="J70" s="36" t="str" vm="904">
        <f>CUBEMEMBER("ThisWorkbookDataModel","[Indian_Employee_Data].[Employee ID].&amp;[Emp1040]")</f>
        <v>Emp1040</v>
      </c>
      <c r="K70" s="36" t="str" vm="903">
        <f>CUBEMEMBER("ThisWorkbookDataModel",{"[Indian_Employee_Data].[Employee ID].&amp;[Emp1040]","[Indian_Employee_Data].[Insurance tier].&amp;[Silver]"})</f>
        <v>Silver</v>
      </c>
      <c r="L70" s="37" vm="1068">
        <f>CUBEVALUE("ThisWorkbookDataModel",$K70,L$29,Slicer_Department)</f>
        <v>64758</v>
      </c>
      <c r="M70" s="37" vm="1067">
        <f>CUBEVALUE("ThisWorkbookDataModel",$K70,M$29,Slicer_Department)</f>
        <v>4200</v>
      </c>
      <c r="N70" s="37" t="e">
        <f t="shared" si="1"/>
        <v>#N/A</v>
      </c>
      <c r="O70" s="37" vm="1067">
        <f t="shared" si="2"/>
        <v>4200</v>
      </c>
      <c r="P70" s="37" t="e">
        <f t="shared" si="3"/>
        <v>#N/A</v>
      </c>
      <c r="Q70" s="37" t="e">
        <f t="shared" si="4"/>
        <v>#N/A</v>
      </c>
      <c r="R70" s="37" vm="1068">
        <f t="shared" si="5"/>
        <v>64758</v>
      </c>
      <c r="S70" s="37" t="e">
        <f t="shared" si="6"/>
        <v>#N/A</v>
      </c>
    </row>
    <row r="71" spans="10:19" x14ac:dyDescent="0.25">
      <c r="J71" s="36" t="str" vm="902">
        <f>CUBEMEMBER("ThisWorkbookDataModel","[Indian_Employee_Data].[Employee ID].&amp;[Emp1041]")</f>
        <v>Emp1041</v>
      </c>
      <c r="K71" s="36" t="str" vm="901">
        <f>CUBEMEMBER("ThisWorkbookDataModel",{"[Indian_Employee_Data].[Employee ID].&amp;[Emp1041]","[Indian_Employee_Data].[Insurance tier].&amp;[Silver]"})</f>
        <v>Silver</v>
      </c>
      <c r="L71" s="37" vm="1070">
        <f>CUBEVALUE("ThisWorkbookDataModel",$K71,L$29,Slicer_Department)</f>
        <v>110588</v>
      </c>
      <c r="M71" s="37" vm="1069">
        <f>CUBEVALUE("ThisWorkbookDataModel",$K71,M$29,Slicer_Department)</f>
        <v>2800</v>
      </c>
      <c r="N71" s="37" t="e">
        <f t="shared" si="1"/>
        <v>#N/A</v>
      </c>
      <c r="O71" s="37" vm="1069">
        <f t="shared" si="2"/>
        <v>2800</v>
      </c>
      <c r="P71" s="37" t="e">
        <f t="shared" si="3"/>
        <v>#N/A</v>
      </c>
      <c r="Q71" s="37" t="e">
        <f t="shared" si="4"/>
        <v>#N/A</v>
      </c>
      <c r="R71" s="37" vm="1070">
        <f t="shared" si="5"/>
        <v>110588</v>
      </c>
      <c r="S71" s="37" t="e">
        <f t="shared" si="6"/>
        <v>#N/A</v>
      </c>
    </row>
    <row r="72" spans="10:19" x14ac:dyDescent="0.25">
      <c r="J72" s="36" t="str" vm="900">
        <f>CUBEMEMBER("ThisWorkbookDataModel","[Indian_Employee_Data].[Employee ID].&amp;[Emp1042]")</f>
        <v>Emp1042</v>
      </c>
      <c r="K72" s="36" t="str" vm="899">
        <f>CUBEMEMBER("ThisWorkbookDataModel",{"[Indian_Employee_Data].[Employee ID].&amp;[Emp1042]","[Indian_Employee_Data].[Insurance tier].&amp;[Bronze]"})</f>
        <v>Bronze</v>
      </c>
      <c r="L72" s="37" vm="1072">
        <f>CUBEVALUE("ThisWorkbookDataModel",$K72,L$29,Slicer_Department)</f>
        <v>48451</v>
      </c>
      <c r="M72" s="37" vm="1071">
        <f>CUBEVALUE("ThisWorkbookDataModel",$K72,M$29,Slicer_Department)</f>
        <v>1500</v>
      </c>
      <c r="N72" s="37" vm="1071">
        <f t="shared" si="1"/>
        <v>1500</v>
      </c>
      <c r="O72" s="37" t="e">
        <f t="shared" si="2"/>
        <v>#N/A</v>
      </c>
      <c r="P72" s="37" t="e">
        <f t="shared" si="3"/>
        <v>#N/A</v>
      </c>
      <c r="Q72" s="37" vm="1072">
        <f t="shared" si="4"/>
        <v>48451</v>
      </c>
      <c r="R72" s="37" t="e">
        <f t="shared" si="5"/>
        <v>#N/A</v>
      </c>
      <c r="S72" s="37" t="e">
        <f t="shared" si="6"/>
        <v>#N/A</v>
      </c>
    </row>
    <row r="73" spans="10:19" x14ac:dyDescent="0.25">
      <c r="J73" s="36" t="str" vm="898">
        <f>CUBEMEMBER("ThisWorkbookDataModel","[Indian_Employee_Data].[Employee ID].&amp;[Emp1043]")</f>
        <v>Emp1043</v>
      </c>
      <c r="K73" s="36" t="str" vm="897">
        <f>CUBEMEMBER("ThisWorkbookDataModel",{"[Indian_Employee_Data].[Employee ID].&amp;[Emp1043]","[Indian_Employee_Data].[Insurance tier].&amp;[Gold]"})</f>
        <v>Gold</v>
      </c>
      <c r="L73" s="37" vm="1074">
        <f>CUBEVALUE("ThisWorkbookDataModel",$K73,L$29,Slicer_Department)</f>
        <v>190913</v>
      </c>
      <c r="M73" s="37" vm="1073">
        <f>CUBEVALUE("ThisWorkbookDataModel",$K73,M$29,Slicer_Department)</f>
        <v>9000</v>
      </c>
      <c r="N73" s="37" t="e">
        <f t="shared" si="1"/>
        <v>#N/A</v>
      </c>
      <c r="O73" s="37" t="e">
        <f t="shared" si="2"/>
        <v>#N/A</v>
      </c>
      <c r="P73" s="37" vm="1073">
        <f t="shared" si="3"/>
        <v>9000</v>
      </c>
      <c r="Q73" s="37" t="e">
        <f t="shared" si="4"/>
        <v>#N/A</v>
      </c>
      <c r="R73" s="37" t="e">
        <f t="shared" si="5"/>
        <v>#N/A</v>
      </c>
      <c r="S73" s="37" vm="1074">
        <f t="shared" si="6"/>
        <v>190913</v>
      </c>
    </row>
    <row r="74" spans="10:19" x14ac:dyDescent="0.25">
      <c r="J74" s="36" t="str" vm="896">
        <f>CUBEMEMBER("ThisWorkbookDataModel","[Indian_Employee_Data].[Employee ID].&amp;[Emp1044]")</f>
        <v>Emp1044</v>
      </c>
      <c r="K74" s="36" t="str" vm="895">
        <f>CUBEMEMBER("ThisWorkbookDataModel",{"[Indian_Employee_Data].[Employee ID].&amp;[Emp1044]","[Indian_Employee_Data].[Insurance tier].&amp;[Bronze]"})</f>
        <v>Bronze</v>
      </c>
      <c r="L74" s="37" vm="1076">
        <f>CUBEVALUE("ThisWorkbookDataModel",$K74,L$29,Slicer_Department)</f>
        <v>81071</v>
      </c>
      <c r="M74" s="37" vm="1075">
        <f>CUBEVALUE("ThisWorkbookDataModel",$K74,M$29,Slicer_Department)</f>
        <v>9500</v>
      </c>
      <c r="N74" s="37" vm="1075">
        <f t="shared" si="1"/>
        <v>9500</v>
      </c>
      <c r="O74" s="37" t="e">
        <f t="shared" si="2"/>
        <v>#N/A</v>
      </c>
      <c r="P74" s="37" t="e">
        <f t="shared" si="3"/>
        <v>#N/A</v>
      </c>
      <c r="Q74" s="37" vm="1076">
        <f t="shared" si="4"/>
        <v>81071</v>
      </c>
      <c r="R74" s="37" t="e">
        <f t="shared" si="5"/>
        <v>#N/A</v>
      </c>
      <c r="S74" s="37" t="e">
        <f t="shared" si="6"/>
        <v>#N/A</v>
      </c>
    </row>
    <row r="75" spans="10:19" x14ac:dyDescent="0.25">
      <c r="J75" s="36" t="str" vm="894">
        <f>CUBEMEMBER("ThisWorkbookDataModel","[Indian_Employee_Data].[Employee ID].&amp;[Emp1045]")</f>
        <v>Emp1045</v>
      </c>
      <c r="K75" s="36" t="str" vm="893">
        <f>CUBEMEMBER("ThisWorkbookDataModel",{"[Indian_Employee_Data].[Employee ID].&amp;[Emp1045]","[Indian_Employee_Data].[Insurance tier].&amp;[Gold]"})</f>
        <v>Gold</v>
      </c>
      <c r="L75" s="37" vm="1078">
        <f>CUBEVALUE("ThisWorkbookDataModel",$K75,L$29,Slicer_Department)</f>
        <v>136013</v>
      </c>
      <c r="M75" s="37" vm="1077">
        <f>CUBEVALUE("ThisWorkbookDataModel",$K75,M$29,Slicer_Department)</f>
        <v>9000</v>
      </c>
      <c r="N75" s="37" t="e">
        <f t="shared" si="1"/>
        <v>#N/A</v>
      </c>
      <c r="O75" s="37" t="e">
        <f t="shared" si="2"/>
        <v>#N/A</v>
      </c>
      <c r="P75" s="37" vm="1077">
        <f t="shared" si="3"/>
        <v>9000</v>
      </c>
      <c r="Q75" s="37" t="e">
        <f t="shared" si="4"/>
        <v>#N/A</v>
      </c>
      <c r="R75" s="37" t="e">
        <f t="shared" si="5"/>
        <v>#N/A</v>
      </c>
      <c r="S75" s="37" vm="1078">
        <f t="shared" si="6"/>
        <v>136013</v>
      </c>
    </row>
    <row r="76" spans="10:19" x14ac:dyDescent="0.25">
      <c r="J76" s="36" t="str" vm="892">
        <f>CUBEMEMBER("ThisWorkbookDataModel","[Indian_Employee_Data].[Employee ID].&amp;[Emp1046]")</f>
        <v>Emp1046</v>
      </c>
      <c r="K76" s="36" t="str" vm="891">
        <f>CUBEMEMBER("ThisWorkbookDataModel",{"[Indian_Employee_Data].[Employee ID].&amp;[Emp1046]","[Indian_Employee_Data].[Insurance tier].&amp;[Silver]"})</f>
        <v>Silver</v>
      </c>
      <c r="L76" s="37" vm="1080">
        <f>CUBEVALUE("ThisWorkbookDataModel",$K76,L$29,Slicer_Department)</f>
        <v>87214</v>
      </c>
      <c r="M76" s="37" vm="1079">
        <f>CUBEVALUE("ThisWorkbookDataModel",$K76,M$29,Slicer_Department)</f>
        <v>4200</v>
      </c>
      <c r="N76" s="37" t="e">
        <f t="shared" si="1"/>
        <v>#N/A</v>
      </c>
      <c r="O76" s="37" vm="1079">
        <f t="shared" si="2"/>
        <v>4200</v>
      </c>
      <c r="P76" s="37" t="e">
        <f t="shared" si="3"/>
        <v>#N/A</v>
      </c>
      <c r="Q76" s="37" t="e">
        <f t="shared" si="4"/>
        <v>#N/A</v>
      </c>
      <c r="R76" s="37" vm="1080">
        <f t="shared" si="5"/>
        <v>87214</v>
      </c>
      <c r="S76" s="37" t="e">
        <f t="shared" si="6"/>
        <v>#N/A</v>
      </c>
    </row>
    <row r="77" spans="10:19" x14ac:dyDescent="0.25">
      <c r="J77" s="36" t="str" vm="890">
        <f>CUBEMEMBER("ThisWorkbookDataModel","[Indian_Employee_Data].[Employee ID].&amp;[Emp1048]")</f>
        <v>Emp1048</v>
      </c>
      <c r="K77" s="36" t="str" vm="889">
        <f>CUBEMEMBER("ThisWorkbookDataModel",{"[Indian_Employee_Data].[Employee ID].&amp;[Emp1048]","[Indian_Employee_Data].[Insurance tier].&amp;[Silver]"})</f>
        <v>Silver</v>
      </c>
      <c r="L77" s="37" vm="1082">
        <f>CUBEVALUE("ThisWorkbookDataModel",$K77,L$29,Slicer_Department)</f>
        <v>117895</v>
      </c>
      <c r="M77" s="37" vm="1081">
        <f>CUBEVALUE("ThisWorkbookDataModel",$K77,M$29,Slicer_Department)</f>
        <v>2800</v>
      </c>
      <c r="N77" s="37" t="e">
        <f t="shared" si="1"/>
        <v>#N/A</v>
      </c>
      <c r="O77" s="37" vm="1081">
        <f t="shared" si="2"/>
        <v>2800</v>
      </c>
      <c r="P77" s="37" t="e">
        <f t="shared" si="3"/>
        <v>#N/A</v>
      </c>
      <c r="Q77" s="37" t="e">
        <f t="shared" si="4"/>
        <v>#N/A</v>
      </c>
      <c r="R77" s="37" vm="1082">
        <f t="shared" si="5"/>
        <v>117895</v>
      </c>
      <c r="S77" s="37" t="e">
        <f t="shared" si="6"/>
        <v>#N/A</v>
      </c>
    </row>
    <row r="78" spans="10:19" x14ac:dyDescent="0.25">
      <c r="J78" s="36" t="str" vm="888">
        <f>CUBEMEMBER("ThisWorkbookDataModel","[Indian_Employee_Data].[Employee ID].&amp;[Emp1049]")</f>
        <v>Emp1049</v>
      </c>
      <c r="K78" s="36" t="str" vm="887">
        <f>CUBEMEMBER("ThisWorkbookDataModel",{"[Indian_Employee_Data].[Employee ID].&amp;[Emp1049]","[Indian_Employee_Data].[Insurance tier].&amp;[Silver]"})</f>
        <v>Silver</v>
      </c>
      <c r="L78" s="37" vm="1084">
        <f>CUBEVALUE("ThisWorkbookDataModel",$K78,L$29,Slicer_Department)</f>
        <v>72779</v>
      </c>
      <c r="M78" s="37" vm="1083">
        <f>CUBEVALUE("ThisWorkbookDataModel",$K78,M$29,Slicer_Department)</f>
        <v>2800</v>
      </c>
      <c r="N78" s="37" t="e">
        <f t="shared" si="1"/>
        <v>#N/A</v>
      </c>
      <c r="O78" s="37" vm="1083">
        <f t="shared" si="2"/>
        <v>2800</v>
      </c>
      <c r="P78" s="37" t="e">
        <f t="shared" si="3"/>
        <v>#N/A</v>
      </c>
      <c r="Q78" s="37" t="e">
        <f t="shared" si="4"/>
        <v>#N/A</v>
      </c>
      <c r="R78" s="37" vm="1084">
        <f t="shared" si="5"/>
        <v>72779</v>
      </c>
      <c r="S78" s="37" t="e">
        <f t="shared" si="6"/>
        <v>#N/A</v>
      </c>
    </row>
    <row r="79" spans="10:19" x14ac:dyDescent="0.25">
      <c r="J79" s="36" t="str" vm="886">
        <f>CUBEMEMBER("ThisWorkbookDataModel","[Indian_Employee_Data].[Employee ID].&amp;[Emp1050]")</f>
        <v>Emp1050</v>
      </c>
      <c r="K79" s="36" t="str" vm="885">
        <f>CUBEMEMBER("ThisWorkbookDataModel",{"[Indian_Employee_Data].[Employee ID].&amp;[Emp1050]","[Indian_Employee_Data].[Insurance tier].&amp;[Gold]"})</f>
        <v>Gold</v>
      </c>
      <c r="L79" s="37" vm="1086">
        <f>CUBEVALUE("ThisWorkbookDataModel",$K79,L$29,Slicer_Department)</f>
        <v>215780</v>
      </c>
      <c r="M79" s="37" vm="1085">
        <f>CUBEVALUE("ThisWorkbookDataModel",$K79,M$29,Slicer_Department)</f>
        <v>6750</v>
      </c>
      <c r="N79" s="37" t="e">
        <f t="shared" si="1"/>
        <v>#N/A</v>
      </c>
      <c r="O79" s="37" t="e">
        <f t="shared" si="2"/>
        <v>#N/A</v>
      </c>
      <c r="P79" s="37" vm="1085">
        <f t="shared" si="3"/>
        <v>6750</v>
      </c>
      <c r="Q79" s="37" t="e">
        <f t="shared" si="4"/>
        <v>#N/A</v>
      </c>
      <c r="R79" s="37" t="e">
        <f t="shared" si="5"/>
        <v>#N/A</v>
      </c>
      <c r="S79" s="37" vm="1086">
        <f t="shared" si="6"/>
        <v>215780</v>
      </c>
    </row>
    <row r="80" spans="10:19" x14ac:dyDescent="0.25">
      <c r="J80" s="36" t="str" vm="884">
        <f>CUBEMEMBER("ThisWorkbookDataModel","[Indian_Employee_Data].[Employee ID].&amp;[Emp1051]")</f>
        <v>Emp1051</v>
      </c>
      <c r="K80" s="36" t="str" vm="883">
        <f>CUBEMEMBER("ThisWorkbookDataModel",{"[Indian_Employee_Data].[Employee ID].&amp;[Emp1051]","[Indian_Employee_Data].[Insurance tier].&amp;[Gold]"})</f>
        <v>Gold</v>
      </c>
      <c r="L80" s="37" vm="1088">
        <f>CUBEVALUE("ThisWorkbookDataModel",$K80,L$29,Slicer_Department)</f>
        <v>156954</v>
      </c>
      <c r="M80" s="37" vm="1087">
        <f>CUBEVALUE("ThisWorkbookDataModel",$K80,M$29,Slicer_Department)</f>
        <v>6750</v>
      </c>
      <c r="N80" s="37" t="e">
        <f t="shared" si="1"/>
        <v>#N/A</v>
      </c>
      <c r="O80" s="37" t="e">
        <f t="shared" si="2"/>
        <v>#N/A</v>
      </c>
      <c r="P80" s="37" vm="1087">
        <f t="shared" si="3"/>
        <v>6750</v>
      </c>
      <c r="Q80" s="37" t="e">
        <f t="shared" si="4"/>
        <v>#N/A</v>
      </c>
      <c r="R80" s="37" t="e">
        <f t="shared" si="5"/>
        <v>#N/A</v>
      </c>
      <c r="S80" s="37" vm="1088">
        <f t="shared" si="6"/>
        <v>156954</v>
      </c>
    </row>
    <row r="81" spans="10:19" x14ac:dyDescent="0.25">
      <c r="J81" s="36" t="str" vm="882">
        <f>CUBEMEMBER("ThisWorkbookDataModel","[Indian_Employee_Data].[Employee ID].&amp;[Emp1052]")</f>
        <v>Emp1052</v>
      </c>
      <c r="K81" s="36" t="str" vm="881">
        <f>CUBEMEMBER("ThisWorkbookDataModel",{"[Indian_Employee_Data].[Employee ID].&amp;[Emp1052]","[Indian_Employee_Data].[Insurance tier].&amp;[Gold]"})</f>
        <v>Gold</v>
      </c>
      <c r="L81" s="37" vm="1090">
        <f>CUBEVALUE("ThisWorkbookDataModel",$K81,L$29,Slicer_Department)</f>
        <v>201737</v>
      </c>
      <c r="M81" s="37" vm="1089">
        <f>CUBEVALUE("ThisWorkbookDataModel",$K81,M$29,Slicer_Department)</f>
        <v>6750</v>
      </c>
      <c r="N81" s="37" t="e">
        <f t="shared" si="1"/>
        <v>#N/A</v>
      </c>
      <c r="O81" s="37" t="e">
        <f t="shared" si="2"/>
        <v>#N/A</v>
      </c>
      <c r="P81" s="37" vm="1089">
        <f t="shared" si="3"/>
        <v>6750</v>
      </c>
      <c r="Q81" s="37" t="e">
        <f t="shared" si="4"/>
        <v>#N/A</v>
      </c>
      <c r="R81" s="37" t="e">
        <f t="shared" si="5"/>
        <v>#N/A</v>
      </c>
      <c r="S81" s="37" vm="1090">
        <f t="shared" si="6"/>
        <v>201737</v>
      </c>
    </row>
    <row r="82" spans="10:19" x14ac:dyDescent="0.25">
      <c r="J82" s="36" t="str" vm="880">
        <f>CUBEMEMBER("ThisWorkbookDataModel","[Indian_Employee_Data].[Employee ID].&amp;[Emp1053]")</f>
        <v>Emp1053</v>
      </c>
      <c r="K82" s="36" t="str" vm="879">
        <f>CUBEMEMBER("ThisWorkbookDataModel",{"[Indian_Employee_Data].[Employee ID].&amp;[Emp1053]","[Indian_Employee_Data].[Insurance tier].&amp;[Gold]"})</f>
        <v>Gold</v>
      </c>
      <c r="L82" s="37" vm="1092">
        <f>CUBEVALUE("ThisWorkbookDataModel",$K82,L$29,Slicer_Department)</f>
        <v>186367</v>
      </c>
      <c r="M82" s="37" vm="1091">
        <f>CUBEVALUE("ThisWorkbookDataModel",$K82,M$29,Slicer_Department)</f>
        <v>9000</v>
      </c>
      <c r="N82" s="37" t="e">
        <f t="shared" si="1"/>
        <v>#N/A</v>
      </c>
      <c r="O82" s="37" t="e">
        <f t="shared" si="2"/>
        <v>#N/A</v>
      </c>
      <c r="P82" s="37" vm="1091">
        <f t="shared" si="3"/>
        <v>9000</v>
      </c>
      <c r="Q82" s="37" t="e">
        <f t="shared" si="4"/>
        <v>#N/A</v>
      </c>
      <c r="R82" s="37" t="e">
        <f t="shared" si="5"/>
        <v>#N/A</v>
      </c>
      <c r="S82" s="37" vm="1092">
        <f t="shared" si="6"/>
        <v>186367</v>
      </c>
    </row>
    <row r="83" spans="10:19" x14ac:dyDescent="0.25">
      <c r="J83" s="36" t="str" vm="878">
        <f>CUBEMEMBER("ThisWorkbookDataModel","[Indian_Employee_Data].[Employee ID].&amp;[Emp1054]")</f>
        <v>Emp1054</v>
      </c>
      <c r="K83" s="36" t="str" vm="877">
        <f>CUBEMEMBER("ThisWorkbookDataModel",{"[Indian_Employee_Data].[Employee ID].&amp;[Emp1054]","[Indian_Employee_Data].[Insurance tier].&amp;[Gold]"})</f>
        <v>Gold</v>
      </c>
      <c r="L83" s="37" vm="1094">
        <f>CUBEVALUE("ThisWorkbookDataModel",$K83,L$29,Slicer_Department)</f>
        <v>125577</v>
      </c>
      <c r="M83" s="37" vm="1093">
        <f>CUBEVALUE("ThisWorkbookDataModel",$K83,M$29,Slicer_Department)</f>
        <v>9000</v>
      </c>
      <c r="N83" s="37" t="e">
        <f t="shared" si="1"/>
        <v>#N/A</v>
      </c>
      <c r="O83" s="37" t="e">
        <f t="shared" si="2"/>
        <v>#N/A</v>
      </c>
      <c r="P83" s="37" vm="1093">
        <f t="shared" si="3"/>
        <v>9000</v>
      </c>
      <c r="Q83" s="37" t="e">
        <f t="shared" si="4"/>
        <v>#N/A</v>
      </c>
      <c r="R83" s="37" t="e">
        <f t="shared" si="5"/>
        <v>#N/A</v>
      </c>
      <c r="S83" s="37" vm="1094">
        <f t="shared" si="6"/>
        <v>125577</v>
      </c>
    </row>
    <row r="84" spans="10:19" x14ac:dyDescent="0.25">
      <c r="J84" s="36" t="str" vm="876">
        <f>CUBEMEMBER("ThisWorkbookDataModel","[Indian_Employee_Data].[Employee ID].&amp;[Emp1055]")</f>
        <v>Emp1055</v>
      </c>
      <c r="K84" s="36" t="str" vm="875">
        <f>CUBEMEMBER("ThisWorkbookDataModel",{"[Indian_Employee_Data].[Employee ID].&amp;[Emp1055]","[Indian_Employee_Data].[Insurance tier].&amp;[Gold]"})</f>
        <v>Gold</v>
      </c>
      <c r="L84" s="37" vm="1096">
        <f>CUBEVALUE("ThisWorkbookDataModel",$K84,L$29,Slicer_Department)</f>
        <v>195156</v>
      </c>
      <c r="M84" s="37" vm="1095">
        <f>CUBEVALUE("ThisWorkbookDataModel",$K84,M$29,Slicer_Department)</f>
        <v>9000</v>
      </c>
      <c r="N84" s="37" t="e">
        <f t="shared" si="1"/>
        <v>#N/A</v>
      </c>
      <c r="O84" s="37" t="e">
        <f t="shared" si="2"/>
        <v>#N/A</v>
      </c>
      <c r="P84" s="37" vm="1095">
        <f t="shared" si="3"/>
        <v>9000</v>
      </c>
      <c r="Q84" s="37" t="e">
        <f t="shared" si="4"/>
        <v>#N/A</v>
      </c>
      <c r="R84" s="37" t="e">
        <f t="shared" si="5"/>
        <v>#N/A</v>
      </c>
      <c r="S84" s="37" vm="1096">
        <f t="shared" si="6"/>
        <v>195156</v>
      </c>
    </row>
    <row r="85" spans="10:19" x14ac:dyDescent="0.25">
      <c r="J85" s="36" t="str" vm="874">
        <f>CUBEMEMBER("ThisWorkbookDataModel","[Indian_Employee_Data].[Employee ID].&amp;[Emp1056]")</f>
        <v>Emp1056</v>
      </c>
      <c r="K85" s="36" t="str" vm="873">
        <f>CUBEMEMBER("ThisWorkbookDataModel",{"[Indian_Employee_Data].[Employee ID].&amp;[Emp1056]","[Indian_Employee_Data].[Insurance tier].&amp;[Bronze]"})</f>
        <v>Bronze</v>
      </c>
      <c r="L85" s="37" vm="1098">
        <f>CUBEVALUE("ThisWorkbookDataModel",$K85,L$29,Slicer_Department)</f>
        <v>59598</v>
      </c>
      <c r="M85" s="37" vm="1097">
        <f>CUBEVALUE("ThisWorkbookDataModel",$K85,M$29,Slicer_Department)</f>
        <v>1500</v>
      </c>
      <c r="N85" s="37" vm="1097">
        <f t="shared" si="1"/>
        <v>1500</v>
      </c>
      <c r="O85" s="37" t="e">
        <f t="shared" si="2"/>
        <v>#N/A</v>
      </c>
      <c r="P85" s="37" t="e">
        <f t="shared" si="3"/>
        <v>#N/A</v>
      </c>
      <c r="Q85" s="37" vm="1098">
        <f t="shared" si="4"/>
        <v>59598</v>
      </c>
      <c r="R85" s="37" t="e">
        <f t="shared" si="5"/>
        <v>#N/A</v>
      </c>
      <c r="S85" s="37" t="e">
        <f t="shared" si="6"/>
        <v>#N/A</v>
      </c>
    </row>
    <row r="86" spans="10:19" x14ac:dyDescent="0.25">
      <c r="J86" s="36" t="str" vm="872">
        <f>CUBEMEMBER("ThisWorkbookDataModel","[Indian_Employee_Data].[Employee ID].&amp;[Emp1057]")</f>
        <v>Emp1057</v>
      </c>
      <c r="K86" s="36" t="str" vm="871">
        <f>CUBEMEMBER("ThisWorkbookDataModel",{"[Indian_Employee_Data].[Employee ID].&amp;[Emp1057]","[Indian_Employee_Data].[Insurance tier].&amp;[Silver]"})</f>
        <v>Silver</v>
      </c>
      <c r="L86" s="37" vm="1100">
        <f>CUBEVALUE("ThisWorkbookDataModel",$K86,L$29,Slicer_Department)</f>
        <v>74048</v>
      </c>
      <c r="M86" s="37" vm="1099">
        <f>CUBEVALUE("ThisWorkbookDataModel",$K86,M$29,Slicer_Department)</f>
        <v>2800</v>
      </c>
      <c r="N86" s="37" t="e">
        <f t="shared" si="1"/>
        <v>#N/A</v>
      </c>
      <c r="O86" s="37" vm="1099">
        <f t="shared" si="2"/>
        <v>2800</v>
      </c>
      <c r="P86" s="37" t="e">
        <f t="shared" si="3"/>
        <v>#N/A</v>
      </c>
      <c r="Q86" s="37" t="e">
        <f t="shared" si="4"/>
        <v>#N/A</v>
      </c>
      <c r="R86" s="37" vm="1100">
        <f t="shared" si="5"/>
        <v>74048</v>
      </c>
      <c r="S86" s="37" t="e">
        <f t="shared" si="6"/>
        <v>#N/A</v>
      </c>
    </row>
    <row r="87" spans="10:19" x14ac:dyDescent="0.25">
      <c r="J87" s="36" t="str" vm="870">
        <f>CUBEMEMBER("ThisWorkbookDataModel","[Indian_Employee_Data].[Employee ID].&amp;[Emp1058]")</f>
        <v>Emp1058</v>
      </c>
      <c r="K87" s="36" t="str" vm="869">
        <f>CUBEMEMBER("ThisWorkbookDataModel",{"[Indian_Employee_Data].[Employee ID].&amp;[Emp1058]","[Indian_Employee_Data].[Insurance tier].&amp;[Bronze]"})</f>
        <v>Bronze</v>
      </c>
      <c r="L87" s="37" vm="1102">
        <f>CUBEVALUE("ThisWorkbookDataModel",$K87,L$29,Slicer_Department)</f>
        <v>51160</v>
      </c>
      <c r="M87" s="37" vm="1101">
        <f>CUBEVALUE("ThisWorkbookDataModel",$K87,M$29,Slicer_Department)</f>
        <v>1500</v>
      </c>
      <c r="N87" s="37" vm="1101">
        <f t="shared" si="1"/>
        <v>1500</v>
      </c>
      <c r="O87" s="37" t="e">
        <f t="shared" si="2"/>
        <v>#N/A</v>
      </c>
      <c r="P87" s="37" t="e">
        <f t="shared" si="3"/>
        <v>#N/A</v>
      </c>
      <c r="Q87" s="37" vm="1102">
        <f t="shared" si="4"/>
        <v>51160</v>
      </c>
      <c r="R87" s="37" t="e">
        <f t="shared" si="5"/>
        <v>#N/A</v>
      </c>
      <c r="S87" s="37" t="e">
        <f t="shared" si="6"/>
        <v>#N/A</v>
      </c>
    </row>
    <row r="88" spans="10:19" x14ac:dyDescent="0.25">
      <c r="J88" s="36" t="str" vm="868">
        <f>CUBEMEMBER("ThisWorkbookDataModel","[Indian_Employee_Data].[Employee ID].&amp;[Emp1059]")</f>
        <v>Emp1059</v>
      </c>
      <c r="K88" s="36" t="str" vm="867">
        <f>CUBEMEMBER("ThisWorkbookDataModel",{"[Indian_Employee_Data].[Employee ID].&amp;[Emp1059]","[Indian_Employee_Data].[Insurance tier].&amp;[Silver]"})</f>
        <v>Silver</v>
      </c>
      <c r="L88" s="37" vm="1104">
        <f>CUBEVALUE("ThisWorkbookDataModel",$K88,L$29,Slicer_Department)</f>
        <v>88833</v>
      </c>
      <c r="M88" s="37" vm="1103">
        <f>CUBEVALUE("ThisWorkbookDataModel",$K88,M$29,Slicer_Department)</f>
        <v>4200</v>
      </c>
      <c r="N88" s="37" t="e">
        <f t="shared" si="1"/>
        <v>#N/A</v>
      </c>
      <c r="O88" s="37" vm="1103">
        <f t="shared" si="2"/>
        <v>4200</v>
      </c>
      <c r="P88" s="37" t="e">
        <f t="shared" si="3"/>
        <v>#N/A</v>
      </c>
      <c r="Q88" s="37" t="e">
        <f t="shared" si="4"/>
        <v>#N/A</v>
      </c>
      <c r="R88" s="37" vm="1104">
        <f t="shared" si="5"/>
        <v>88833</v>
      </c>
      <c r="S88" s="37" t="e">
        <f t="shared" si="6"/>
        <v>#N/A</v>
      </c>
    </row>
    <row r="89" spans="10:19" x14ac:dyDescent="0.25">
      <c r="J89" s="36" t="str" vm="866">
        <f>CUBEMEMBER("ThisWorkbookDataModel","[Indian_Employee_Data].[Employee ID].&amp;[Emp1060]")</f>
        <v>Emp1060</v>
      </c>
      <c r="K89" s="36" t="str" vm="865">
        <f>CUBEMEMBER("ThisWorkbookDataModel",{"[Indian_Employee_Data].[Employee ID].&amp;[Emp1060]","[Indian_Employee_Data].[Insurance tier].&amp;[Silver]"})</f>
        <v>Silver</v>
      </c>
      <c r="L89" s="37" vm="1106">
        <f>CUBEVALUE("ThisWorkbookDataModel",$K89,L$29,Slicer_Department)</f>
        <v>96585</v>
      </c>
      <c r="M89" s="37" vm="1105">
        <f>CUBEVALUE("ThisWorkbookDataModel",$K89,M$29,Slicer_Department)</f>
        <v>2800</v>
      </c>
      <c r="N89" s="37" t="e">
        <f t="shared" si="1"/>
        <v>#N/A</v>
      </c>
      <c r="O89" s="37" vm="1105">
        <f t="shared" si="2"/>
        <v>2800</v>
      </c>
      <c r="P89" s="37" t="e">
        <f t="shared" si="3"/>
        <v>#N/A</v>
      </c>
      <c r="Q89" s="37" t="e">
        <f t="shared" si="4"/>
        <v>#N/A</v>
      </c>
      <c r="R89" s="37" vm="1106">
        <f t="shared" si="5"/>
        <v>96585</v>
      </c>
      <c r="S89" s="37" t="e">
        <f t="shared" si="6"/>
        <v>#N/A</v>
      </c>
    </row>
    <row r="90" spans="10:19" x14ac:dyDescent="0.25">
      <c r="J90" s="36" t="str" vm="864">
        <f>CUBEMEMBER("ThisWorkbookDataModel","[Indian_Employee_Data].[Employee ID].&amp;[Emp1061]")</f>
        <v>Emp1061</v>
      </c>
      <c r="K90" s="36" t="str" vm="863">
        <f>CUBEMEMBER("ThisWorkbookDataModel",{"[Indian_Employee_Data].[Employee ID].&amp;[Emp1061]","[Indian_Employee_Data].[Insurance tier].&amp;[Silver]"})</f>
        <v>Silver</v>
      </c>
      <c r="L90" s="37" vm="1108">
        <f>CUBEVALUE("ThisWorkbookDataModel",$K90,L$29,Slicer_Department)</f>
        <v>82509</v>
      </c>
      <c r="M90" s="37" vm="1107">
        <f>CUBEVALUE("ThisWorkbookDataModel",$K90,M$29,Slicer_Department)</f>
        <v>4200</v>
      </c>
      <c r="N90" s="37" t="e">
        <f t="shared" si="1"/>
        <v>#N/A</v>
      </c>
      <c r="O90" s="37" vm="1107">
        <f t="shared" si="2"/>
        <v>4200</v>
      </c>
      <c r="P90" s="37" t="e">
        <f t="shared" si="3"/>
        <v>#N/A</v>
      </c>
      <c r="Q90" s="37" t="e">
        <f t="shared" si="4"/>
        <v>#N/A</v>
      </c>
      <c r="R90" s="37" vm="1108">
        <f t="shared" si="5"/>
        <v>82509</v>
      </c>
      <c r="S90" s="37" t="e">
        <f t="shared" si="6"/>
        <v>#N/A</v>
      </c>
    </row>
    <row r="91" spans="10:19" x14ac:dyDescent="0.25">
      <c r="J91" s="36" t="str" vm="862">
        <f>CUBEMEMBER("ThisWorkbookDataModel","[Indian_Employee_Data].[Employee ID].&amp;[Emp1062]")</f>
        <v>Emp1062</v>
      </c>
      <c r="K91" s="36" t="str" vm="861">
        <f>CUBEMEMBER("ThisWorkbookDataModel",{"[Indian_Employee_Data].[Employee ID].&amp;[Emp1062]","[Indian_Employee_Data].[Insurance tier].&amp;[Gold]"})</f>
        <v>Gold</v>
      </c>
      <c r="L91" s="37" vm="1110">
        <f>CUBEVALUE("ThisWorkbookDataModel",$K91,L$29,Slicer_Department)</f>
        <v>168798</v>
      </c>
      <c r="M91" s="37" vm="1109">
        <f>CUBEVALUE("ThisWorkbookDataModel",$K91,M$29,Slicer_Department)</f>
        <v>9000</v>
      </c>
      <c r="N91" s="37" t="e">
        <f t="shared" si="1"/>
        <v>#N/A</v>
      </c>
      <c r="O91" s="37" t="e">
        <f t="shared" si="2"/>
        <v>#N/A</v>
      </c>
      <c r="P91" s="37" vm="1109">
        <f t="shared" si="3"/>
        <v>9000</v>
      </c>
      <c r="Q91" s="37" t="e">
        <f t="shared" si="4"/>
        <v>#N/A</v>
      </c>
      <c r="R91" s="37" t="e">
        <f t="shared" si="5"/>
        <v>#N/A</v>
      </c>
      <c r="S91" s="37" vm="1110">
        <f t="shared" si="6"/>
        <v>168798</v>
      </c>
    </row>
    <row r="92" spans="10:19" x14ac:dyDescent="0.25">
      <c r="J92" s="36" t="str" vm="860">
        <f>CUBEMEMBER("ThisWorkbookDataModel","[Indian_Employee_Data].[Employee ID].&amp;[Emp1063]")</f>
        <v>Emp1063</v>
      </c>
      <c r="K92" s="36" t="str" vm="859">
        <f>CUBEMEMBER("ThisWorkbookDataModel",{"[Indian_Employee_Data].[Employee ID].&amp;[Emp1063]","[Indian_Employee_Data].[Insurance tier].&amp;[Silver]"})</f>
        <v>Silver</v>
      </c>
      <c r="L92" s="37" vm="1112">
        <f>CUBEVALUE("ThisWorkbookDataModel",$K92,L$29,Slicer_Department)</f>
        <v>92631</v>
      </c>
      <c r="M92" s="37" vm="1111">
        <f>CUBEVALUE("ThisWorkbookDataModel",$K92,M$29,Slicer_Department)</f>
        <v>2800</v>
      </c>
      <c r="N92" s="37" t="e">
        <f t="shared" si="1"/>
        <v>#N/A</v>
      </c>
      <c r="O92" s="37" vm="1111">
        <f t="shared" si="2"/>
        <v>2800</v>
      </c>
      <c r="P92" s="37" t="e">
        <f t="shared" si="3"/>
        <v>#N/A</v>
      </c>
      <c r="Q92" s="37" t="e">
        <f t="shared" si="4"/>
        <v>#N/A</v>
      </c>
      <c r="R92" s="37" vm="1112">
        <f t="shared" si="5"/>
        <v>92631</v>
      </c>
      <c r="S92" s="37" t="e">
        <f t="shared" si="6"/>
        <v>#N/A</v>
      </c>
    </row>
    <row r="93" spans="10:19" x14ac:dyDescent="0.25">
      <c r="J93" s="36" t="str" vm="858">
        <f>CUBEMEMBER("ThisWorkbookDataModel","[Indian_Employee_Data].[Employee ID].&amp;[Emp1064]")</f>
        <v>Emp1064</v>
      </c>
      <c r="K93" s="36" t="str" vm="857">
        <f>CUBEMEMBER("ThisWorkbookDataModel",{"[Indian_Employee_Data].[Employee ID].&amp;[Emp1064]","[Indian_Employee_Data].[Insurance tier].&amp;[Silver]"})</f>
        <v>Silver</v>
      </c>
      <c r="L93" s="37" vm="1114">
        <f>CUBEVALUE("ThisWorkbookDataModel",$K93,L$29,Slicer_Department)</f>
        <v>83614</v>
      </c>
      <c r="M93" s="37" vm="1113">
        <f>CUBEVALUE("ThisWorkbookDataModel",$K93,M$29,Slicer_Department)</f>
        <v>2800</v>
      </c>
      <c r="N93" s="37" t="e">
        <f t="shared" si="1"/>
        <v>#N/A</v>
      </c>
      <c r="O93" s="37" vm="1113">
        <f t="shared" si="2"/>
        <v>2800</v>
      </c>
      <c r="P93" s="37" t="e">
        <f t="shared" si="3"/>
        <v>#N/A</v>
      </c>
      <c r="Q93" s="37" t="e">
        <f t="shared" si="4"/>
        <v>#N/A</v>
      </c>
      <c r="R93" s="37" vm="1114">
        <f t="shared" si="5"/>
        <v>83614</v>
      </c>
      <c r="S93" s="37" t="e">
        <f t="shared" si="6"/>
        <v>#N/A</v>
      </c>
    </row>
    <row r="94" spans="10:19" x14ac:dyDescent="0.25">
      <c r="J94" s="36" t="str" vm="856">
        <f>CUBEMEMBER("ThisWorkbookDataModel","[Indian_Employee_Data].[Employee ID].&amp;[Emp1065]")</f>
        <v>Emp1065</v>
      </c>
      <c r="K94" s="36" t="str" vm="855">
        <f>CUBEMEMBER("ThisWorkbookDataModel",{"[Indian_Employee_Data].[Employee ID].&amp;[Emp1065]","[Indian_Employee_Data].[Insurance tier].&amp;[Silver]"})</f>
        <v>Silver</v>
      </c>
      <c r="L94" s="37" vm="1116">
        <f>CUBEVALUE("ThisWorkbookDataModel",$K94,L$29,Slicer_Department)</f>
        <v>117311</v>
      </c>
      <c r="M94" s="37" vm="1115">
        <f>CUBEVALUE("ThisWorkbookDataModel",$K94,M$29,Slicer_Department)</f>
        <v>2800</v>
      </c>
      <c r="N94" s="37" t="e">
        <f t="shared" ref="N94:N157" si="7">IF(AND($K94="Bronze",ISNUMBER($L94),ISNUMBER($M94)),$M94,NA())</f>
        <v>#N/A</v>
      </c>
      <c r="O94" s="37" vm="1115">
        <f t="shared" ref="O94:O157" si="8">IF(AND($K94="Silver",ISNUMBER($L94),ISNUMBER($M94)),$M94,NA())</f>
        <v>2800</v>
      </c>
      <c r="P94" s="37" t="e">
        <f t="shared" ref="P94:P157" si="9">IF(AND($K94="Gold",ISNUMBER($L94),ISNUMBER($M94)),$M94,NA())</f>
        <v>#N/A</v>
      </c>
      <c r="Q94" s="37" t="e">
        <f t="shared" ref="Q94:Q157" si="10">IF(AND($K94="Bronze",ISNUMBER($L94),ISNUMBER($N94)),$L94,NA())</f>
        <v>#N/A</v>
      </c>
      <c r="R94" s="37" vm="1116">
        <f t="shared" ref="R94:R157" si="11">IF(AND($K94="Silver",ISNUMBER($L94),ISNUMBER($O94)),$L94,NA())</f>
        <v>117311</v>
      </c>
      <c r="S94" s="37" t="e">
        <f t="shared" ref="S94:S157" si="12">IF(AND($K94="Gold",ISNUMBER($L94),ISNUMBER($P94)),$L94,NA())</f>
        <v>#N/A</v>
      </c>
    </row>
    <row r="95" spans="10:19" x14ac:dyDescent="0.25">
      <c r="J95" s="36" t="str" vm="854">
        <f>CUBEMEMBER("ThisWorkbookDataModel","[Indian_Employee_Data].[Employee ID].&amp;[Emp1066]")</f>
        <v>Emp1066</v>
      </c>
      <c r="K95" s="36" t="str" vm="853">
        <f>CUBEMEMBER("ThisWorkbookDataModel",{"[Indian_Employee_Data].[Employee ID].&amp;[Emp1066]","[Indian_Employee_Data].[Insurance tier].&amp;[Silver]"})</f>
        <v>Silver</v>
      </c>
      <c r="L95" s="37" vm="1118">
        <f>CUBEVALUE("ThisWorkbookDataModel",$K95,L$29,Slicer_Department)</f>
        <v>67351</v>
      </c>
      <c r="M95" s="37" vm="1117">
        <f>CUBEVALUE("ThisWorkbookDataModel",$K95,M$29,Slicer_Department)</f>
        <v>4200</v>
      </c>
      <c r="N95" s="37" t="e">
        <f t="shared" si="7"/>
        <v>#N/A</v>
      </c>
      <c r="O95" s="37" vm="1117">
        <f t="shared" si="8"/>
        <v>4200</v>
      </c>
      <c r="P95" s="37" t="e">
        <f t="shared" si="9"/>
        <v>#N/A</v>
      </c>
      <c r="Q95" s="37" t="e">
        <f t="shared" si="10"/>
        <v>#N/A</v>
      </c>
      <c r="R95" s="37" vm="1118">
        <f t="shared" si="11"/>
        <v>67351</v>
      </c>
      <c r="S95" s="37" t="e">
        <f t="shared" si="12"/>
        <v>#N/A</v>
      </c>
    </row>
    <row r="96" spans="10:19" x14ac:dyDescent="0.25">
      <c r="J96" s="36" t="str" vm="852">
        <f>CUBEMEMBER("ThisWorkbookDataModel","[Indian_Employee_Data].[Employee ID].&amp;[Emp1067]")</f>
        <v>Emp1067</v>
      </c>
      <c r="K96" s="36" t="str" vm="851">
        <f>CUBEMEMBER("ThisWorkbookDataModel",{"[Indian_Employee_Data].[Employee ID].&amp;[Emp1067]","[Indian_Employee_Data].[Insurance tier].&amp;[Gold]"})</f>
        <v>Gold</v>
      </c>
      <c r="L96" s="37" vm="1120">
        <f>CUBEVALUE("ThisWorkbookDataModel",$K96,L$29,Slicer_Department)</f>
        <v>162733</v>
      </c>
      <c r="M96" s="37" vm="1119">
        <f>CUBEVALUE("ThisWorkbookDataModel",$K96,M$29,Slicer_Department)</f>
        <v>9000</v>
      </c>
      <c r="N96" s="37" t="e">
        <f t="shared" si="7"/>
        <v>#N/A</v>
      </c>
      <c r="O96" s="37" t="e">
        <f t="shared" si="8"/>
        <v>#N/A</v>
      </c>
      <c r="P96" s="37" vm="1119">
        <f t="shared" si="9"/>
        <v>9000</v>
      </c>
      <c r="Q96" s="37" t="e">
        <f t="shared" si="10"/>
        <v>#N/A</v>
      </c>
      <c r="R96" s="37" t="e">
        <f t="shared" si="11"/>
        <v>#N/A</v>
      </c>
      <c r="S96" s="37" vm="1120">
        <f t="shared" si="12"/>
        <v>162733</v>
      </c>
    </row>
    <row r="97" spans="10:19" x14ac:dyDescent="0.25">
      <c r="J97" s="36" t="str" vm="850">
        <f>CUBEMEMBER("ThisWorkbookDataModel","[Indian_Employee_Data].[Employee ID].&amp;[Emp1068]")</f>
        <v>Emp1068</v>
      </c>
      <c r="K97" s="36" t="str" vm="849">
        <f>CUBEMEMBER("ThisWorkbookDataModel",{"[Indian_Employee_Data].[Employee ID].&amp;[Emp1068]","[Indian_Employee_Data].[Insurance tier].&amp;[Bronze]"})</f>
        <v>Bronze</v>
      </c>
      <c r="L97" s="37" vm="1122">
        <f>CUBEVALUE("ThisWorkbookDataModel",$K97,L$29,Slicer_Department)</f>
        <v>57167</v>
      </c>
      <c r="M97" s="37" vm="1121">
        <f>CUBEVALUE("ThisWorkbookDataModel",$K97,M$29,Slicer_Department)</f>
        <v>1500</v>
      </c>
      <c r="N97" s="37" vm="1121">
        <f t="shared" si="7"/>
        <v>1500</v>
      </c>
      <c r="O97" s="37" t="e">
        <f t="shared" si="8"/>
        <v>#N/A</v>
      </c>
      <c r="P97" s="37" t="e">
        <f t="shared" si="9"/>
        <v>#N/A</v>
      </c>
      <c r="Q97" s="37" vm="1122">
        <f t="shared" si="10"/>
        <v>57167</v>
      </c>
      <c r="R97" s="37" t="e">
        <f t="shared" si="11"/>
        <v>#N/A</v>
      </c>
      <c r="S97" s="37" t="e">
        <f t="shared" si="12"/>
        <v>#N/A</v>
      </c>
    </row>
    <row r="98" spans="10:19" x14ac:dyDescent="0.25">
      <c r="J98" s="36" t="str" vm="848">
        <f>CUBEMEMBER("ThisWorkbookDataModel","[Indian_Employee_Data].[Employee ID].&amp;[Emp1069]")</f>
        <v>Emp1069</v>
      </c>
      <c r="K98" s="36" t="str" vm="847">
        <f>CUBEMEMBER("ThisWorkbookDataModel",{"[Indian_Employee_Data].[Employee ID].&amp;[Emp1069]","[Indian_Employee_Data].[Insurance tier].&amp;[Gold]"})</f>
        <v>Gold</v>
      </c>
      <c r="L98" s="37" vm="1124">
        <f>CUBEVALUE("ThisWorkbookDataModel",$K98,L$29,Slicer_Department)</f>
        <v>227531</v>
      </c>
      <c r="M98" s="37" vm="1123">
        <f>CUBEVALUE("ThisWorkbookDataModel",$K98,M$29,Slicer_Department)</f>
        <v>6750</v>
      </c>
      <c r="N98" s="37" t="e">
        <f t="shared" si="7"/>
        <v>#N/A</v>
      </c>
      <c r="O98" s="37" t="e">
        <f t="shared" si="8"/>
        <v>#N/A</v>
      </c>
      <c r="P98" s="37" vm="1123">
        <f t="shared" si="9"/>
        <v>6750</v>
      </c>
      <c r="Q98" s="37" t="e">
        <f t="shared" si="10"/>
        <v>#N/A</v>
      </c>
      <c r="R98" s="37" t="e">
        <f t="shared" si="11"/>
        <v>#N/A</v>
      </c>
      <c r="S98" s="37" vm="1124">
        <f t="shared" si="12"/>
        <v>227531</v>
      </c>
    </row>
    <row r="99" spans="10:19" x14ac:dyDescent="0.25">
      <c r="J99" s="36" t="str" vm="846">
        <f>CUBEMEMBER("ThisWorkbookDataModel","[Indian_Employee_Data].[Employee ID].&amp;[Emp1070]")</f>
        <v>Emp1070</v>
      </c>
      <c r="K99" s="36" t="str" vm="845">
        <f>CUBEMEMBER("ThisWorkbookDataModel",{"[Indian_Employee_Data].[Employee ID].&amp;[Emp1070]","[Indian_Employee_Data].[Insurance tier].&amp;[Gold]"})</f>
        <v>Gold</v>
      </c>
      <c r="L99" s="37" vm="1126">
        <f>CUBEVALUE("ThisWorkbookDataModel",$K99,L$29,Slicer_Department)</f>
        <v>156359</v>
      </c>
      <c r="M99" s="37" vm="1125">
        <f>CUBEVALUE("ThisWorkbookDataModel",$K99,M$29,Slicer_Department)</f>
        <v>9000</v>
      </c>
      <c r="N99" s="37" t="e">
        <f t="shared" si="7"/>
        <v>#N/A</v>
      </c>
      <c r="O99" s="37" t="e">
        <f t="shared" si="8"/>
        <v>#N/A</v>
      </c>
      <c r="P99" s="37" vm="1125">
        <f t="shared" si="9"/>
        <v>9000</v>
      </c>
      <c r="Q99" s="37" t="e">
        <f t="shared" si="10"/>
        <v>#N/A</v>
      </c>
      <c r="R99" s="37" t="e">
        <f t="shared" si="11"/>
        <v>#N/A</v>
      </c>
      <c r="S99" s="37" vm="1126">
        <f t="shared" si="12"/>
        <v>156359</v>
      </c>
    </row>
    <row r="100" spans="10:19" x14ac:dyDescent="0.25">
      <c r="J100" s="36" t="str" vm="844">
        <f>CUBEMEMBER("ThisWorkbookDataModel","[Indian_Employee_Data].[Employee ID].&amp;[Emp1071]")</f>
        <v>Emp1071</v>
      </c>
      <c r="K100" s="36" t="str" vm="843">
        <f>CUBEMEMBER("ThisWorkbookDataModel",{"[Indian_Employee_Data].[Employee ID].&amp;[Emp1071]","[Indian_Employee_Data].[Insurance tier].&amp;[Silver]"})</f>
        <v>Silver</v>
      </c>
      <c r="L100" s="37" vm="1128">
        <f>CUBEVALUE("ThisWorkbookDataModel",$K100,L$29,Slicer_Department)</f>
        <v>74354</v>
      </c>
      <c r="M100" s="37" vm="1127">
        <f>CUBEVALUE("ThisWorkbookDataModel",$K100,M$29,Slicer_Department)</f>
        <v>4200</v>
      </c>
      <c r="N100" s="37" t="e">
        <f t="shared" si="7"/>
        <v>#N/A</v>
      </c>
      <c r="O100" s="37" vm="1127">
        <f t="shared" si="8"/>
        <v>4200</v>
      </c>
      <c r="P100" s="37" t="e">
        <f t="shared" si="9"/>
        <v>#N/A</v>
      </c>
      <c r="Q100" s="37" t="e">
        <f t="shared" si="10"/>
        <v>#N/A</v>
      </c>
      <c r="R100" s="37" vm="1128">
        <f t="shared" si="11"/>
        <v>74354</v>
      </c>
      <c r="S100" s="37" t="e">
        <f t="shared" si="12"/>
        <v>#N/A</v>
      </c>
    </row>
    <row r="101" spans="10:19" x14ac:dyDescent="0.25">
      <c r="J101" s="36" t="str" vm="842">
        <f>CUBEMEMBER("ThisWorkbookDataModel","[Indian_Employee_Data].[Employee ID].&amp;[Emp1072]")</f>
        <v>Emp1072</v>
      </c>
      <c r="K101" s="36" t="str" vm="841">
        <f>CUBEMEMBER("ThisWorkbookDataModel",{"[Indian_Employee_Data].[Employee ID].&amp;[Emp1072]","[Indian_Employee_Data].[Insurance tier].&amp;[Bronze]"})</f>
        <v>Bronze</v>
      </c>
      <c r="L101" s="37" vm="1130">
        <f>CUBEVALUE("ThisWorkbookDataModel",$K101,L$29,Slicer_Department)</f>
        <v>37393</v>
      </c>
      <c r="M101" s="37" vm="1129">
        <f>CUBEVALUE("ThisWorkbookDataModel",$K101,M$29,Slicer_Department)</f>
        <v>1500</v>
      </c>
      <c r="N101" s="37" vm="1129">
        <f t="shared" si="7"/>
        <v>1500</v>
      </c>
      <c r="O101" s="37" t="e">
        <f t="shared" si="8"/>
        <v>#N/A</v>
      </c>
      <c r="P101" s="37" t="e">
        <f t="shared" si="9"/>
        <v>#N/A</v>
      </c>
      <c r="Q101" s="37" vm="1130">
        <f t="shared" si="10"/>
        <v>37393</v>
      </c>
      <c r="R101" s="37" t="e">
        <f t="shared" si="11"/>
        <v>#N/A</v>
      </c>
      <c r="S101" s="37" t="e">
        <f t="shared" si="12"/>
        <v>#N/A</v>
      </c>
    </row>
    <row r="102" spans="10:19" x14ac:dyDescent="0.25">
      <c r="J102" s="36" t="str" vm="840">
        <f>CUBEMEMBER("ThisWorkbookDataModel","[Indian_Employee_Data].[Employee ID].&amp;[Emp1073]")</f>
        <v>Emp1073</v>
      </c>
      <c r="K102" s="36" t="str" vm="839">
        <f>CUBEMEMBER("ThisWorkbookDataModel",{"[Indian_Employee_Data].[Employee ID].&amp;[Emp1073]","[Indian_Employee_Data].[Insurance tier].&amp;[Gold]"})</f>
        <v>Gold</v>
      </c>
      <c r="L102" s="37" vm="1132">
        <f>CUBEVALUE("ThisWorkbookDataModel",$K102,L$29,Slicer_Department)</f>
        <v>165710</v>
      </c>
      <c r="M102" s="37" vm="1131">
        <f>CUBEVALUE("ThisWorkbookDataModel",$K102,M$29,Slicer_Department)</f>
        <v>9000</v>
      </c>
      <c r="N102" s="37" t="e">
        <f t="shared" si="7"/>
        <v>#N/A</v>
      </c>
      <c r="O102" s="37" t="e">
        <f t="shared" si="8"/>
        <v>#N/A</v>
      </c>
      <c r="P102" s="37" vm="1131">
        <f t="shared" si="9"/>
        <v>9000</v>
      </c>
      <c r="Q102" s="37" t="e">
        <f t="shared" si="10"/>
        <v>#N/A</v>
      </c>
      <c r="R102" s="37" t="e">
        <f t="shared" si="11"/>
        <v>#N/A</v>
      </c>
      <c r="S102" s="37" vm="1132">
        <f t="shared" si="12"/>
        <v>165710</v>
      </c>
    </row>
    <row r="103" spans="10:19" x14ac:dyDescent="0.25">
      <c r="J103" s="36" t="str" vm="838">
        <f>CUBEMEMBER("ThisWorkbookDataModel","[Indian_Employee_Data].[Employee ID].&amp;[Emp1074]")</f>
        <v>Emp1074</v>
      </c>
      <c r="K103" s="36" t="str" vm="837">
        <f>CUBEMEMBER("ThisWorkbookDataModel",{"[Indian_Employee_Data].[Employee ID].&amp;[Emp1074]","[Indian_Employee_Data].[Insurance tier].&amp;[Gold]"})</f>
        <v>Gold</v>
      </c>
      <c r="L103" s="37" vm="1134">
        <f>CUBEVALUE("ThisWorkbookDataModel",$K103,L$29,Slicer_Department)</f>
        <v>143764</v>
      </c>
      <c r="M103" s="37" vm="1133">
        <f>CUBEVALUE("ThisWorkbookDataModel",$K103,M$29,Slicer_Department)</f>
        <v>6750</v>
      </c>
      <c r="N103" s="37" t="e">
        <f t="shared" si="7"/>
        <v>#N/A</v>
      </c>
      <c r="O103" s="37" t="e">
        <f t="shared" si="8"/>
        <v>#N/A</v>
      </c>
      <c r="P103" s="37" vm="1133">
        <f t="shared" si="9"/>
        <v>6750</v>
      </c>
      <c r="Q103" s="37" t="e">
        <f t="shared" si="10"/>
        <v>#N/A</v>
      </c>
      <c r="R103" s="37" t="e">
        <f t="shared" si="11"/>
        <v>#N/A</v>
      </c>
      <c r="S103" s="37" vm="1134">
        <f t="shared" si="12"/>
        <v>143764</v>
      </c>
    </row>
    <row r="104" spans="10:19" x14ac:dyDescent="0.25">
      <c r="J104" s="36" t="str" vm="836">
        <f>CUBEMEMBER("ThisWorkbookDataModel","[Indian_Employee_Data].[Employee ID].&amp;[Emp1075]")</f>
        <v>Emp1075</v>
      </c>
      <c r="K104" s="36" t="str" vm="835">
        <f>CUBEMEMBER("ThisWorkbookDataModel",{"[Indian_Employee_Data].[Employee ID].&amp;[Emp1075]","[Indian_Employee_Data].[Insurance tier].&amp;[Gold]"})</f>
        <v>Gold</v>
      </c>
      <c r="L104" s="37" vm="1136">
        <f>CUBEVALUE("ThisWorkbookDataModel",$K104,L$29,Slicer_Department)</f>
        <v>147856</v>
      </c>
      <c r="M104" s="37" vm="1135">
        <f>CUBEVALUE("ThisWorkbookDataModel",$K104,M$29,Slicer_Department)</f>
        <v>9000</v>
      </c>
      <c r="N104" s="37" t="e">
        <f t="shared" si="7"/>
        <v>#N/A</v>
      </c>
      <c r="O104" s="37" t="e">
        <f t="shared" si="8"/>
        <v>#N/A</v>
      </c>
      <c r="P104" s="37" vm="1135">
        <f t="shared" si="9"/>
        <v>9000</v>
      </c>
      <c r="Q104" s="37" t="e">
        <f t="shared" si="10"/>
        <v>#N/A</v>
      </c>
      <c r="R104" s="37" t="e">
        <f t="shared" si="11"/>
        <v>#N/A</v>
      </c>
      <c r="S104" s="37" vm="1136">
        <f t="shared" si="12"/>
        <v>147856</v>
      </c>
    </row>
    <row r="105" spans="10:19" x14ac:dyDescent="0.25">
      <c r="J105" s="36" t="str" vm="834">
        <f>CUBEMEMBER("ThisWorkbookDataModel","[Indian_Employee_Data].[Employee ID].&amp;[Emp1076]")</f>
        <v>Emp1076</v>
      </c>
      <c r="K105" s="36" t="str" vm="833">
        <f>CUBEMEMBER("ThisWorkbookDataModel",{"[Indian_Employee_Data].[Employee ID].&amp;[Emp1076]","[Indian_Employee_Data].[Insurance tier].&amp;[Bronze]"})</f>
        <v>Bronze</v>
      </c>
      <c r="L105" s="37" vm="1138">
        <f>CUBEVALUE("ThisWorkbookDataModel",$K105,L$29,Slicer_Department)</f>
        <v>156159</v>
      </c>
      <c r="M105" s="37" vm="1137">
        <f>CUBEVALUE("ThisWorkbookDataModel",$K105,M$29,Slicer_Department)</f>
        <v>9500</v>
      </c>
      <c r="N105" s="37" vm="1137">
        <f t="shared" si="7"/>
        <v>9500</v>
      </c>
      <c r="O105" s="37" t="e">
        <f t="shared" si="8"/>
        <v>#N/A</v>
      </c>
      <c r="P105" s="37" t="e">
        <f t="shared" si="9"/>
        <v>#N/A</v>
      </c>
      <c r="Q105" s="37" vm="1138">
        <f t="shared" si="10"/>
        <v>156159</v>
      </c>
      <c r="R105" s="37" t="e">
        <f t="shared" si="11"/>
        <v>#N/A</v>
      </c>
      <c r="S105" s="37" t="e">
        <f t="shared" si="12"/>
        <v>#N/A</v>
      </c>
    </row>
    <row r="106" spans="10:19" x14ac:dyDescent="0.25">
      <c r="J106" s="36" t="str" vm="832">
        <f>CUBEMEMBER("ThisWorkbookDataModel","[Indian_Employee_Data].[Employee ID].&amp;[Emp1078]")</f>
        <v>Emp1078</v>
      </c>
      <c r="K106" s="36" t="str" vm="831">
        <f>CUBEMEMBER("ThisWorkbookDataModel",{"[Indian_Employee_Data].[Employee ID].&amp;[Emp1078]","[Indian_Employee_Data].[Insurance tier].&amp;[Silver]"})</f>
        <v>Silver</v>
      </c>
      <c r="L106" s="37" vm="1140">
        <f>CUBEVALUE("ThisWorkbookDataModel",$K106,L$29,Slicer_Department)</f>
        <v>92840</v>
      </c>
      <c r="M106" s="37" vm="1139">
        <f>CUBEVALUE("ThisWorkbookDataModel",$K106,M$29,Slicer_Department)</f>
        <v>4200</v>
      </c>
      <c r="N106" s="37" t="e">
        <f t="shared" si="7"/>
        <v>#N/A</v>
      </c>
      <c r="O106" s="37" vm="1139">
        <f t="shared" si="8"/>
        <v>4200</v>
      </c>
      <c r="P106" s="37" t="e">
        <f t="shared" si="9"/>
        <v>#N/A</v>
      </c>
      <c r="Q106" s="37" t="e">
        <f t="shared" si="10"/>
        <v>#N/A</v>
      </c>
      <c r="R106" s="37" vm="1140">
        <f t="shared" si="11"/>
        <v>92840</v>
      </c>
      <c r="S106" s="37" t="e">
        <f t="shared" si="12"/>
        <v>#N/A</v>
      </c>
    </row>
    <row r="107" spans="10:19" x14ac:dyDescent="0.25">
      <c r="J107" s="36" t="str" vm="830">
        <f>CUBEMEMBER("ThisWorkbookDataModel","[Indian_Employee_Data].[Employee ID].&amp;[Emp1079]")</f>
        <v>Emp1079</v>
      </c>
      <c r="K107" s="36" t="str" vm="829">
        <f>CUBEMEMBER("ThisWorkbookDataModel",{"[Indian_Employee_Data].[Employee ID].&amp;[Emp1079]","[Indian_Employee_Data].[Insurance tier].&amp;[Silver]"})</f>
        <v>Silver</v>
      </c>
      <c r="L107" s="37" vm="1142">
        <f>CUBEVALUE("ThisWorkbookDataModel",$K107,L$29,Slicer_Department)</f>
        <v>63868</v>
      </c>
      <c r="M107" s="37" vm="1141">
        <f>CUBEVALUE("ThisWorkbookDataModel",$K107,M$29,Slicer_Department)</f>
        <v>4200</v>
      </c>
      <c r="N107" s="37" t="e">
        <f t="shared" si="7"/>
        <v>#N/A</v>
      </c>
      <c r="O107" s="37" vm="1141">
        <f t="shared" si="8"/>
        <v>4200</v>
      </c>
      <c r="P107" s="37" t="e">
        <f t="shared" si="9"/>
        <v>#N/A</v>
      </c>
      <c r="Q107" s="37" t="e">
        <f t="shared" si="10"/>
        <v>#N/A</v>
      </c>
      <c r="R107" s="37" vm="1142">
        <f t="shared" si="11"/>
        <v>63868</v>
      </c>
      <c r="S107" s="37" t="e">
        <f t="shared" si="12"/>
        <v>#N/A</v>
      </c>
    </row>
    <row r="108" spans="10:19" x14ac:dyDescent="0.25">
      <c r="J108" s="36" t="str" vm="828">
        <f>CUBEMEMBER("ThisWorkbookDataModel","[Indian_Employee_Data].[Employee ID].&amp;[Emp1080]")</f>
        <v>Emp1080</v>
      </c>
      <c r="K108" s="36" t="str" vm="827">
        <f>CUBEMEMBER("ThisWorkbookDataModel",{"[Indian_Employee_Data].[Employee ID].&amp;[Emp1080]","[Indian_Employee_Data].[Insurance tier].&amp;[Gold]"})</f>
        <v>Gold</v>
      </c>
      <c r="L108" s="37" vm="1144">
        <f>CUBEVALUE("ThisWorkbookDataModel",$K108,L$29,Slicer_Department)</f>
        <v>177401</v>
      </c>
      <c r="M108" s="37" vm="1143">
        <f>CUBEVALUE("ThisWorkbookDataModel",$K108,M$29,Slicer_Department)</f>
        <v>6750</v>
      </c>
      <c r="N108" s="37" t="e">
        <f t="shared" si="7"/>
        <v>#N/A</v>
      </c>
      <c r="O108" s="37" t="e">
        <f t="shared" si="8"/>
        <v>#N/A</v>
      </c>
      <c r="P108" s="37" vm="1143">
        <f t="shared" si="9"/>
        <v>6750</v>
      </c>
      <c r="Q108" s="37" t="e">
        <f t="shared" si="10"/>
        <v>#N/A</v>
      </c>
      <c r="R108" s="37" t="e">
        <f t="shared" si="11"/>
        <v>#N/A</v>
      </c>
      <c r="S108" s="37" vm="1144">
        <f t="shared" si="12"/>
        <v>177401</v>
      </c>
    </row>
    <row r="109" spans="10:19" x14ac:dyDescent="0.25">
      <c r="J109" s="36" t="str" vm="826">
        <f>CUBEMEMBER("ThisWorkbookDataModel","[Indian_Employee_Data].[Employee ID].&amp;[Emp1081]")</f>
        <v>Emp1081</v>
      </c>
      <c r="K109" s="36" t="str" vm="825">
        <f>CUBEMEMBER("ThisWorkbookDataModel",{"[Indian_Employee_Data].[Employee ID].&amp;[Emp1081]","[Indian_Employee_Data].[Insurance tier].&amp;[Gold]"})</f>
        <v>Gold</v>
      </c>
      <c r="L109" s="37" vm="1146">
        <f>CUBEVALUE("ThisWorkbookDataModel",$K109,L$29,Slicer_Department)</f>
        <v>129571</v>
      </c>
      <c r="M109" s="37" vm="1145">
        <f>CUBEVALUE("ThisWorkbookDataModel",$K109,M$29,Slicer_Department)</f>
        <v>6750</v>
      </c>
      <c r="N109" s="37" t="e">
        <f t="shared" si="7"/>
        <v>#N/A</v>
      </c>
      <c r="O109" s="37" t="e">
        <f t="shared" si="8"/>
        <v>#N/A</v>
      </c>
      <c r="P109" s="37" vm="1145">
        <f t="shared" si="9"/>
        <v>6750</v>
      </c>
      <c r="Q109" s="37" t="e">
        <f t="shared" si="10"/>
        <v>#N/A</v>
      </c>
      <c r="R109" s="37" t="e">
        <f t="shared" si="11"/>
        <v>#N/A</v>
      </c>
      <c r="S109" s="37" vm="1146">
        <f t="shared" si="12"/>
        <v>129571</v>
      </c>
    </row>
    <row r="110" spans="10:19" x14ac:dyDescent="0.25">
      <c r="J110" s="36" t="str" vm="824">
        <f>CUBEMEMBER("ThisWorkbookDataModel","[Indian_Employee_Data].[Employee ID].&amp;[Emp1082]")</f>
        <v>Emp1082</v>
      </c>
      <c r="K110" s="36" t="str" vm="823">
        <f>CUBEMEMBER("ThisWorkbookDataModel",{"[Indian_Employee_Data].[Employee ID].&amp;[Emp1082]","[Indian_Employee_Data].[Insurance tier].&amp;[Silver]"})</f>
        <v>Silver</v>
      </c>
      <c r="L110" s="37" vm="1148">
        <f>CUBEVALUE("ThisWorkbookDataModel",$K110,L$29,Slicer_Department)</f>
        <v>89499</v>
      </c>
      <c r="M110" s="37" vm="1147">
        <f>CUBEVALUE("ThisWorkbookDataModel",$K110,M$29,Slicer_Department)</f>
        <v>2800</v>
      </c>
      <c r="N110" s="37" t="e">
        <f t="shared" si="7"/>
        <v>#N/A</v>
      </c>
      <c r="O110" s="37" vm="1147">
        <f t="shared" si="8"/>
        <v>2800</v>
      </c>
      <c r="P110" s="37" t="e">
        <f t="shared" si="9"/>
        <v>#N/A</v>
      </c>
      <c r="Q110" s="37" t="e">
        <f t="shared" si="10"/>
        <v>#N/A</v>
      </c>
      <c r="R110" s="37" vm="1148">
        <f t="shared" si="11"/>
        <v>89499</v>
      </c>
      <c r="S110" s="37" t="e">
        <f t="shared" si="12"/>
        <v>#N/A</v>
      </c>
    </row>
    <row r="111" spans="10:19" x14ac:dyDescent="0.25">
      <c r="J111" s="36" t="str" vm="822">
        <f>CUBEMEMBER("ThisWorkbookDataModel","[Indian_Employee_Data].[Employee ID].&amp;[Emp1083]")</f>
        <v>Emp1083</v>
      </c>
      <c r="K111" s="36" t="str" vm="821">
        <f>CUBEMEMBER("ThisWorkbookDataModel",{"[Indian_Employee_Data].[Employee ID].&amp;[Emp1083]","[Indian_Employee_Data].[Insurance tier].&amp;[Bronze]"})</f>
        <v>Bronze</v>
      </c>
      <c r="L111" s="37" vm="1150">
        <f>CUBEVALUE("ThisWorkbookDataModel",$K111,L$29,Slicer_Department)</f>
        <v>55084</v>
      </c>
      <c r="M111" s="37" vm="1149">
        <f>CUBEVALUE("ThisWorkbookDataModel",$K111,M$29,Slicer_Department)</f>
        <v>1500</v>
      </c>
      <c r="N111" s="37" vm="1149">
        <f t="shared" si="7"/>
        <v>1500</v>
      </c>
      <c r="O111" s="37" t="e">
        <f t="shared" si="8"/>
        <v>#N/A</v>
      </c>
      <c r="P111" s="37" t="e">
        <f t="shared" si="9"/>
        <v>#N/A</v>
      </c>
      <c r="Q111" s="37" vm="1150">
        <f t="shared" si="10"/>
        <v>55084</v>
      </c>
      <c r="R111" s="37" t="e">
        <f t="shared" si="11"/>
        <v>#N/A</v>
      </c>
      <c r="S111" s="37" t="e">
        <f t="shared" si="12"/>
        <v>#N/A</v>
      </c>
    </row>
    <row r="112" spans="10:19" x14ac:dyDescent="0.25">
      <c r="J112" s="36" t="str" vm="820">
        <f>CUBEMEMBER("ThisWorkbookDataModel","[Indian_Employee_Data].[Employee ID].&amp;[Emp1084]")</f>
        <v>Emp1084</v>
      </c>
      <c r="K112" s="36" t="str" vm="819">
        <f>CUBEMEMBER("ThisWorkbookDataModel",{"[Indian_Employee_Data].[Employee ID].&amp;[Emp1084]","[Indian_Employee_Data].[Insurance tier].&amp;[Silver]"})</f>
        <v>Silver</v>
      </c>
      <c r="L112" s="37" vm="1152">
        <f>CUBEVALUE("ThisWorkbookDataModel",$K112,L$29,Slicer_Department)</f>
        <v>87128</v>
      </c>
      <c r="M112" s="37" vm="1151">
        <f>CUBEVALUE("ThisWorkbookDataModel",$K112,M$29,Slicer_Department)</f>
        <v>2800</v>
      </c>
      <c r="N112" s="37" t="e">
        <f t="shared" si="7"/>
        <v>#N/A</v>
      </c>
      <c r="O112" s="37" vm="1151">
        <f t="shared" si="8"/>
        <v>2800</v>
      </c>
      <c r="P112" s="37" t="e">
        <f t="shared" si="9"/>
        <v>#N/A</v>
      </c>
      <c r="Q112" s="37" t="e">
        <f t="shared" si="10"/>
        <v>#N/A</v>
      </c>
      <c r="R112" s="37" vm="1152">
        <f t="shared" si="11"/>
        <v>87128</v>
      </c>
      <c r="S112" s="37" t="e">
        <f t="shared" si="12"/>
        <v>#N/A</v>
      </c>
    </row>
    <row r="113" spans="10:19" x14ac:dyDescent="0.25">
      <c r="J113" s="36" t="str" vm="818">
        <f>CUBEMEMBER("ThisWorkbookDataModel","[Indian_Employee_Data].[Employee ID].&amp;[Emp1085]")</f>
        <v>Emp1085</v>
      </c>
      <c r="K113" s="36" t="str" vm="817">
        <f>CUBEMEMBER("ThisWorkbookDataModel",{"[Indian_Employee_Data].[Employee ID].&amp;[Emp1085]","[Indian_Employee_Data].[Insurance tier].&amp;[Silver]"})</f>
        <v>Silver</v>
      </c>
      <c r="L113" s="37" vm="1154">
        <f>CUBEVALUE("ThisWorkbookDataModel",$K113,L$29,Slicer_Department)</f>
        <v>88815</v>
      </c>
      <c r="M113" s="37" vm="1153">
        <f>CUBEVALUE("ThisWorkbookDataModel",$K113,M$29,Slicer_Department)</f>
        <v>2800</v>
      </c>
      <c r="N113" s="37" t="e">
        <f t="shared" si="7"/>
        <v>#N/A</v>
      </c>
      <c r="O113" s="37" vm="1153">
        <f t="shared" si="8"/>
        <v>2800</v>
      </c>
      <c r="P113" s="37" t="e">
        <f t="shared" si="9"/>
        <v>#N/A</v>
      </c>
      <c r="Q113" s="37" t="e">
        <f t="shared" si="10"/>
        <v>#N/A</v>
      </c>
      <c r="R113" s="37" vm="1154">
        <f t="shared" si="11"/>
        <v>88815</v>
      </c>
      <c r="S113" s="37" t="e">
        <f t="shared" si="12"/>
        <v>#N/A</v>
      </c>
    </row>
    <row r="114" spans="10:19" x14ac:dyDescent="0.25">
      <c r="J114" s="36" t="str" vm="816">
        <f>CUBEMEMBER("ThisWorkbookDataModel","[Indian_Employee_Data].[Employee ID].&amp;[Emp1086]")</f>
        <v>Emp1086</v>
      </c>
      <c r="K114" s="36" t="str" vm="815">
        <f>CUBEMEMBER("ThisWorkbookDataModel",{"[Indian_Employee_Data].[Employee ID].&amp;[Emp1086]","[Indian_Employee_Data].[Insurance tier].&amp;[Gold]"})</f>
        <v>Gold</v>
      </c>
      <c r="L114" s="37" vm="1156">
        <f>CUBEVALUE("ThisWorkbookDataModel",$K114,L$29,Slicer_Department)</f>
        <v>147969</v>
      </c>
      <c r="M114" s="37" vm="1155">
        <f>CUBEVALUE("ThisWorkbookDataModel",$K114,M$29,Slicer_Department)</f>
        <v>6750</v>
      </c>
      <c r="N114" s="37" t="e">
        <f t="shared" si="7"/>
        <v>#N/A</v>
      </c>
      <c r="O114" s="37" t="e">
        <f t="shared" si="8"/>
        <v>#N/A</v>
      </c>
      <c r="P114" s="37" vm="1155">
        <f t="shared" si="9"/>
        <v>6750</v>
      </c>
      <c r="Q114" s="37" t="e">
        <f t="shared" si="10"/>
        <v>#N/A</v>
      </c>
      <c r="R114" s="37" t="e">
        <f t="shared" si="11"/>
        <v>#N/A</v>
      </c>
      <c r="S114" s="37" vm="1156">
        <f t="shared" si="12"/>
        <v>147969</v>
      </c>
    </row>
    <row r="115" spans="10:19" x14ac:dyDescent="0.25">
      <c r="J115" s="36" t="str" vm="814">
        <f>CUBEMEMBER("ThisWorkbookDataModel","[Indian_Employee_Data].[Employee ID].&amp;[Emp1087]")</f>
        <v>Emp1087</v>
      </c>
      <c r="K115" s="36" t="str" vm="813">
        <f>CUBEMEMBER("ThisWorkbookDataModel",{"[Indian_Employee_Data].[Employee ID].&amp;[Emp1087]","[Indian_Employee_Data].[Insurance tier].&amp;[Gold]"})</f>
        <v>Gold</v>
      </c>
      <c r="L115" s="37" vm="1158">
        <f>CUBEVALUE("ThisWorkbookDataModel",$K115,L$29,Slicer_Department)</f>
        <v>131872</v>
      </c>
      <c r="M115" s="37" vm="1157">
        <f>CUBEVALUE("ThisWorkbookDataModel",$K115,M$29,Slicer_Department)</f>
        <v>6750</v>
      </c>
      <c r="N115" s="37" t="e">
        <f t="shared" si="7"/>
        <v>#N/A</v>
      </c>
      <c r="O115" s="37" t="e">
        <f t="shared" si="8"/>
        <v>#N/A</v>
      </c>
      <c r="P115" s="37" vm="1157">
        <f t="shared" si="9"/>
        <v>6750</v>
      </c>
      <c r="Q115" s="37" t="e">
        <f t="shared" si="10"/>
        <v>#N/A</v>
      </c>
      <c r="R115" s="37" t="e">
        <f t="shared" si="11"/>
        <v>#N/A</v>
      </c>
      <c r="S115" s="37" vm="1158">
        <f t="shared" si="12"/>
        <v>131872</v>
      </c>
    </row>
    <row r="116" spans="10:19" x14ac:dyDescent="0.25">
      <c r="J116" s="36" t="str" vm="812">
        <f>CUBEMEMBER("ThisWorkbookDataModel","[Indian_Employee_Data].[Employee ID].&amp;[Emp1088]")</f>
        <v>Emp1088</v>
      </c>
      <c r="K116" s="36" t="str" vm="811">
        <f>CUBEMEMBER("ThisWorkbookDataModel",{"[Indian_Employee_Data].[Employee ID].&amp;[Emp1088]","[Indian_Employee_Data].[Insurance tier].&amp;[Gold]"})</f>
        <v>Gold</v>
      </c>
      <c r="L116" s="37" vm="1160">
        <f>CUBEVALUE("ThisWorkbookDataModel",$K116,L$29,Slicer_Department)</f>
        <v>184103</v>
      </c>
      <c r="M116" s="37" vm="1159">
        <f>CUBEVALUE("ThisWorkbookDataModel",$K116,M$29,Slicer_Department)</f>
        <v>9000</v>
      </c>
      <c r="N116" s="37" t="e">
        <f t="shared" si="7"/>
        <v>#N/A</v>
      </c>
      <c r="O116" s="37" t="e">
        <f t="shared" si="8"/>
        <v>#N/A</v>
      </c>
      <c r="P116" s="37" vm="1159">
        <f t="shared" si="9"/>
        <v>9000</v>
      </c>
      <c r="Q116" s="37" t="e">
        <f t="shared" si="10"/>
        <v>#N/A</v>
      </c>
      <c r="R116" s="37" t="e">
        <f t="shared" si="11"/>
        <v>#N/A</v>
      </c>
      <c r="S116" s="37" vm="1160">
        <f t="shared" si="12"/>
        <v>184103</v>
      </c>
    </row>
    <row r="117" spans="10:19" x14ac:dyDescent="0.25">
      <c r="J117" s="36" t="str" vm="810">
        <f>CUBEMEMBER("ThisWorkbookDataModel","[Indian_Employee_Data].[Employee ID].&amp;[Emp1090]")</f>
        <v>Emp1090</v>
      </c>
      <c r="K117" s="36" t="str" vm="809">
        <f>CUBEMEMBER("ThisWorkbookDataModel",{"[Indian_Employee_Data].[Employee ID].&amp;[Emp1090]","[Indian_Employee_Data].[Insurance tier].&amp;[Silver]"})</f>
        <v>Silver</v>
      </c>
      <c r="L117" s="37" vm="1162">
        <f>CUBEVALUE("ThisWorkbookDataModel",$K117,L$29,Slicer_Department)</f>
        <v>64409</v>
      </c>
      <c r="M117" s="37" vm="1161">
        <f>CUBEVALUE("ThisWorkbookDataModel",$K117,M$29,Slicer_Department)</f>
        <v>4200</v>
      </c>
      <c r="N117" s="37" t="e">
        <f t="shared" si="7"/>
        <v>#N/A</v>
      </c>
      <c r="O117" s="37" vm="1161">
        <f t="shared" si="8"/>
        <v>4200</v>
      </c>
      <c r="P117" s="37" t="e">
        <f t="shared" si="9"/>
        <v>#N/A</v>
      </c>
      <c r="Q117" s="37" t="e">
        <f t="shared" si="10"/>
        <v>#N/A</v>
      </c>
      <c r="R117" s="37" vm="1162">
        <f t="shared" si="11"/>
        <v>64409</v>
      </c>
      <c r="S117" s="37" t="e">
        <f t="shared" si="12"/>
        <v>#N/A</v>
      </c>
    </row>
    <row r="118" spans="10:19" x14ac:dyDescent="0.25">
      <c r="J118" s="36" t="str" vm="808">
        <f>CUBEMEMBER("ThisWorkbookDataModel","[Indian_Employee_Data].[Employee ID].&amp;[Emp1091]")</f>
        <v>Emp1091</v>
      </c>
      <c r="K118" s="36" t="str" vm="807">
        <f>CUBEMEMBER("ThisWorkbookDataModel",{"[Indian_Employee_Data].[Employee ID].&amp;[Emp1091]","[Indian_Employee_Data].[Insurance tier].&amp;[Gold]"})</f>
        <v>Gold</v>
      </c>
      <c r="L118" s="37" vm="1164">
        <f>CUBEVALUE("ThisWorkbookDataModel",$K118,L$29,Slicer_Department)</f>
        <v>144928</v>
      </c>
      <c r="M118" s="37" vm="1163">
        <f>CUBEVALUE("ThisWorkbookDataModel",$K118,M$29,Slicer_Department)</f>
        <v>6750</v>
      </c>
      <c r="N118" s="37" t="e">
        <f t="shared" si="7"/>
        <v>#N/A</v>
      </c>
      <c r="O118" s="37" t="e">
        <f t="shared" si="8"/>
        <v>#N/A</v>
      </c>
      <c r="P118" s="37" vm="1163">
        <f t="shared" si="9"/>
        <v>6750</v>
      </c>
      <c r="Q118" s="37" t="e">
        <f t="shared" si="10"/>
        <v>#N/A</v>
      </c>
      <c r="R118" s="37" t="e">
        <f t="shared" si="11"/>
        <v>#N/A</v>
      </c>
      <c r="S118" s="37" vm="1164">
        <f t="shared" si="12"/>
        <v>144928</v>
      </c>
    </row>
    <row r="119" spans="10:19" x14ac:dyDescent="0.25">
      <c r="J119" s="36" t="str" vm="806">
        <f>CUBEMEMBER("ThisWorkbookDataModel","[Indian_Employee_Data].[Employee ID].&amp;[Emp1093]")</f>
        <v>Emp1093</v>
      </c>
      <c r="K119" s="36" t="str" vm="805">
        <f>CUBEMEMBER("ThisWorkbookDataModel",{"[Indian_Employee_Data].[Employee ID].&amp;[Emp1093]","[Indian_Employee_Data].[Insurance tier].&amp;[Gold]"})</f>
        <v>Gold</v>
      </c>
      <c r="L119" s="37" vm="1166">
        <f>CUBEVALUE("ThisWorkbookDataModel",$K119,L$29,Slicer_Department)</f>
        <v>120035</v>
      </c>
      <c r="M119" s="37" vm="1165">
        <f>CUBEVALUE("ThisWorkbookDataModel",$K119,M$29,Slicer_Department)</f>
        <v>9000</v>
      </c>
      <c r="N119" s="37" t="e">
        <f t="shared" si="7"/>
        <v>#N/A</v>
      </c>
      <c r="O119" s="37" t="e">
        <f t="shared" si="8"/>
        <v>#N/A</v>
      </c>
      <c r="P119" s="37" vm="1165">
        <f t="shared" si="9"/>
        <v>9000</v>
      </c>
      <c r="Q119" s="37" t="e">
        <f t="shared" si="10"/>
        <v>#N/A</v>
      </c>
      <c r="R119" s="37" t="e">
        <f t="shared" si="11"/>
        <v>#N/A</v>
      </c>
      <c r="S119" s="37" vm="1166">
        <f t="shared" si="12"/>
        <v>120035</v>
      </c>
    </row>
    <row r="120" spans="10:19" x14ac:dyDescent="0.25">
      <c r="J120" s="36" t="str" vm="804">
        <f>CUBEMEMBER("ThisWorkbookDataModel","[Indian_Employee_Data].[Employee ID].&amp;[Emp1094]")</f>
        <v>Emp1094</v>
      </c>
      <c r="K120" s="36" t="str" vm="803">
        <f>CUBEMEMBER("ThisWorkbookDataModel",{"[Indian_Employee_Data].[Employee ID].&amp;[Emp1094]","[Indian_Employee_Data].[Insurance tier].&amp;[Gold]"})</f>
        <v>Gold</v>
      </c>
      <c r="L120" s="37" vm="1168">
        <f>CUBEVALUE("ThisWorkbookDataModel",$K120,L$29,Slicer_Department)</f>
        <v>156097</v>
      </c>
      <c r="M120" s="37" vm="1167">
        <f>CUBEVALUE("ThisWorkbookDataModel",$K120,M$29,Slicer_Department)</f>
        <v>9000</v>
      </c>
      <c r="N120" s="37" t="e">
        <f t="shared" si="7"/>
        <v>#N/A</v>
      </c>
      <c r="O120" s="37" t="e">
        <f t="shared" si="8"/>
        <v>#N/A</v>
      </c>
      <c r="P120" s="37" vm="1167">
        <f t="shared" si="9"/>
        <v>9000</v>
      </c>
      <c r="Q120" s="37" t="e">
        <f t="shared" si="10"/>
        <v>#N/A</v>
      </c>
      <c r="R120" s="37" t="e">
        <f t="shared" si="11"/>
        <v>#N/A</v>
      </c>
      <c r="S120" s="37" vm="1168">
        <f t="shared" si="12"/>
        <v>156097</v>
      </c>
    </row>
    <row r="121" spans="10:19" x14ac:dyDescent="0.25">
      <c r="J121" s="36" t="str" vm="802">
        <f>CUBEMEMBER("ThisWorkbookDataModel","[Indian_Employee_Data].[Employee ID].&amp;[Emp1095]")</f>
        <v>Emp1095</v>
      </c>
      <c r="K121" s="36" t="str" vm="801">
        <f>CUBEMEMBER("ThisWorkbookDataModel",{"[Indian_Employee_Data].[Employee ID].&amp;[Emp1095]","[Indian_Employee_Data].[Insurance tier].&amp;[Silver]"})</f>
        <v>Silver</v>
      </c>
      <c r="L121" s="37" vm="1170">
        <f>CUBEVALUE("ThisWorkbookDataModel",$K121,L$29,Slicer_Department)</f>
        <v>110397</v>
      </c>
      <c r="M121" s="37" vm="1169">
        <f>CUBEVALUE("ThisWorkbookDataModel",$K121,M$29,Slicer_Department)</f>
        <v>2800</v>
      </c>
      <c r="N121" s="37" t="e">
        <f t="shared" si="7"/>
        <v>#N/A</v>
      </c>
      <c r="O121" s="37" vm="1169">
        <f t="shared" si="8"/>
        <v>2800</v>
      </c>
      <c r="P121" s="37" t="e">
        <f t="shared" si="9"/>
        <v>#N/A</v>
      </c>
      <c r="Q121" s="37" t="e">
        <f t="shared" si="10"/>
        <v>#N/A</v>
      </c>
      <c r="R121" s="37" vm="1170">
        <f t="shared" si="11"/>
        <v>110397</v>
      </c>
      <c r="S121" s="37" t="e">
        <f t="shared" si="12"/>
        <v>#N/A</v>
      </c>
    </row>
    <row r="122" spans="10:19" x14ac:dyDescent="0.25">
      <c r="J122" s="36" t="str" vm="800">
        <f>CUBEMEMBER("ThisWorkbookDataModel","[Indian_Employee_Data].[Employee ID].&amp;[Emp1096]")</f>
        <v>Emp1096</v>
      </c>
      <c r="K122" s="36" t="str" vm="799">
        <f>CUBEMEMBER("ThisWorkbookDataModel",{"[Indian_Employee_Data].[Employee ID].&amp;[Emp1096]","[Indian_Employee_Data].[Insurance tier].&amp;[Silver]"})</f>
        <v>Silver</v>
      </c>
      <c r="L122" s="37" vm="1172">
        <f>CUBEVALUE("ThisWorkbookDataModel",$K122,L$29,Slicer_Department)</f>
        <v>114446</v>
      </c>
      <c r="M122" s="37" vm="1171">
        <f>CUBEVALUE("ThisWorkbookDataModel",$K122,M$29,Slicer_Department)</f>
        <v>2800</v>
      </c>
      <c r="N122" s="37" t="e">
        <f t="shared" si="7"/>
        <v>#N/A</v>
      </c>
      <c r="O122" s="37" vm="1171">
        <f t="shared" si="8"/>
        <v>2800</v>
      </c>
      <c r="P122" s="37" t="e">
        <f t="shared" si="9"/>
        <v>#N/A</v>
      </c>
      <c r="Q122" s="37" t="e">
        <f t="shared" si="10"/>
        <v>#N/A</v>
      </c>
      <c r="R122" s="37" vm="1172">
        <f t="shared" si="11"/>
        <v>114446</v>
      </c>
      <c r="S122" s="37" t="e">
        <f t="shared" si="12"/>
        <v>#N/A</v>
      </c>
    </row>
    <row r="123" spans="10:19" x14ac:dyDescent="0.25">
      <c r="J123" s="36" t="str" vm="798">
        <f>CUBEMEMBER("ThisWorkbookDataModel","[Indian_Employee_Data].[Employee ID].&amp;[Emp1097]")</f>
        <v>Emp1097</v>
      </c>
      <c r="K123" s="36" t="str" vm="797">
        <f>CUBEMEMBER("ThisWorkbookDataModel",{"[Indian_Employee_Data].[Employee ID].&amp;[Emp1097]","[Indian_Employee_Data].[Insurance tier].&amp;[Silver]"})</f>
        <v>Silver</v>
      </c>
      <c r="L123" s="37" vm="1174">
        <f>CUBEVALUE("ThisWorkbookDataModel",$K123,L$29,Slicer_Department)</f>
        <v>101542</v>
      </c>
      <c r="M123" s="37" vm="1173">
        <f>CUBEVALUE("ThisWorkbookDataModel",$K123,M$29,Slicer_Department)</f>
        <v>4200</v>
      </c>
      <c r="N123" s="37" t="e">
        <f t="shared" si="7"/>
        <v>#N/A</v>
      </c>
      <c r="O123" s="37" vm="1173">
        <f t="shared" si="8"/>
        <v>4200</v>
      </c>
      <c r="P123" s="37" t="e">
        <f t="shared" si="9"/>
        <v>#N/A</v>
      </c>
      <c r="Q123" s="37" t="e">
        <f t="shared" si="10"/>
        <v>#N/A</v>
      </c>
      <c r="R123" s="37" vm="1174">
        <f t="shared" si="11"/>
        <v>101542</v>
      </c>
      <c r="S123" s="37" t="e">
        <f t="shared" si="12"/>
        <v>#N/A</v>
      </c>
    </row>
    <row r="124" spans="10:19" x14ac:dyDescent="0.25">
      <c r="J124" s="36" t="str" vm="796">
        <f>CUBEMEMBER("ThisWorkbookDataModel","[Indian_Employee_Data].[Employee ID].&amp;[Emp1098]")</f>
        <v>Emp1098</v>
      </c>
      <c r="K124" s="36" t="str" vm="795">
        <f>CUBEMEMBER("ThisWorkbookDataModel",{"[Indian_Employee_Data].[Employee ID].&amp;[Emp1098]","[Indian_Employee_Data].[Insurance tier].&amp;[Bronze]"})</f>
        <v>Bronze</v>
      </c>
      <c r="L124" s="37" vm="1176">
        <f>CUBEVALUE("ThisWorkbookDataModel",$K124,L$29,Slicer_Department)</f>
        <v>45863</v>
      </c>
      <c r="M124" s="37" vm="1175">
        <f>CUBEVALUE("ThisWorkbookDataModel",$K124,M$29,Slicer_Department)</f>
        <v>1500</v>
      </c>
      <c r="N124" s="37" vm="1175">
        <f t="shared" si="7"/>
        <v>1500</v>
      </c>
      <c r="O124" s="37" t="e">
        <f t="shared" si="8"/>
        <v>#N/A</v>
      </c>
      <c r="P124" s="37" t="e">
        <f t="shared" si="9"/>
        <v>#N/A</v>
      </c>
      <c r="Q124" s="37" vm="1176">
        <f t="shared" si="10"/>
        <v>45863</v>
      </c>
      <c r="R124" s="37" t="e">
        <f t="shared" si="11"/>
        <v>#N/A</v>
      </c>
      <c r="S124" s="37" t="e">
        <f t="shared" si="12"/>
        <v>#N/A</v>
      </c>
    </row>
    <row r="125" spans="10:19" x14ac:dyDescent="0.25">
      <c r="J125" s="36" t="str" vm="794">
        <f>CUBEMEMBER("ThisWorkbookDataModel","[Indian_Employee_Data].[Employee ID].&amp;[Emp1099]")</f>
        <v>Emp1099</v>
      </c>
      <c r="K125" s="36" t="str" vm="793">
        <f>CUBEMEMBER("ThisWorkbookDataModel",{"[Indian_Employee_Data].[Employee ID].&amp;[Emp1099]","[Indian_Employee_Data].[Insurance tier].&amp;[Silver]"})</f>
        <v>Silver</v>
      </c>
      <c r="L125" s="37" vm="1178">
        <f>CUBEVALUE("ThisWorkbookDataModel",$K125,L$29,Slicer_Department)</f>
        <v>62682</v>
      </c>
      <c r="M125" s="37" vm="1177">
        <f>CUBEVALUE("ThisWorkbookDataModel",$K125,M$29,Slicer_Department)</f>
        <v>4200</v>
      </c>
      <c r="N125" s="37" t="e">
        <f t="shared" si="7"/>
        <v>#N/A</v>
      </c>
      <c r="O125" s="37" vm="1177">
        <f t="shared" si="8"/>
        <v>4200</v>
      </c>
      <c r="P125" s="37" t="e">
        <f t="shared" si="9"/>
        <v>#N/A</v>
      </c>
      <c r="Q125" s="37" t="e">
        <f t="shared" si="10"/>
        <v>#N/A</v>
      </c>
      <c r="R125" s="37" vm="1178">
        <f t="shared" si="11"/>
        <v>62682</v>
      </c>
      <c r="S125" s="37" t="e">
        <f t="shared" si="12"/>
        <v>#N/A</v>
      </c>
    </row>
    <row r="126" spans="10:19" x14ac:dyDescent="0.25">
      <c r="J126" s="36" t="str" vm="792">
        <f>CUBEMEMBER("ThisWorkbookDataModel","[Indian_Employee_Data].[Employee ID].&amp;[Emp1100]")</f>
        <v>Emp1100</v>
      </c>
      <c r="K126" s="36" t="str" vm="791">
        <f>CUBEMEMBER("ThisWorkbookDataModel",{"[Indian_Employee_Data].[Employee ID].&amp;[Emp1100]","[Indian_Employee_Data].[Insurance tier].&amp;[Bronze]"})</f>
        <v>Bronze</v>
      </c>
      <c r="L126" s="37" vm="1180">
        <f>CUBEVALUE("ThisWorkbookDataModel",$K126,L$29,Slicer_Department)</f>
        <v>47639</v>
      </c>
      <c r="M126" s="37" vm="1179">
        <f>CUBEVALUE("ThisWorkbookDataModel",$K126,M$29,Slicer_Department)</f>
        <v>1500</v>
      </c>
      <c r="N126" s="37" vm="1179">
        <f t="shared" si="7"/>
        <v>1500</v>
      </c>
      <c r="O126" s="37" t="e">
        <f t="shared" si="8"/>
        <v>#N/A</v>
      </c>
      <c r="P126" s="37" t="e">
        <f t="shared" si="9"/>
        <v>#N/A</v>
      </c>
      <c r="Q126" s="37" vm="1180">
        <f t="shared" si="10"/>
        <v>47639</v>
      </c>
      <c r="R126" s="37" t="e">
        <f t="shared" si="11"/>
        <v>#N/A</v>
      </c>
      <c r="S126" s="37" t="e">
        <f t="shared" si="12"/>
        <v>#N/A</v>
      </c>
    </row>
    <row r="127" spans="10:19" x14ac:dyDescent="0.25">
      <c r="J127" s="36" t="str" vm="790">
        <f>CUBEMEMBER("ThisWorkbookDataModel","[Indian_Employee_Data].[Employee ID].&amp;[Emp1101]")</f>
        <v>Emp1101</v>
      </c>
      <c r="K127" s="36" t="str" vm="789">
        <f>CUBEMEMBER("ThisWorkbookDataModel",{"[Indian_Employee_Data].[Employee ID].&amp;[Emp1101]","[Indian_Employee_Data].[Insurance tier].&amp;[Gold]"})</f>
        <v>Gold</v>
      </c>
      <c r="L127" s="37" vm="1182">
        <f>CUBEVALUE("ThisWorkbookDataModel",$K127,L$29,Slicer_Department)</f>
        <v>131686</v>
      </c>
      <c r="M127" s="37" vm="1181">
        <f>CUBEVALUE("ThisWorkbookDataModel",$K127,M$29,Slicer_Department)</f>
        <v>9000</v>
      </c>
      <c r="N127" s="37" t="e">
        <f t="shared" si="7"/>
        <v>#N/A</v>
      </c>
      <c r="O127" s="37" t="e">
        <f t="shared" si="8"/>
        <v>#N/A</v>
      </c>
      <c r="P127" s="37" vm="1181">
        <f t="shared" si="9"/>
        <v>9000</v>
      </c>
      <c r="Q127" s="37" t="e">
        <f t="shared" si="10"/>
        <v>#N/A</v>
      </c>
      <c r="R127" s="37" t="e">
        <f t="shared" si="11"/>
        <v>#N/A</v>
      </c>
      <c r="S127" s="37" vm="1182">
        <f t="shared" si="12"/>
        <v>131686</v>
      </c>
    </row>
    <row r="128" spans="10:19" x14ac:dyDescent="0.25">
      <c r="J128" s="36" t="str" vm="788">
        <f>CUBEMEMBER("ThisWorkbookDataModel","[Indian_Employee_Data].[Employee ID].&amp;[Emp1102]")</f>
        <v>Emp1102</v>
      </c>
      <c r="K128" s="36" t="str" vm="787">
        <f>CUBEMEMBER("ThisWorkbookDataModel",{"[Indian_Employee_Data].[Employee ID].&amp;[Emp1102]","[Indian_Employee_Data].[Insurance tier].&amp;[Silver]"})</f>
        <v>Silver</v>
      </c>
      <c r="L128" s="37" vm="1184">
        <f>CUBEVALUE("ThisWorkbookDataModel",$K128,L$29,Slicer_Department)</f>
        <v>87527</v>
      </c>
      <c r="M128" s="37" vm="1183">
        <f>CUBEVALUE("ThisWorkbookDataModel",$K128,M$29,Slicer_Department)</f>
        <v>2800</v>
      </c>
      <c r="N128" s="37" t="e">
        <f t="shared" si="7"/>
        <v>#N/A</v>
      </c>
      <c r="O128" s="37" vm="1183">
        <f t="shared" si="8"/>
        <v>2800</v>
      </c>
      <c r="P128" s="37" t="e">
        <f t="shared" si="9"/>
        <v>#N/A</v>
      </c>
      <c r="Q128" s="37" t="e">
        <f t="shared" si="10"/>
        <v>#N/A</v>
      </c>
      <c r="R128" s="37" vm="1184">
        <f t="shared" si="11"/>
        <v>87527</v>
      </c>
      <c r="S128" s="37" t="e">
        <f t="shared" si="12"/>
        <v>#N/A</v>
      </c>
    </row>
    <row r="129" spans="10:19" x14ac:dyDescent="0.25">
      <c r="J129" s="36" t="str" vm="786">
        <f>CUBEMEMBER("ThisWorkbookDataModel","[Indian_Employee_Data].[Employee ID].&amp;[Emp1103]")</f>
        <v>Emp1103</v>
      </c>
      <c r="K129" s="36" t="str" vm="785">
        <f>CUBEMEMBER("ThisWorkbookDataModel",{"[Indian_Employee_Data].[Employee ID].&amp;[Emp1103]","[Indian_Employee_Data].[Insurance tier].&amp;[Silver]"})</f>
        <v>Silver</v>
      </c>
      <c r="L129" s="37" vm="1186">
        <f>CUBEVALUE("ThisWorkbookDataModel",$K129,L$29,Slicer_Department)</f>
        <v>112449</v>
      </c>
      <c r="M129" s="37" vm="1185">
        <f>CUBEVALUE("ThisWorkbookDataModel",$K129,M$29,Slicer_Department)</f>
        <v>4200</v>
      </c>
      <c r="N129" s="37" t="e">
        <f t="shared" si="7"/>
        <v>#N/A</v>
      </c>
      <c r="O129" s="37" vm="1185">
        <f t="shared" si="8"/>
        <v>4200</v>
      </c>
      <c r="P129" s="37" t="e">
        <f t="shared" si="9"/>
        <v>#N/A</v>
      </c>
      <c r="Q129" s="37" t="e">
        <f t="shared" si="10"/>
        <v>#N/A</v>
      </c>
      <c r="R129" s="37" vm="1186">
        <f t="shared" si="11"/>
        <v>112449</v>
      </c>
      <c r="S129" s="37" t="e">
        <f t="shared" si="12"/>
        <v>#N/A</v>
      </c>
    </row>
    <row r="130" spans="10:19" x14ac:dyDescent="0.25">
      <c r="J130" s="36" t="str" vm="784">
        <f>CUBEMEMBER("ThisWorkbookDataModel","[Indian_Employee_Data].[Employee ID].&amp;[Emp1104]")</f>
        <v>Emp1104</v>
      </c>
      <c r="K130" s="36" t="str" vm="783">
        <f>CUBEMEMBER("ThisWorkbookDataModel",{"[Indian_Employee_Data].[Employee ID].&amp;[Emp1104]","[Indian_Employee_Data].[Insurance tier].&amp;[Gold]"})</f>
        <v>Gold</v>
      </c>
      <c r="L130" s="37" vm="1188">
        <f>CUBEVALUE("ThisWorkbookDataModel",$K130,L$29,Slicer_Department)</f>
        <v>190345</v>
      </c>
      <c r="M130" s="37" vm="1187">
        <f>CUBEVALUE("ThisWorkbookDataModel",$K130,M$29,Slicer_Department)</f>
        <v>6750</v>
      </c>
      <c r="N130" s="37" t="e">
        <f t="shared" si="7"/>
        <v>#N/A</v>
      </c>
      <c r="O130" s="37" t="e">
        <f t="shared" si="8"/>
        <v>#N/A</v>
      </c>
      <c r="P130" s="37" vm="1187">
        <f t="shared" si="9"/>
        <v>6750</v>
      </c>
      <c r="Q130" s="37" t="e">
        <f t="shared" si="10"/>
        <v>#N/A</v>
      </c>
      <c r="R130" s="37" t="e">
        <f t="shared" si="11"/>
        <v>#N/A</v>
      </c>
      <c r="S130" s="37" vm="1188">
        <f t="shared" si="12"/>
        <v>190345</v>
      </c>
    </row>
    <row r="131" spans="10:19" x14ac:dyDescent="0.25">
      <c r="J131" s="36" t="str" vm="782">
        <f>CUBEMEMBER("ThisWorkbookDataModel","[Indian_Employee_Data].[Employee ID].&amp;[Emp1105]")</f>
        <v>Emp1105</v>
      </c>
      <c r="K131" s="36" t="str" vm="781">
        <f>CUBEMEMBER("ThisWorkbookDataModel",{"[Indian_Employee_Data].[Employee ID].&amp;[Emp1105]","[Indian_Employee_Data].[Insurance tier].&amp;[Silver]"})</f>
        <v>Silver</v>
      </c>
      <c r="L131" s="37" vm="1190">
        <f>CUBEVALUE("ThisWorkbookDataModel",$K131,L$29,Slicer_Department)</f>
        <v>79993</v>
      </c>
      <c r="M131" s="37" vm="1189">
        <f>CUBEVALUE("ThisWorkbookDataModel",$K131,M$29,Slicer_Department)</f>
        <v>2800</v>
      </c>
      <c r="N131" s="37" t="e">
        <f t="shared" si="7"/>
        <v>#N/A</v>
      </c>
      <c r="O131" s="37" vm="1189">
        <f t="shared" si="8"/>
        <v>2800</v>
      </c>
      <c r="P131" s="37" t="e">
        <f t="shared" si="9"/>
        <v>#N/A</v>
      </c>
      <c r="Q131" s="37" t="e">
        <f t="shared" si="10"/>
        <v>#N/A</v>
      </c>
      <c r="R131" s="37" vm="1190">
        <f t="shared" si="11"/>
        <v>79993</v>
      </c>
      <c r="S131" s="37" t="e">
        <f t="shared" si="12"/>
        <v>#N/A</v>
      </c>
    </row>
    <row r="132" spans="10:19" x14ac:dyDescent="0.25">
      <c r="J132" s="36" t="str" vm="780">
        <f>CUBEMEMBER("ThisWorkbookDataModel","[Indian_Employee_Data].[Employee ID].&amp;[Emp1106]")</f>
        <v>Emp1106</v>
      </c>
      <c r="K132" s="36" t="str" vm="779">
        <f>CUBEMEMBER("ThisWorkbookDataModel",{"[Indian_Employee_Data].[Employee ID].&amp;[Emp1106]","[Indian_Employee_Data].[Insurance tier].&amp;[Silver]"})</f>
        <v>Silver</v>
      </c>
      <c r="L132" s="37" vm="1192">
        <f>CUBEVALUE("ThisWorkbookDataModel",$K132,L$29,Slicer_Department)</f>
        <v>99333</v>
      </c>
      <c r="M132" s="37" vm="1191">
        <f>CUBEVALUE("ThisWorkbookDataModel",$K132,M$29,Slicer_Department)</f>
        <v>4200</v>
      </c>
      <c r="N132" s="37" t="e">
        <f t="shared" si="7"/>
        <v>#N/A</v>
      </c>
      <c r="O132" s="37" vm="1191">
        <f t="shared" si="8"/>
        <v>4200</v>
      </c>
      <c r="P132" s="37" t="e">
        <f t="shared" si="9"/>
        <v>#N/A</v>
      </c>
      <c r="Q132" s="37" t="e">
        <f t="shared" si="10"/>
        <v>#N/A</v>
      </c>
      <c r="R132" s="37" vm="1192">
        <f t="shared" si="11"/>
        <v>99333</v>
      </c>
      <c r="S132" s="37" t="e">
        <f t="shared" si="12"/>
        <v>#N/A</v>
      </c>
    </row>
    <row r="133" spans="10:19" x14ac:dyDescent="0.25">
      <c r="J133" s="36" t="str" vm="778">
        <f>CUBEMEMBER("ThisWorkbookDataModel","[Indian_Employee_Data].[Employee ID].&amp;[Emp1107]")</f>
        <v>Emp1107</v>
      </c>
      <c r="K133" s="36" t="str" vm="777">
        <f>CUBEMEMBER("ThisWorkbookDataModel",{"[Indian_Employee_Data].[Employee ID].&amp;[Emp1107]","[Indian_Employee_Data].[Insurance tier].&amp;[Gold]"})</f>
        <v>Gold</v>
      </c>
      <c r="L133" s="37" vm="1194">
        <f>CUBEVALUE("ThisWorkbookDataModel",$K133,L$29,Slicer_Department)</f>
        <v>152988</v>
      </c>
      <c r="M133" s="37" vm="1193">
        <f>CUBEVALUE("ThisWorkbookDataModel",$K133,M$29,Slicer_Department)</f>
        <v>6750</v>
      </c>
      <c r="N133" s="37" t="e">
        <f t="shared" si="7"/>
        <v>#N/A</v>
      </c>
      <c r="O133" s="37" t="e">
        <f t="shared" si="8"/>
        <v>#N/A</v>
      </c>
      <c r="P133" s="37" vm="1193">
        <f t="shared" si="9"/>
        <v>6750</v>
      </c>
      <c r="Q133" s="37" t="e">
        <f t="shared" si="10"/>
        <v>#N/A</v>
      </c>
      <c r="R133" s="37" t="e">
        <f t="shared" si="11"/>
        <v>#N/A</v>
      </c>
      <c r="S133" s="37" vm="1194">
        <f t="shared" si="12"/>
        <v>152988</v>
      </c>
    </row>
    <row r="134" spans="10:19" x14ac:dyDescent="0.25">
      <c r="J134" s="36" t="str" vm="776">
        <f>CUBEMEMBER("ThisWorkbookDataModel","[Indian_Employee_Data].[Employee ID].&amp;[Emp1108]")</f>
        <v>Emp1108</v>
      </c>
      <c r="K134" s="36" t="str" vm="775">
        <f>CUBEMEMBER("ThisWorkbookDataModel",{"[Indian_Employee_Data].[Employee ID].&amp;[Emp1108]","[Indian_Employee_Data].[Insurance tier].&amp;[Silver]"})</f>
        <v>Silver</v>
      </c>
      <c r="L134" s="37" vm="1196">
        <f>CUBEVALUE("ThisWorkbookDataModel",$K134,L$29,Slicer_Department)</f>
        <v>77688</v>
      </c>
      <c r="M134" s="37" vm="1195">
        <f>CUBEVALUE("ThisWorkbookDataModel",$K134,M$29,Slicer_Department)</f>
        <v>2800</v>
      </c>
      <c r="N134" s="37" t="e">
        <f t="shared" si="7"/>
        <v>#N/A</v>
      </c>
      <c r="O134" s="37" vm="1195">
        <f t="shared" si="8"/>
        <v>2800</v>
      </c>
      <c r="P134" s="37" t="e">
        <f t="shared" si="9"/>
        <v>#N/A</v>
      </c>
      <c r="Q134" s="37" t="e">
        <f t="shared" si="10"/>
        <v>#N/A</v>
      </c>
      <c r="R134" s="37" vm="1196">
        <f t="shared" si="11"/>
        <v>77688</v>
      </c>
      <c r="S134" s="37" t="e">
        <f t="shared" si="12"/>
        <v>#N/A</v>
      </c>
    </row>
    <row r="135" spans="10:19" x14ac:dyDescent="0.25">
      <c r="J135" s="36" t="str" vm="774">
        <f>CUBEMEMBER("ThisWorkbookDataModel","[Indian_Employee_Data].[Employee ID].&amp;[Emp1109]")</f>
        <v>Emp1109</v>
      </c>
      <c r="K135" s="36" t="str" vm="773">
        <f>CUBEMEMBER("ThisWorkbookDataModel",{"[Indian_Employee_Data].[Employee ID].&amp;[Emp1109]","[Indian_Employee_Data].[Insurance tier].&amp;[Bronze]"})</f>
        <v>Bronze</v>
      </c>
      <c r="L135" s="37" vm="1198">
        <f>CUBEVALUE("ThisWorkbookDataModel",$K135,L$29,Slicer_Department)</f>
        <v>57606</v>
      </c>
      <c r="M135" s="37" vm="1197">
        <f>CUBEVALUE("ThisWorkbookDataModel",$K135,M$29,Slicer_Department)</f>
        <v>1500</v>
      </c>
      <c r="N135" s="37" vm="1197">
        <f t="shared" si="7"/>
        <v>1500</v>
      </c>
      <c r="O135" s="37" t="e">
        <f t="shared" si="8"/>
        <v>#N/A</v>
      </c>
      <c r="P135" s="37" t="e">
        <f t="shared" si="9"/>
        <v>#N/A</v>
      </c>
      <c r="Q135" s="37" vm="1198">
        <f t="shared" si="10"/>
        <v>57606</v>
      </c>
      <c r="R135" s="37" t="e">
        <f t="shared" si="11"/>
        <v>#N/A</v>
      </c>
      <c r="S135" s="37" t="e">
        <f t="shared" si="12"/>
        <v>#N/A</v>
      </c>
    </row>
    <row r="136" spans="10:19" x14ac:dyDescent="0.25">
      <c r="J136" s="36" t="str" vm="772">
        <f>CUBEMEMBER("ThisWorkbookDataModel","[Indian_Employee_Data].[Employee ID].&amp;[Emp1110]")</f>
        <v>Emp1110</v>
      </c>
      <c r="K136" s="36" t="str" vm="771">
        <f>CUBEMEMBER("ThisWorkbookDataModel",{"[Indian_Employee_Data].[Employee ID].&amp;[Emp1110]","[Indian_Employee_Data].[Insurance tier].&amp;[Silver]"})</f>
        <v>Silver</v>
      </c>
      <c r="L136" s="37" vm="1200">
        <f>CUBEVALUE("ThisWorkbookDataModel",$K136,L$29,Slicer_Department)</f>
        <v>84638</v>
      </c>
      <c r="M136" s="37" vm="1199">
        <f>CUBEVALUE("ThisWorkbookDataModel",$K136,M$29,Slicer_Department)</f>
        <v>2800</v>
      </c>
      <c r="N136" s="37" t="e">
        <f t="shared" si="7"/>
        <v>#N/A</v>
      </c>
      <c r="O136" s="37" vm="1199">
        <f t="shared" si="8"/>
        <v>2800</v>
      </c>
      <c r="P136" s="37" t="e">
        <f t="shared" si="9"/>
        <v>#N/A</v>
      </c>
      <c r="Q136" s="37" t="e">
        <f t="shared" si="10"/>
        <v>#N/A</v>
      </c>
      <c r="R136" s="37" vm="1200">
        <f t="shared" si="11"/>
        <v>84638</v>
      </c>
      <c r="S136" s="37" t="e">
        <f t="shared" si="12"/>
        <v>#N/A</v>
      </c>
    </row>
    <row r="137" spans="10:19" x14ac:dyDescent="0.25">
      <c r="J137" s="36" t="str" vm="770">
        <f>CUBEMEMBER("ThisWorkbookDataModel","[Indian_Employee_Data].[Employee ID].&amp;[Emp1111]")</f>
        <v>Emp1111</v>
      </c>
      <c r="K137" s="36" t="str" vm="769">
        <f>CUBEMEMBER("ThisWorkbookDataModel",{"[Indian_Employee_Data].[Employee ID].&amp;[Emp1111]","[Indian_Employee_Data].[Insurance tier].&amp;[Silver]"})</f>
        <v>Silver</v>
      </c>
      <c r="L137" s="37" vm="1202">
        <f>CUBEVALUE("ThisWorkbookDataModel",$K137,L$29,Slicer_Department)</f>
        <v>69951</v>
      </c>
      <c r="M137" s="37" vm="1201">
        <f>CUBEVALUE("ThisWorkbookDataModel",$K137,M$29,Slicer_Department)</f>
        <v>2800</v>
      </c>
      <c r="N137" s="37" t="e">
        <f t="shared" si="7"/>
        <v>#N/A</v>
      </c>
      <c r="O137" s="37" vm="1201">
        <f t="shared" si="8"/>
        <v>2800</v>
      </c>
      <c r="P137" s="37" t="e">
        <f t="shared" si="9"/>
        <v>#N/A</v>
      </c>
      <c r="Q137" s="37" t="e">
        <f t="shared" si="10"/>
        <v>#N/A</v>
      </c>
      <c r="R137" s="37" vm="1202">
        <f t="shared" si="11"/>
        <v>69951</v>
      </c>
      <c r="S137" s="37" t="e">
        <f t="shared" si="12"/>
        <v>#N/A</v>
      </c>
    </row>
    <row r="138" spans="10:19" x14ac:dyDescent="0.25">
      <c r="J138" s="36" t="str" vm="768">
        <f>CUBEMEMBER("ThisWorkbookDataModel","[Indian_Employee_Data].[Employee ID].&amp;[Emp1112]")</f>
        <v>Emp1112</v>
      </c>
      <c r="K138" s="36" t="str" vm="767">
        <f>CUBEMEMBER("ThisWorkbookDataModel",{"[Indian_Employee_Data].[Employee ID].&amp;[Emp1112]","[Indian_Employee_Data].[Insurance tier].&amp;[Gold]"})</f>
        <v>Gold</v>
      </c>
      <c r="L138" s="37" vm="1204">
        <f>CUBEVALUE("ThisWorkbookDataModel",$K138,L$29,Slicer_Department)</f>
        <v>197974</v>
      </c>
      <c r="M138" s="37" vm="1203">
        <f>CUBEVALUE("ThisWorkbookDataModel",$K138,M$29,Slicer_Department)</f>
        <v>9000</v>
      </c>
      <c r="N138" s="37" t="e">
        <f t="shared" si="7"/>
        <v>#N/A</v>
      </c>
      <c r="O138" s="37" t="e">
        <f t="shared" si="8"/>
        <v>#N/A</v>
      </c>
      <c r="P138" s="37" vm="1203">
        <f t="shared" si="9"/>
        <v>9000</v>
      </c>
      <c r="Q138" s="37" t="e">
        <f t="shared" si="10"/>
        <v>#N/A</v>
      </c>
      <c r="R138" s="37" t="e">
        <f t="shared" si="11"/>
        <v>#N/A</v>
      </c>
      <c r="S138" s="37" vm="1204">
        <f t="shared" si="12"/>
        <v>197974</v>
      </c>
    </row>
    <row r="139" spans="10:19" x14ac:dyDescent="0.25">
      <c r="J139" s="36" t="str" vm="766">
        <f>CUBEMEMBER("ThisWorkbookDataModel","[Indian_Employee_Data].[Employee ID].&amp;[Emp1113]")</f>
        <v>Emp1113</v>
      </c>
      <c r="K139" s="36" t="str" vm="765">
        <f>CUBEMEMBER("ThisWorkbookDataModel",{"[Indian_Employee_Data].[Employee ID].&amp;[Emp1113]","[Indian_Employee_Data].[Insurance tier].&amp;[Gold]"})</f>
        <v>Gold</v>
      </c>
      <c r="L139" s="37" vm="1206">
        <f>CUBEVALUE("ThisWorkbookDataModel",$K139,L$29,Slicer_Department)</f>
        <v>164050</v>
      </c>
      <c r="M139" s="37" vm="1205">
        <f>CUBEVALUE("ThisWorkbookDataModel",$K139,M$29,Slicer_Department)</f>
        <v>6750</v>
      </c>
      <c r="N139" s="37" t="e">
        <f t="shared" si="7"/>
        <v>#N/A</v>
      </c>
      <c r="O139" s="37" t="e">
        <f t="shared" si="8"/>
        <v>#N/A</v>
      </c>
      <c r="P139" s="37" vm="1205">
        <f t="shared" si="9"/>
        <v>6750</v>
      </c>
      <c r="Q139" s="37" t="e">
        <f t="shared" si="10"/>
        <v>#N/A</v>
      </c>
      <c r="R139" s="37" t="e">
        <f t="shared" si="11"/>
        <v>#N/A</v>
      </c>
      <c r="S139" s="37" vm="1206">
        <f t="shared" si="12"/>
        <v>164050</v>
      </c>
    </row>
    <row r="140" spans="10:19" x14ac:dyDescent="0.25">
      <c r="J140" s="36" t="str" vm="764">
        <f>CUBEMEMBER("ThisWorkbookDataModel","[Indian_Employee_Data].[Employee ID].&amp;[Emp1114]")</f>
        <v>Emp1114</v>
      </c>
      <c r="K140" s="36" t="str" vm="763">
        <f>CUBEMEMBER("ThisWorkbookDataModel",{"[Indian_Employee_Data].[Employee ID].&amp;[Emp1114]","[Indian_Employee_Data].[Insurance tier].&amp;[Gold]"})</f>
        <v>Gold</v>
      </c>
      <c r="L140" s="37" vm="1208">
        <f>CUBEVALUE("ThisWorkbookDataModel",$K140,L$29,Slicer_Department)</f>
        <v>131197</v>
      </c>
      <c r="M140" s="37" vm="1207">
        <f>CUBEVALUE("ThisWorkbookDataModel",$K140,M$29,Slicer_Department)</f>
        <v>6750</v>
      </c>
      <c r="N140" s="37" t="e">
        <f t="shared" si="7"/>
        <v>#N/A</v>
      </c>
      <c r="O140" s="37" t="e">
        <f t="shared" si="8"/>
        <v>#N/A</v>
      </c>
      <c r="P140" s="37" vm="1207">
        <f t="shared" si="9"/>
        <v>6750</v>
      </c>
      <c r="Q140" s="37" t="e">
        <f t="shared" si="10"/>
        <v>#N/A</v>
      </c>
      <c r="R140" s="37" t="e">
        <f t="shared" si="11"/>
        <v>#N/A</v>
      </c>
      <c r="S140" s="37" vm="1208">
        <f t="shared" si="12"/>
        <v>131197</v>
      </c>
    </row>
    <row r="141" spans="10:19" x14ac:dyDescent="0.25">
      <c r="J141" s="36" t="str" vm="762">
        <f>CUBEMEMBER("ThisWorkbookDataModel","[Indian_Employee_Data].[Employee ID].&amp;[Emp1115]")</f>
        <v>Emp1115</v>
      </c>
      <c r="K141" s="36" t="str" vm="761">
        <f>CUBEMEMBER("ThisWorkbookDataModel",{"[Indian_Employee_Data].[Employee ID].&amp;[Emp1115]","[Indian_Employee_Data].[Insurance tier].&amp;[Gold]"})</f>
        <v>Gold</v>
      </c>
      <c r="L141" s="37" vm="1210">
        <f>CUBEVALUE("ThisWorkbookDataModel",$K141,L$29,Slicer_Department)</f>
        <v>179652</v>
      </c>
      <c r="M141" s="37" vm="1209">
        <f>CUBEVALUE("ThisWorkbookDataModel",$K141,M$29,Slicer_Department)</f>
        <v>9000</v>
      </c>
      <c r="N141" s="37" t="e">
        <f t="shared" si="7"/>
        <v>#N/A</v>
      </c>
      <c r="O141" s="37" t="e">
        <f t="shared" si="8"/>
        <v>#N/A</v>
      </c>
      <c r="P141" s="37" vm="1209">
        <f t="shared" si="9"/>
        <v>9000</v>
      </c>
      <c r="Q141" s="37" t="e">
        <f t="shared" si="10"/>
        <v>#N/A</v>
      </c>
      <c r="R141" s="37" t="e">
        <f t="shared" si="11"/>
        <v>#N/A</v>
      </c>
      <c r="S141" s="37" vm="1210">
        <f t="shared" si="12"/>
        <v>179652</v>
      </c>
    </row>
    <row r="142" spans="10:19" x14ac:dyDescent="0.25">
      <c r="J142" s="36" t="str" vm="760">
        <f>CUBEMEMBER("ThisWorkbookDataModel","[Indian_Employee_Data].[Employee ID].&amp;[Emp1116]")</f>
        <v>Emp1116</v>
      </c>
      <c r="K142" s="36" t="str" vm="759">
        <f>CUBEMEMBER("ThisWorkbookDataModel",{"[Indian_Employee_Data].[Employee ID].&amp;[Emp1116]","[Indian_Employee_Data].[Insurance tier].&amp;[Gold]"})</f>
        <v>Gold</v>
      </c>
      <c r="L142" s="37" vm="1212">
        <f>CUBEVALUE("ThisWorkbookDataModel",$K142,L$29,Slicer_Department)</f>
        <v>163059</v>
      </c>
      <c r="M142" s="37" vm="1211">
        <f>CUBEVALUE("ThisWorkbookDataModel",$K142,M$29,Slicer_Department)</f>
        <v>6750</v>
      </c>
      <c r="N142" s="37" t="e">
        <f t="shared" si="7"/>
        <v>#N/A</v>
      </c>
      <c r="O142" s="37" t="e">
        <f t="shared" si="8"/>
        <v>#N/A</v>
      </c>
      <c r="P142" s="37" vm="1211">
        <f t="shared" si="9"/>
        <v>6750</v>
      </c>
      <c r="Q142" s="37" t="e">
        <f t="shared" si="10"/>
        <v>#N/A</v>
      </c>
      <c r="R142" s="37" t="e">
        <f t="shared" si="11"/>
        <v>#N/A</v>
      </c>
      <c r="S142" s="37" vm="1212">
        <f t="shared" si="12"/>
        <v>163059</v>
      </c>
    </row>
    <row r="143" spans="10:19" x14ac:dyDescent="0.25">
      <c r="J143" s="36" t="str" vm="758">
        <f>CUBEMEMBER("ThisWorkbookDataModel","[Indian_Employee_Data].[Employee ID].&amp;[Emp1117]")</f>
        <v>Emp1117</v>
      </c>
      <c r="K143" s="36" t="str" vm="757">
        <f>CUBEMEMBER("ThisWorkbookDataModel",{"[Indian_Employee_Data].[Employee ID].&amp;[Emp1117]","[Indian_Employee_Data].[Insurance tier].&amp;[Silver]"})</f>
        <v>Silver</v>
      </c>
      <c r="L143" s="37" vm="1214">
        <f>CUBEVALUE("ThisWorkbookDataModel",$K143,L$29,Slicer_Department)</f>
        <v>72977</v>
      </c>
      <c r="M143" s="37" vm="1213">
        <f>CUBEVALUE("ThisWorkbookDataModel",$K143,M$29,Slicer_Department)</f>
        <v>2800</v>
      </c>
      <c r="N143" s="37" t="e">
        <f t="shared" si="7"/>
        <v>#N/A</v>
      </c>
      <c r="O143" s="37" vm="1213">
        <f t="shared" si="8"/>
        <v>2800</v>
      </c>
      <c r="P143" s="37" t="e">
        <f t="shared" si="9"/>
        <v>#N/A</v>
      </c>
      <c r="Q143" s="37" t="e">
        <f t="shared" si="10"/>
        <v>#N/A</v>
      </c>
      <c r="R143" s="37" vm="1214">
        <f t="shared" si="11"/>
        <v>72977</v>
      </c>
      <c r="S143" s="37" t="e">
        <f t="shared" si="12"/>
        <v>#N/A</v>
      </c>
    </row>
    <row r="144" spans="10:19" x14ac:dyDescent="0.25">
      <c r="J144" s="36" t="str" vm="756">
        <f>CUBEMEMBER("ThisWorkbookDataModel","[Indian_Employee_Data].[Employee ID].&amp;[Emp1118]")</f>
        <v>Emp1118</v>
      </c>
      <c r="K144" s="36" t="str" vm="755">
        <f>CUBEMEMBER("ThisWorkbookDataModel",{"[Indian_Employee_Data].[Employee ID].&amp;[Emp1118]","[Indian_Employee_Data].[Insurance tier].&amp;[Gold]"})</f>
        <v>Gold</v>
      </c>
      <c r="L144" s="37" vm="1216">
        <f>CUBEVALUE("ThisWorkbookDataModel",$K144,L$29,Slicer_Department)</f>
        <v>185684</v>
      </c>
      <c r="M144" s="37" vm="1215">
        <f>CUBEVALUE("ThisWorkbookDataModel",$K144,M$29,Slicer_Department)</f>
        <v>9000</v>
      </c>
      <c r="N144" s="37" t="e">
        <f t="shared" si="7"/>
        <v>#N/A</v>
      </c>
      <c r="O144" s="37" t="e">
        <f t="shared" si="8"/>
        <v>#N/A</v>
      </c>
      <c r="P144" s="37" vm="1215">
        <f t="shared" si="9"/>
        <v>9000</v>
      </c>
      <c r="Q144" s="37" t="e">
        <f t="shared" si="10"/>
        <v>#N/A</v>
      </c>
      <c r="R144" s="37" t="e">
        <f t="shared" si="11"/>
        <v>#N/A</v>
      </c>
      <c r="S144" s="37" vm="1216">
        <f t="shared" si="12"/>
        <v>185684</v>
      </c>
    </row>
    <row r="145" spans="10:19" x14ac:dyDescent="0.25">
      <c r="J145" s="36" t="str" vm="754">
        <f>CUBEMEMBER("ThisWorkbookDataModel","[Indian_Employee_Data].[Employee ID].&amp;[Emp1119]")</f>
        <v>Emp1119</v>
      </c>
      <c r="K145" s="36" t="str" vm="753">
        <f>CUBEMEMBER("ThisWorkbookDataModel",{"[Indian_Employee_Data].[Employee ID].&amp;[Emp1119]","[Indian_Employee_Data].[Insurance tier].&amp;[Silver]"})</f>
        <v>Silver</v>
      </c>
      <c r="L145" s="37" vm="1218">
        <f>CUBEVALUE("ThisWorkbookDataModel",$K145,L$29,Slicer_Department)</f>
        <v>116825</v>
      </c>
      <c r="M145" s="37" vm="1217">
        <f>CUBEVALUE("ThisWorkbookDataModel",$K145,M$29,Slicer_Department)</f>
        <v>2800</v>
      </c>
      <c r="N145" s="37" t="e">
        <f t="shared" si="7"/>
        <v>#N/A</v>
      </c>
      <c r="O145" s="37" vm="1217">
        <f t="shared" si="8"/>
        <v>2800</v>
      </c>
      <c r="P145" s="37" t="e">
        <f t="shared" si="9"/>
        <v>#N/A</v>
      </c>
      <c r="Q145" s="37" t="e">
        <f t="shared" si="10"/>
        <v>#N/A</v>
      </c>
      <c r="R145" s="37" vm="1218">
        <f t="shared" si="11"/>
        <v>116825</v>
      </c>
      <c r="S145" s="37" t="e">
        <f t="shared" si="12"/>
        <v>#N/A</v>
      </c>
    </row>
    <row r="146" spans="10:19" x14ac:dyDescent="0.25">
      <c r="J146" s="36" t="str" vm="752">
        <f>CUBEMEMBER("ThisWorkbookDataModel","[Indian_Employee_Data].[Employee ID].&amp;[Emp1120]")</f>
        <v>Emp1120</v>
      </c>
      <c r="K146" s="36" t="str" vm="751">
        <f>CUBEMEMBER("ThisWorkbookDataModel",{"[Indian_Employee_Data].[Employee ID].&amp;[Emp1120]","[Indian_Employee_Data].[Insurance tier].&amp;[Gold]"})</f>
        <v>Gold</v>
      </c>
      <c r="L146" s="37" vm="1220">
        <f>CUBEVALUE("ThisWorkbookDataModel",$K146,L$29,Slicer_Department)</f>
        <v>163898</v>
      </c>
      <c r="M146" s="37" vm="1219">
        <f>CUBEVALUE("ThisWorkbookDataModel",$K146,M$29,Slicer_Department)</f>
        <v>9000</v>
      </c>
      <c r="N146" s="37" t="e">
        <f t="shared" si="7"/>
        <v>#N/A</v>
      </c>
      <c r="O146" s="37" t="e">
        <f t="shared" si="8"/>
        <v>#N/A</v>
      </c>
      <c r="P146" s="37" vm="1219">
        <f t="shared" si="9"/>
        <v>9000</v>
      </c>
      <c r="Q146" s="37" t="e">
        <f t="shared" si="10"/>
        <v>#N/A</v>
      </c>
      <c r="R146" s="37" t="e">
        <f t="shared" si="11"/>
        <v>#N/A</v>
      </c>
      <c r="S146" s="37" vm="1220">
        <f t="shared" si="12"/>
        <v>163898</v>
      </c>
    </row>
    <row r="147" spans="10:19" x14ac:dyDescent="0.25">
      <c r="J147" s="36" t="str" vm="750">
        <f>CUBEMEMBER("ThisWorkbookDataModel","[Indian_Employee_Data].[Employee ID].&amp;[Emp1121]")</f>
        <v>Emp1121</v>
      </c>
      <c r="K147" s="36" t="str" vm="749">
        <f>CUBEMEMBER("ThisWorkbookDataModel",{"[Indian_Employee_Data].[Employee ID].&amp;[Emp1121]","[Indian_Employee_Data].[Insurance tier].&amp;[Gold]"})</f>
        <v>Gold</v>
      </c>
      <c r="L147" s="37" vm="1222">
        <f>CUBEVALUE("ThisWorkbookDataModel",$K147,L$29,Slicer_Department)</f>
        <v>186750</v>
      </c>
      <c r="M147" s="37" vm="1221">
        <f>CUBEVALUE("ThisWorkbookDataModel",$K147,M$29,Slicer_Department)</f>
        <v>6750</v>
      </c>
      <c r="N147" s="37" t="e">
        <f t="shared" si="7"/>
        <v>#N/A</v>
      </c>
      <c r="O147" s="37" t="e">
        <f t="shared" si="8"/>
        <v>#N/A</v>
      </c>
      <c r="P147" s="37" vm="1221">
        <f t="shared" si="9"/>
        <v>6750</v>
      </c>
      <c r="Q147" s="37" t="e">
        <f t="shared" si="10"/>
        <v>#N/A</v>
      </c>
      <c r="R147" s="37" t="e">
        <f t="shared" si="11"/>
        <v>#N/A</v>
      </c>
      <c r="S147" s="37" vm="1222">
        <f t="shared" si="12"/>
        <v>186750</v>
      </c>
    </row>
    <row r="148" spans="10:19" x14ac:dyDescent="0.25">
      <c r="J148" s="36" t="str" vm="748">
        <f>CUBEMEMBER("ThisWorkbookDataModel","[Indian_Employee_Data].[Employee ID].&amp;[Emp1122]")</f>
        <v>Emp1122</v>
      </c>
      <c r="K148" s="36" t="str" vm="747">
        <f>CUBEMEMBER("ThisWorkbookDataModel",{"[Indian_Employee_Data].[Employee ID].&amp;[Emp1122]","[Indian_Employee_Data].[Insurance tier].&amp;[Silver]"})</f>
        <v>Silver</v>
      </c>
      <c r="L148" s="37" vm="1224">
        <f>CUBEVALUE("ThisWorkbookDataModel",$K148,L$29,Slicer_Department)</f>
        <v>87960</v>
      </c>
      <c r="M148" s="37" vm="1223">
        <f>CUBEVALUE("ThisWorkbookDataModel",$K148,M$29,Slicer_Department)</f>
        <v>2800</v>
      </c>
      <c r="N148" s="37" t="e">
        <f t="shared" si="7"/>
        <v>#N/A</v>
      </c>
      <c r="O148" s="37" vm="1223">
        <f t="shared" si="8"/>
        <v>2800</v>
      </c>
      <c r="P148" s="37" t="e">
        <f t="shared" si="9"/>
        <v>#N/A</v>
      </c>
      <c r="Q148" s="37" t="e">
        <f t="shared" si="10"/>
        <v>#N/A</v>
      </c>
      <c r="R148" s="37" vm="1224">
        <f t="shared" si="11"/>
        <v>87960</v>
      </c>
      <c r="S148" s="37" t="e">
        <f t="shared" si="12"/>
        <v>#N/A</v>
      </c>
    </row>
    <row r="149" spans="10:19" x14ac:dyDescent="0.25">
      <c r="J149" s="36" t="str" vm="746">
        <f>CUBEMEMBER("ThisWorkbookDataModel","[Indian_Employee_Data].[Employee ID].&amp;[Emp1123]")</f>
        <v>Emp1123</v>
      </c>
      <c r="K149" s="36" t="str" vm="745">
        <f>CUBEMEMBER("ThisWorkbookDataModel",{"[Indian_Employee_Data].[Employee ID].&amp;[Emp1123]","[Indian_Employee_Data].[Insurance tier].&amp;[Silver]"})</f>
        <v>Silver</v>
      </c>
      <c r="L149" s="37" vm="1226">
        <f>CUBEVALUE("ThisWorkbookDataModel",$K149,L$29,Slicer_Department)</f>
        <v>63007</v>
      </c>
      <c r="M149" s="37" vm="1225">
        <f>CUBEVALUE("ThisWorkbookDataModel",$K149,M$29,Slicer_Department)</f>
        <v>4200</v>
      </c>
      <c r="N149" s="37" t="e">
        <f t="shared" si="7"/>
        <v>#N/A</v>
      </c>
      <c r="O149" s="37" vm="1225">
        <f t="shared" si="8"/>
        <v>4200</v>
      </c>
      <c r="P149" s="37" t="e">
        <f t="shared" si="9"/>
        <v>#N/A</v>
      </c>
      <c r="Q149" s="37" t="e">
        <f t="shared" si="10"/>
        <v>#N/A</v>
      </c>
      <c r="R149" s="37" vm="1226">
        <f t="shared" si="11"/>
        <v>63007</v>
      </c>
      <c r="S149" s="37" t="e">
        <f t="shared" si="12"/>
        <v>#N/A</v>
      </c>
    </row>
    <row r="150" spans="10:19" x14ac:dyDescent="0.25">
      <c r="J150" s="36" t="str" vm="744">
        <f>CUBEMEMBER("ThisWorkbookDataModel","[Indian_Employee_Data].[Employee ID].&amp;[Emp1124]")</f>
        <v>Emp1124</v>
      </c>
      <c r="K150" s="36" t="str" vm="743">
        <f>CUBEMEMBER("ThisWorkbookDataModel",{"[Indian_Employee_Data].[Employee ID].&amp;[Emp1124]","[Indian_Employee_Data].[Insurance tier].&amp;[Silver]"})</f>
        <v>Silver</v>
      </c>
      <c r="L150" s="37" vm="1228">
        <f>CUBEVALUE("ThisWorkbookDataModel",$K150,L$29,Slicer_Department)</f>
        <v>77592</v>
      </c>
      <c r="M150" s="37" vm="1227">
        <f>CUBEVALUE("ThisWorkbookDataModel",$K150,M$29,Slicer_Department)</f>
        <v>4200</v>
      </c>
      <c r="N150" s="37" t="e">
        <f t="shared" si="7"/>
        <v>#N/A</v>
      </c>
      <c r="O150" s="37" vm="1227">
        <f t="shared" si="8"/>
        <v>4200</v>
      </c>
      <c r="P150" s="37" t="e">
        <f t="shared" si="9"/>
        <v>#N/A</v>
      </c>
      <c r="Q150" s="37" t="e">
        <f t="shared" si="10"/>
        <v>#N/A</v>
      </c>
      <c r="R150" s="37" vm="1228">
        <f t="shared" si="11"/>
        <v>77592</v>
      </c>
      <c r="S150" s="37" t="e">
        <f t="shared" si="12"/>
        <v>#N/A</v>
      </c>
    </row>
    <row r="151" spans="10:19" x14ac:dyDescent="0.25">
      <c r="J151" s="36" t="str" vm="742">
        <f>CUBEMEMBER("ThisWorkbookDataModel","[Indian_Employee_Data].[Employee ID].&amp;[Emp1125]")</f>
        <v>Emp1125</v>
      </c>
      <c r="K151" s="36" t="str" vm="741">
        <f>CUBEMEMBER("ThisWorkbookDataModel",{"[Indian_Employee_Data].[Employee ID].&amp;[Emp1125]","[Indian_Employee_Data].[Insurance tier].&amp;[Silver]"})</f>
        <v>Silver</v>
      </c>
      <c r="L151" s="37" vm="1230">
        <f>CUBEVALUE("ThisWorkbookDataModel",$K151,L$29,Slicer_Department)</f>
        <v>101486</v>
      </c>
      <c r="M151" s="37" vm="1229">
        <f>CUBEVALUE("ThisWorkbookDataModel",$K151,M$29,Slicer_Department)</f>
        <v>2800</v>
      </c>
      <c r="N151" s="37" t="e">
        <f t="shared" si="7"/>
        <v>#N/A</v>
      </c>
      <c r="O151" s="37" vm="1229">
        <f t="shared" si="8"/>
        <v>2800</v>
      </c>
      <c r="P151" s="37" t="e">
        <f t="shared" si="9"/>
        <v>#N/A</v>
      </c>
      <c r="Q151" s="37" t="e">
        <f t="shared" si="10"/>
        <v>#N/A</v>
      </c>
      <c r="R151" s="37" vm="1230">
        <f t="shared" si="11"/>
        <v>101486</v>
      </c>
      <c r="S151" s="37" t="e">
        <f t="shared" si="12"/>
        <v>#N/A</v>
      </c>
    </row>
    <row r="152" spans="10:19" x14ac:dyDescent="0.25">
      <c r="J152" s="36" t="str" vm="740">
        <f>CUBEMEMBER("ThisWorkbookDataModel","[Indian_Employee_Data].[Employee ID].&amp;[Emp1126]")</f>
        <v>Emp1126</v>
      </c>
      <c r="K152" s="36" t="str" vm="739">
        <f>CUBEMEMBER("ThisWorkbookDataModel",{"[Indian_Employee_Data].[Employee ID].&amp;[Emp1126]","[Indian_Employee_Data].[Insurance tier].&amp;[Gold]"})</f>
        <v>Gold</v>
      </c>
      <c r="L152" s="37" vm="1232">
        <f>CUBEVALUE("ThisWorkbookDataModel",$K152,L$29,Slicer_Department)</f>
        <v>166295</v>
      </c>
      <c r="M152" s="37" vm="1231">
        <f>CUBEVALUE("ThisWorkbookDataModel",$K152,M$29,Slicer_Department)</f>
        <v>9000</v>
      </c>
      <c r="N152" s="37" t="e">
        <f t="shared" si="7"/>
        <v>#N/A</v>
      </c>
      <c r="O152" s="37" t="e">
        <f t="shared" si="8"/>
        <v>#N/A</v>
      </c>
      <c r="P152" s="37" vm="1231">
        <f t="shared" si="9"/>
        <v>9000</v>
      </c>
      <c r="Q152" s="37" t="e">
        <f t="shared" si="10"/>
        <v>#N/A</v>
      </c>
      <c r="R152" s="37" t="e">
        <f t="shared" si="11"/>
        <v>#N/A</v>
      </c>
      <c r="S152" s="37" vm="1232">
        <f t="shared" si="12"/>
        <v>166295</v>
      </c>
    </row>
    <row r="153" spans="10:19" x14ac:dyDescent="0.25">
      <c r="J153" s="36" t="str" vm="738">
        <f>CUBEMEMBER("ThisWorkbookDataModel","[Indian_Employee_Data].[Employee ID].&amp;[Emp1127]")</f>
        <v>Emp1127</v>
      </c>
      <c r="K153" s="36" t="str" vm="737">
        <f>CUBEMEMBER("ThisWorkbookDataModel",{"[Indian_Employee_Data].[Employee ID].&amp;[Emp1127]","[Indian_Employee_Data].[Insurance tier].&amp;[Gold]"})</f>
        <v>Gold</v>
      </c>
      <c r="L153" s="37" vm="1234">
        <f>CUBEVALUE("ThisWorkbookDataModel",$K153,L$29,Slicer_Department)</f>
        <v>176775</v>
      </c>
      <c r="M153" s="37" vm="1233">
        <f>CUBEVALUE("ThisWorkbookDataModel",$K153,M$29,Slicer_Department)</f>
        <v>6750</v>
      </c>
      <c r="N153" s="37" t="e">
        <f t="shared" si="7"/>
        <v>#N/A</v>
      </c>
      <c r="O153" s="37" t="e">
        <f t="shared" si="8"/>
        <v>#N/A</v>
      </c>
      <c r="P153" s="37" vm="1233">
        <f t="shared" si="9"/>
        <v>6750</v>
      </c>
      <c r="Q153" s="37" t="e">
        <f t="shared" si="10"/>
        <v>#N/A</v>
      </c>
      <c r="R153" s="37" t="e">
        <f t="shared" si="11"/>
        <v>#N/A</v>
      </c>
      <c r="S153" s="37" vm="1234">
        <f t="shared" si="12"/>
        <v>176775</v>
      </c>
    </row>
    <row r="154" spans="10:19" x14ac:dyDescent="0.25">
      <c r="J154" s="36" t="str" vm="736">
        <f>CUBEMEMBER("ThisWorkbookDataModel","[Indian_Employee_Data].[Employee ID].&amp;[Emp1128]")</f>
        <v>Emp1128</v>
      </c>
      <c r="K154" s="36" t="str" vm="735">
        <f>CUBEMEMBER("ThisWorkbookDataModel",{"[Indian_Employee_Data].[Employee ID].&amp;[Emp1128]","[Indian_Employee_Data].[Insurance tier].&amp;[Bronze]"})</f>
        <v>Bronze</v>
      </c>
      <c r="L154" s="37" vm="1236">
        <f>CUBEVALUE("ThisWorkbookDataModel",$K154,L$29,Slicer_Department)</f>
        <v>38296</v>
      </c>
      <c r="M154" s="37" vm="1235">
        <f>CUBEVALUE("ThisWorkbookDataModel",$K154,M$29,Slicer_Department)</f>
        <v>1500</v>
      </c>
      <c r="N154" s="37" vm="1235">
        <f t="shared" si="7"/>
        <v>1500</v>
      </c>
      <c r="O154" s="37" t="e">
        <f t="shared" si="8"/>
        <v>#N/A</v>
      </c>
      <c r="P154" s="37" t="e">
        <f t="shared" si="9"/>
        <v>#N/A</v>
      </c>
      <c r="Q154" s="37" vm="1236">
        <f t="shared" si="10"/>
        <v>38296</v>
      </c>
      <c r="R154" s="37" t="e">
        <f t="shared" si="11"/>
        <v>#N/A</v>
      </c>
      <c r="S154" s="37" t="e">
        <f t="shared" si="12"/>
        <v>#N/A</v>
      </c>
    </row>
    <row r="155" spans="10:19" x14ac:dyDescent="0.25">
      <c r="J155" s="36" t="str" vm="734">
        <f>CUBEMEMBER("ThisWorkbookDataModel","[Indian_Employee_Data].[Employee ID].&amp;[Emp1129]")</f>
        <v>Emp1129</v>
      </c>
      <c r="K155" s="36" t="str" vm="733">
        <f>CUBEMEMBER("ThisWorkbookDataModel",{"[Indian_Employee_Data].[Employee ID].&amp;[Emp1129]","[Indian_Employee_Data].[Insurance tier].&amp;[Silver]"})</f>
        <v>Silver</v>
      </c>
      <c r="L155" s="37" vm="1238">
        <f>CUBEVALUE("ThisWorkbookDataModel",$K155,L$29,Slicer_Department)</f>
        <v>112754</v>
      </c>
      <c r="M155" s="37" vm="1237">
        <f>CUBEVALUE("ThisWorkbookDataModel",$K155,M$29,Slicer_Department)</f>
        <v>2800</v>
      </c>
      <c r="N155" s="37" t="e">
        <f t="shared" si="7"/>
        <v>#N/A</v>
      </c>
      <c r="O155" s="37" vm="1237">
        <f t="shared" si="8"/>
        <v>2800</v>
      </c>
      <c r="P155" s="37" t="e">
        <f t="shared" si="9"/>
        <v>#N/A</v>
      </c>
      <c r="Q155" s="37" t="e">
        <f t="shared" si="10"/>
        <v>#N/A</v>
      </c>
      <c r="R155" s="37" vm="1238">
        <f t="shared" si="11"/>
        <v>112754</v>
      </c>
      <c r="S155" s="37" t="e">
        <f t="shared" si="12"/>
        <v>#N/A</v>
      </c>
    </row>
    <row r="156" spans="10:19" x14ac:dyDescent="0.25">
      <c r="J156" s="36" t="str" vm="732">
        <f>CUBEMEMBER("ThisWorkbookDataModel","[Indian_Employee_Data].[Employee ID].&amp;[Emp1130]")</f>
        <v>Emp1130</v>
      </c>
      <c r="K156" s="36" t="str" vm="731">
        <f>CUBEMEMBER("ThisWorkbookDataModel",{"[Indian_Employee_Data].[Employee ID].&amp;[Emp1130]","[Indian_Employee_Data].[Insurance tier].&amp;[Silver]"})</f>
        <v>Silver</v>
      </c>
      <c r="L156" s="37" vm="1240">
        <f>CUBEVALUE("ThisWorkbookDataModel",$K156,L$29,Slicer_Department)</f>
        <v>100234</v>
      </c>
      <c r="M156" s="37" vm="1239">
        <f>CUBEVALUE("ThisWorkbookDataModel",$K156,M$29,Slicer_Department)</f>
        <v>2800</v>
      </c>
      <c r="N156" s="37" t="e">
        <f t="shared" si="7"/>
        <v>#N/A</v>
      </c>
      <c r="O156" s="37" vm="1239">
        <f t="shared" si="8"/>
        <v>2800</v>
      </c>
      <c r="P156" s="37" t="e">
        <f t="shared" si="9"/>
        <v>#N/A</v>
      </c>
      <c r="Q156" s="37" t="e">
        <f t="shared" si="10"/>
        <v>#N/A</v>
      </c>
      <c r="R156" s="37" vm="1240">
        <f t="shared" si="11"/>
        <v>100234</v>
      </c>
      <c r="S156" s="37" t="e">
        <f t="shared" si="12"/>
        <v>#N/A</v>
      </c>
    </row>
    <row r="157" spans="10:19" x14ac:dyDescent="0.25">
      <c r="J157" s="36" t="str" vm="730">
        <f>CUBEMEMBER("ThisWorkbookDataModel","[Indian_Employee_Data].[Employee ID].&amp;[Emp1131]")</f>
        <v>Emp1131</v>
      </c>
      <c r="K157" s="36" t="str" vm="729">
        <f>CUBEMEMBER("ThisWorkbookDataModel",{"[Indian_Employee_Data].[Employee ID].&amp;[Emp1131]","[Indian_Employee_Data].[Insurance tier].&amp;[Silver]"})</f>
        <v>Silver</v>
      </c>
      <c r="L157" s="37" vm="1242">
        <f>CUBEVALUE("ThisWorkbookDataModel",$K157,L$29,Slicer_Department)</f>
        <v>76942</v>
      </c>
      <c r="M157" s="37" vm="1241">
        <f>CUBEVALUE("ThisWorkbookDataModel",$K157,M$29,Slicer_Department)</f>
        <v>2800</v>
      </c>
      <c r="N157" s="37" t="e">
        <f t="shared" si="7"/>
        <v>#N/A</v>
      </c>
      <c r="O157" s="37" vm="1241">
        <f t="shared" si="8"/>
        <v>2800</v>
      </c>
      <c r="P157" s="37" t="e">
        <f t="shared" si="9"/>
        <v>#N/A</v>
      </c>
      <c r="Q157" s="37" t="e">
        <f t="shared" si="10"/>
        <v>#N/A</v>
      </c>
      <c r="R157" s="37" vm="1242">
        <f t="shared" si="11"/>
        <v>76942</v>
      </c>
      <c r="S157" s="37" t="e">
        <f t="shared" si="12"/>
        <v>#N/A</v>
      </c>
    </row>
    <row r="158" spans="10:19" x14ac:dyDescent="0.25">
      <c r="J158" s="36" t="str" vm="728">
        <f>CUBEMEMBER("ThisWorkbookDataModel","[Indian_Employee_Data].[Employee ID].&amp;[Emp1132]")</f>
        <v>Emp1132</v>
      </c>
      <c r="K158" s="36" t="str" vm="727">
        <f>CUBEMEMBER("ThisWorkbookDataModel",{"[Indian_Employee_Data].[Employee ID].&amp;[Emp1132]","[Indian_Employee_Data].[Insurance tier].&amp;[Silver]"})</f>
        <v>Silver</v>
      </c>
      <c r="L158" s="37" vm="1244">
        <f>CUBEVALUE("ThisWorkbookDataModel",$K158,L$29,Slicer_Department)</f>
        <v>64448</v>
      </c>
      <c r="M158" s="37" vm="1243">
        <f>CUBEVALUE("ThisWorkbookDataModel",$K158,M$29,Slicer_Department)</f>
        <v>4200</v>
      </c>
      <c r="N158" s="37" t="e">
        <f t="shared" ref="N158:N221" si="13">IF(AND($K158="Bronze",ISNUMBER($L158),ISNUMBER($M158)),$M158,NA())</f>
        <v>#N/A</v>
      </c>
      <c r="O158" s="37" vm="1243">
        <f t="shared" ref="O158:O221" si="14">IF(AND($K158="Silver",ISNUMBER($L158),ISNUMBER($M158)),$M158,NA())</f>
        <v>4200</v>
      </c>
      <c r="P158" s="37" t="e">
        <f t="shared" ref="P158:P221" si="15">IF(AND($K158="Gold",ISNUMBER($L158),ISNUMBER($M158)),$M158,NA())</f>
        <v>#N/A</v>
      </c>
      <c r="Q158" s="37" t="e">
        <f t="shared" ref="Q158:Q221" si="16">IF(AND($K158="Bronze",ISNUMBER($L158),ISNUMBER($N158)),$L158,NA())</f>
        <v>#N/A</v>
      </c>
      <c r="R158" s="37" vm="1244">
        <f t="shared" ref="R158:R221" si="17">IF(AND($K158="Silver",ISNUMBER($L158),ISNUMBER($O158)),$L158,NA())</f>
        <v>64448</v>
      </c>
      <c r="S158" s="37" t="e">
        <f t="shared" ref="S158:S221" si="18">IF(AND($K158="Gold",ISNUMBER($L158),ISNUMBER($P158)),$L158,NA())</f>
        <v>#N/A</v>
      </c>
    </row>
    <row r="159" spans="10:19" x14ac:dyDescent="0.25">
      <c r="J159" s="36" t="str" vm="726">
        <f>CUBEMEMBER("ThisWorkbookDataModel","[Indian_Employee_Data].[Employee ID].&amp;[Emp1133]")</f>
        <v>Emp1133</v>
      </c>
      <c r="K159" s="36" t="str" vm="725">
        <f>CUBEMEMBER("ThisWorkbookDataModel",{"[Indian_Employee_Data].[Employee ID].&amp;[Emp1133]","[Indian_Employee_Data].[Insurance tier].&amp;[Silver]"})</f>
        <v>Silver</v>
      </c>
      <c r="L159" s="37" vm="1246">
        <f>CUBEVALUE("ThisWorkbookDataModel",$K159,L$29,Slicer_Department)</f>
        <v>90307</v>
      </c>
      <c r="M159" s="37" vm="1245">
        <f>CUBEVALUE("ThisWorkbookDataModel",$K159,M$29,Slicer_Department)</f>
        <v>4200</v>
      </c>
      <c r="N159" s="37" t="e">
        <f t="shared" si="13"/>
        <v>#N/A</v>
      </c>
      <c r="O159" s="37" vm="1245">
        <f t="shared" si="14"/>
        <v>4200</v>
      </c>
      <c r="P159" s="37" t="e">
        <f t="shared" si="15"/>
        <v>#N/A</v>
      </c>
      <c r="Q159" s="37" t="e">
        <f t="shared" si="16"/>
        <v>#N/A</v>
      </c>
      <c r="R159" s="37" vm="1246">
        <f t="shared" si="17"/>
        <v>90307</v>
      </c>
      <c r="S159" s="37" t="e">
        <f t="shared" si="18"/>
        <v>#N/A</v>
      </c>
    </row>
    <row r="160" spans="10:19" x14ac:dyDescent="0.25">
      <c r="J160" s="36" t="str" vm="724">
        <f>CUBEMEMBER("ThisWorkbookDataModel","[Indian_Employee_Data].[Employee ID].&amp;[Emp1134]")</f>
        <v>Emp1134</v>
      </c>
      <c r="K160" s="36" t="str" vm="723">
        <f>CUBEMEMBER("ThisWorkbookDataModel",{"[Indian_Employee_Data].[Employee ID].&amp;[Emp1134]","[Indian_Employee_Data].[Insurance tier].&amp;[Gold]"})</f>
        <v>Gold</v>
      </c>
      <c r="L160" s="37" vm="1248">
        <f>CUBEVALUE("ThisWorkbookDataModel",$K160,L$29,Slicer_Department)</f>
        <v>203117</v>
      </c>
      <c r="M160" s="37" vm="1247">
        <f>CUBEVALUE("ThisWorkbookDataModel",$K160,M$29,Slicer_Department)</f>
        <v>6750</v>
      </c>
      <c r="N160" s="37" t="e">
        <f t="shared" si="13"/>
        <v>#N/A</v>
      </c>
      <c r="O160" s="37" t="e">
        <f t="shared" si="14"/>
        <v>#N/A</v>
      </c>
      <c r="P160" s="37" vm="1247">
        <f t="shared" si="15"/>
        <v>6750</v>
      </c>
      <c r="Q160" s="37" t="e">
        <f t="shared" si="16"/>
        <v>#N/A</v>
      </c>
      <c r="R160" s="37" t="e">
        <f t="shared" si="17"/>
        <v>#N/A</v>
      </c>
      <c r="S160" s="37" vm="1248">
        <f t="shared" si="18"/>
        <v>203117</v>
      </c>
    </row>
    <row r="161" spans="10:19" x14ac:dyDescent="0.25">
      <c r="J161" s="36" t="str" vm="722">
        <f>CUBEMEMBER("ThisWorkbookDataModel","[Indian_Employee_Data].[Employee ID].&amp;[Emp1135]")</f>
        <v>Emp1135</v>
      </c>
      <c r="K161" s="36" t="str" vm="721">
        <f>CUBEMEMBER("ThisWorkbookDataModel",{"[Indian_Employee_Data].[Employee ID].&amp;[Emp1135]","[Indian_Employee_Data].[Insurance tier].&amp;[Silver]"})</f>
        <v>Silver</v>
      </c>
      <c r="L161" s="37" vm="1250">
        <f>CUBEVALUE("ThisWorkbookDataModel",$K161,L$29,Slicer_Department)</f>
        <v>88579</v>
      </c>
      <c r="M161" s="37" vm="1249">
        <f>CUBEVALUE("ThisWorkbookDataModel",$K161,M$29,Slicer_Department)</f>
        <v>2800</v>
      </c>
      <c r="N161" s="37" t="e">
        <f t="shared" si="13"/>
        <v>#N/A</v>
      </c>
      <c r="O161" s="37" vm="1249">
        <f t="shared" si="14"/>
        <v>2800</v>
      </c>
      <c r="P161" s="37" t="e">
        <f t="shared" si="15"/>
        <v>#N/A</v>
      </c>
      <c r="Q161" s="37" t="e">
        <f t="shared" si="16"/>
        <v>#N/A</v>
      </c>
      <c r="R161" s="37" vm="1250">
        <f t="shared" si="17"/>
        <v>88579</v>
      </c>
      <c r="S161" s="37" t="e">
        <f t="shared" si="18"/>
        <v>#N/A</v>
      </c>
    </row>
    <row r="162" spans="10:19" x14ac:dyDescent="0.25">
      <c r="J162" s="36" t="str" vm="720">
        <f>CUBEMEMBER("ThisWorkbookDataModel","[Indian_Employee_Data].[Employee ID].&amp;[Emp1136]")</f>
        <v>Emp1136</v>
      </c>
      <c r="K162" s="36" t="str" vm="719">
        <f>CUBEMEMBER("ThisWorkbookDataModel",{"[Indian_Employee_Data].[Employee ID].&amp;[Emp1136]","[Indian_Employee_Data].[Insurance tier].&amp;[Silver]"})</f>
        <v>Silver</v>
      </c>
      <c r="L162" s="37" vm="1252">
        <f>CUBEVALUE("ThisWorkbookDataModel",$K162,L$29,Slicer_Department)</f>
        <v>113887</v>
      </c>
      <c r="M162" s="37" vm="1251">
        <f>CUBEVALUE("ThisWorkbookDataModel",$K162,M$29,Slicer_Department)</f>
        <v>2800</v>
      </c>
      <c r="N162" s="37" t="e">
        <f t="shared" si="13"/>
        <v>#N/A</v>
      </c>
      <c r="O162" s="37" vm="1251">
        <f t="shared" si="14"/>
        <v>2800</v>
      </c>
      <c r="P162" s="37" t="e">
        <f t="shared" si="15"/>
        <v>#N/A</v>
      </c>
      <c r="Q162" s="37" t="e">
        <f t="shared" si="16"/>
        <v>#N/A</v>
      </c>
      <c r="R162" s="37" vm="1252">
        <f t="shared" si="17"/>
        <v>113887</v>
      </c>
      <c r="S162" s="37" t="e">
        <f t="shared" si="18"/>
        <v>#N/A</v>
      </c>
    </row>
    <row r="163" spans="10:19" x14ac:dyDescent="0.25">
      <c r="J163" s="36" t="str" vm="718">
        <f>CUBEMEMBER("ThisWorkbookDataModel","[Indian_Employee_Data].[Employee ID].&amp;[Emp1137]")</f>
        <v>Emp1137</v>
      </c>
      <c r="K163" s="36" t="str" vm="717">
        <f>CUBEMEMBER("ThisWorkbookDataModel",{"[Indian_Employee_Data].[Employee ID].&amp;[Emp1137]","[Indian_Employee_Data].[Insurance tier].&amp;[Gold]"})</f>
        <v>Gold</v>
      </c>
      <c r="L163" s="37" vm="1254">
        <f>CUBEVALUE("ThisWorkbookDataModel",$K163,L$29,Slicer_Department)</f>
        <v>143071</v>
      </c>
      <c r="M163" s="37" vm="1253">
        <f>CUBEVALUE("ThisWorkbookDataModel",$K163,M$29,Slicer_Department)</f>
        <v>9000</v>
      </c>
      <c r="N163" s="37" t="e">
        <f t="shared" si="13"/>
        <v>#N/A</v>
      </c>
      <c r="O163" s="37" t="e">
        <f t="shared" si="14"/>
        <v>#N/A</v>
      </c>
      <c r="P163" s="37" vm="1253">
        <f t="shared" si="15"/>
        <v>9000</v>
      </c>
      <c r="Q163" s="37" t="e">
        <f t="shared" si="16"/>
        <v>#N/A</v>
      </c>
      <c r="R163" s="37" t="e">
        <f t="shared" si="17"/>
        <v>#N/A</v>
      </c>
      <c r="S163" s="37" vm="1254">
        <f t="shared" si="18"/>
        <v>143071</v>
      </c>
    </row>
    <row r="164" spans="10:19" x14ac:dyDescent="0.25">
      <c r="J164" s="36" t="str" vm="716">
        <f>CUBEMEMBER("ThisWorkbookDataModel","[Indian_Employee_Data].[Employee ID].&amp;[Emp1138]")</f>
        <v>Emp1138</v>
      </c>
      <c r="K164" s="36" t="str" vm="715">
        <f>CUBEMEMBER("ThisWorkbookDataModel",{"[Indian_Employee_Data].[Employee ID].&amp;[Emp1138]","[Indian_Employee_Data].[Insurance tier].&amp;[Silver]"})</f>
        <v>Silver</v>
      </c>
      <c r="L164" s="37" vm="1256">
        <f>CUBEVALUE("ThisWorkbookDataModel",$K164,L$29,Slicer_Department)</f>
        <v>93474</v>
      </c>
      <c r="M164" s="37" vm="1255">
        <f>CUBEVALUE("ThisWorkbookDataModel",$K164,M$29,Slicer_Department)</f>
        <v>2800</v>
      </c>
      <c r="N164" s="37" t="e">
        <f t="shared" si="13"/>
        <v>#N/A</v>
      </c>
      <c r="O164" s="37" vm="1255">
        <f t="shared" si="14"/>
        <v>2800</v>
      </c>
      <c r="P164" s="37" t="e">
        <f t="shared" si="15"/>
        <v>#N/A</v>
      </c>
      <c r="Q164" s="37" t="e">
        <f t="shared" si="16"/>
        <v>#N/A</v>
      </c>
      <c r="R164" s="37" vm="1256">
        <f t="shared" si="17"/>
        <v>93474</v>
      </c>
      <c r="S164" s="37" t="e">
        <f t="shared" si="18"/>
        <v>#N/A</v>
      </c>
    </row>
    <row r="165" spans="10:19" x14ac:dyDescent="0.25">
      <c r="J165" s="36" t="str" vm="714">
        <f>CUBEMEMBER("ThisWorkbookDataModel","[Indian_Employee_Data].[Employee ID].&amp;[Emp1139]")</f>
        <v>Emp1139</v>
      </c>
      <c r="K165" s="36" t="str" vm="713">
        <f>CUBEMEMBER("ThisWorkbookDataModel",{"[Indian_Employee_Data].[Employee ID].&amp;[Emp1139]","[Indian_Employee_Data].[Insurance tier].&amp;[Gold]"})</f>
        <v>Gold</v>
      </c>
      <c r="L165" s="37" vm="1258">
        <f>CUBEVALUE("ThisWorkbookDataModel",$K165,L$29,Slicer_Department)</f>
        <v>217039</v>
      </c>
      <c r="M165" s="37" vm="1257">
        <f>CUBEVALUE("ThisWorkbookDataModel",$K165,M$29,Slicer_Department)</f>
        <v>6750</v>
      </c>
      <c r="N165" s="37" t="e">
        <f t="shared" si="13"/>
        <v>#N/A</v>
      </c>
      <c r="O165" s="37" t="e">
        <f t="shared" si="14"/>
        <v>#N/A</v>
      </c>
      <c r="P165" s="37" vm="1257">
        <f t="shared" si="15"/>
        <v>6750</v>
      </c>
      <c r="Q165" s="37" t="e">
        <f t="shared" si="16"/>
        <v>#N/A</v>
      </c>
      <c r="R165" s="37" t="e">
        <f t="shared" si="17"/>
        <v>#N/A</v>
      </c>
      <c r="S165" s="37" vm="1258">
        <f t="shared" si="18"/>
        <v>217039</v>
      </c>
    </row>
    <row r="166" spans="10:19" x14ac:dyDescent="0.25">
      <c r="J166" s="36" t="str" vm="712">
        <f>CUBEMEMBER("ThisWorkbookDataModel","[Indian_Employee_Data].[Employee ID].&amp;[Emp1140]")</f>
        <v>Emp1140</v>
      </c>
      <c r="K166" s="36" t="str" vm="711">
        <f>CUBEMEMBER("ThisWorkbookDataModel",{"[Indian_Employee_Data].[Employee ID].&amp;[Emp1140]","[Indian_Employee_Data].[Insurance tier].&amp;[Gold]"})</f>
        <v>Gold</v>
      </c>
      <c r="L166" s="37" vm="1260">
        <f>CUBEVALUE("ThisWorkbookDataModel",$K166,L$29,Slicer_Department)</f>
        <v>211976</v>
      </c>
      <c r="M166" s="37" vm="1259">
        <f>CUBEVALUE("ThisWorkbookDataModel",$K166,M$29,Slicer_Department)</f>
        <v>6750</v>
      </c>
      <c r="N166" s="37" t="e">
        <f t="shared" si="13"/>
        <v>#N/A</v>
      </c>
      <c r="O166" s="37" t="e">
        <f t="shared" si="14"/>
        <v>#N/A</v>
      </c>
      <c r="P166" s="37" vm="1259">
        <f t="shared" si="15"/>
        <v>6750</v>
      </c>
      <c r="Q166" s="37" t="e">
        <f t="shared" si="16"/>
        <v>#N/A</v>
      </c>
      <c r="R166" s="37" t="e">
        <f t="shared" si="17"/>
        <v>#N/A</v>
      </c>
      <c r="S166" s="37" vm="1260">
        <f t="shared" si="18"/>
        <v>211976</v>
      </c>
    </row>
    <row r="167" spans="10:19" x14ac:dyDescent="0.25">
      <c r="J167" s="36" t="str" vm="710">
        <f>CUBEMEMBER("ThisWorkbookDataModel","[Indian_Employee_Data].[Employee ID].&amp;[Emp1141]")</f>
        <v>Emp1141</v>
      </c>
      <c r="K167" s="36" t="str" vm="709">
        <f>CUBEMEMBER("ThisWorkbookDataModel",{"[Indian_Employee_Data].[Employee ID].&amp;[Emp1141]","[Indian_Employee_Data].[Insurance tier].&amp;[Silver]"})</f>
        <v>Silver</v>
      </c>
      <c r="L167" s="37" vm="1262">
        <f>CUBEVALUE("ThisWorkbookDataModel",$K167,L$29,Slicer_Department)</f>
        <v>80275</v>
      </c>
      <c r="M167" s="37" vm="1261">
        <f>CUBEVALUE("ThisWorkbookDataModel",$K167,M$29,Slicer_Department)</f>
        <v>2800</v>
      </c>
      <c r="N167" s="37" t="e">
        <f t="shared" si="13"/>
        <v>#N/A</v>
      </c>
      <c r="O167" s="37" vm="1261">
        <f t="shared" si="14"/>
        <v>2800</v>
      </c>
      <c r="P167" s="37" t="e">
        <f t="shared" si="15"/>
        <v>#N/A</v>
      </c>
      <c r="Q167" s="37" t="e">
        <f t="shared" si="16"/>
        <v>#N/A</v>
      </c>
      <c r="R167" s="37" vm="1262">
        <f t="shared" si="17"/>
        <v>80275</v>
      </c>
      <c r="S167" s="37" t="e">
        <f t="shared" si="18"/>
        <v>#N/A</v>
      </c>
    </row>
    <row r="168" spans="10:19" x14ac:dyDescent="0.25">
      <c r="J168" s="36" t="str" vm="708">
        <f>CUBEMEMBER("ThisWorkbookDataModel","[Indian_Employee_Data].[Employee ID].&amp;[Emp1142]")</f>
        <v>Emp1142</v>
      </c>
      <c r="K168" s="36" t="str" vm="707">
        <f>CUBEMEMBER("ThisWorkbookDataModel",{"[Indian_Employee_Data].[Employee ID].&amp;[Emp1142]","[Indian_Employee_Data].[Insurance tier].&amp;[Silver]"})</f>
        <v>Silver</v>
      </c>
      <c r="L168" s="37" vm="1264">
        <f>CUBEVALUE("ThisWorkbookDataModel",$K168,L$29,Slicer_Department)</f>
        <v>110874</v>
      </c>
      <c r="M168" s="37" vm="1263">
        <f>CUBEVALUE("ThisWorkbookDataModel",$K168,M$29,Slicer_Department)</f>
        <v>4200</v>
      </c>
      <c r="N168" s="37" t="e">
        <f t="shared" si="13"/>
        <v>#N/A</v>
      </c>
      <c r="O168" s="37" vm="1263">
        <f t="shared" si="14"/>
        <v>4200</v>
      </c>
      <c r="P168" s="37" t="e">
        <f t="shared" si="15"/>
        <v>#N/A</v>
      </c>
      <c r="Q168" s="37" t="e">
        <f t="shared" si="16"/>
        <v>#N/A</v>
      </c>
      <c r="R168" s="37" vm="1264">
        <f t="shared" si="17"/>
        <v>110874</v>
      </c>
      <c r="S168" s="37" t="e">
        <f t="shared" si="18"/>
        <v>#N/A</v>
      </c>
    </row>
    <row r="169" spans="10:19" x14ac:dyDescent="0.25">
      <c r="J169" s="36" t="str" vm="706">
        <f>CUBEMEMBER("ThisWorkbookDataModel","[Indian_Employee_Data].[Employee ID].&amp;[Emp1143]")</f>
        <v>Emp1143</v>
      </c>
      <c r="K169" s="36" t="str" vm="705">
        <f>CUBEMEMBER("ThisWorkbookDataModel",{"[Indian_Employee_Data].[Employee ID].&amp;[Emp1143]","[Indian_Employee_Data].[Insurance tier].&amp;[Silver]"})</f>
        <v>Silver</v>
      </c>
      <c r="L169" s="37" vm="1266">
        <f>CUBEVALUE("ThisWorkbookDataModel",$K169,L$29,Slicer_Department)</f>
        <v>85938</v>
      </c>
      <c r="M169" s="37" vm="1265">
        <f>CUBEVALUE("ThisWorkbookDataModel",$K169,M$29,Slicer_Department)</f>
        <v>4200</v>
      </c>
      <c r="N169" s="37" t="e">
        <f t="shared" si="13"/>
        <v>#N/A</v>
      </c>
      <c r="O169" s="37" vm="1265">
        <f t="shared" si="14"/>
        <v>4200</v>
      </c>
      <c r="P169" s="37" t="e">
        <f t="shared" si="15"/>
        <v>#N/A</v>
      </c>
      <c r="Q169" s="37" t="e">
        <f t="shared" si="16"/>
        <v>#N/A</v>
      </c>
      <c r="R169" s="37" vm="1266">
        <f t="shared" si="17"/>
        <v>85938</v>
      </c>
      <c r="S169" s="37" t="e">
        <f t="shared" si="18"/>
        <v>#N/A</v>
      </c>
    </row>
    <row r="170" spans="10:19" x14ac:dyDescent="0.25">
      <c r="J170" s="36" t="str" vm="704">
        <f>CUBEMEMBER("ThisWorkbookDataModel","[Indian_Employee_Data].[Employee ID].&amp;[Emp1145]")</f>
        <v>Emp1145</v>
      </c>
      <c r="K170" s="36" t="str" vm="703">
        <f>CUBEMEMBER("ThisWorkbookDataModel",{"[Indian_Employee_Data].[Employee ID].&amp;[Emp1145]","[Indian_Employee_Data].[Insurance tier].&amp;[Bronze]"})</f>
        <v>Bronze</v>
      </c>
      <c r="L170" s="37" vm="1268">
        <f>CUBEVALUE("ThisWorkbookDataModel",$K170,L$29,Slicer_Department)</f>
        <v>49109</v>
      </c>
      <c r="M170" s="37" vm="1267">
        <f>CUBEVALUE("ThisWorkbookDataModel",$K170,M$29,Slicer_Department)</f>
        <v>1500</v>
      </c>
      <c r="N170" s="37" vm="1267">
        <f t="shared" si="13"/>
        <v>1500</v>
      </c>
      <c r="O170" s="37" t="e">
        <f t="shared" si="14"/>
        <v>#N/A</v>
      </c>
      <c r="P170" s="37" t="e">
        <f t="shared" si="15"/>
        <v>#N/A</v>
      </c>
      <c r="Q170" s="37" vm="1268">
        <f t="shared" si="16"/>
        <v>49109</v>
      </c>
      <c r="R170" s="37" t="e">
        <f t="shared" si="17"/>
        <v>#N/A</v>
      </c>
      <c r="S170" s="37" t="e">
        <f t="shared" si="18"/>
        <v>#N/A</v>
      </c>
    </row>
    <row r="171" spans="10:19" x14ac:dyDescent="0.25">
      <c r="J171" s="36" t="str" vm="702">
        <f>CUBEMEMBER("ThisWorkbookDataModel","[Indian_Employee_Data].[Employee ID].&amp;[Emp1146]")</f>
        <v>Emp1146</v>
      </c>
      <c r="K171" s="36" t="str" vm="701">
        <f>CUBEMEMBER("ThisWorkbookDataModel",{"[Indian_Employee_Data].[Employee ID].&amp;[Emp1146]","[Indian_Employee_Data].[Insurance tier].&amp;[Gold]"})</f>
        <v>Gold</v>
      </c>
      <c r="L171" s="37" vm="1270">
        <f>CUBEVALUE("ThisWorkbookDataModel",$K171,L$29,Slicer_Department)</f>
        <v>127395</v>
      </c>
      <c r="M171" s="37" vm="1269">
        <f>CUBEVALUE("ThisWorkbookDataModel",$K171,M$29,Slicer_Department)</f>
        <v>6750</v>
      </c>
      <c r="N171" s="37" t="e">
        <f t="shared" si="13"/>
        <v>#N/A</v>
      </c>
      <c r="O171" s="37" t="e">
        <f t="shared" si="14"/>
        <v>#N/A</v>
      </c>
      <c r="P171" s="37" vm="1269">
        <f t="shared" si="15"/>
        <v>6750</v>
      </c>
      <c r="Q171" s="37" t="e">
        <f t="shared" si="16"/>
        <v>#N/A</v>
      </c>
      <c r="R171" s="37" t="e">
        <f t="shared" si="17"/>
        <v>#N/A</v>
      </c>
      <c r="S171" s="37" vm="1270">
        <f t="shared" si="18"/>
        <v>127395</v>
      </c>
    </row>
    <row r="172" spans="10:19" x14ac:dyDescent="0.25">
      <c r="J172" s="36" t="str" vm="700">
        <f>CUBEMEMBER("ThisWorkbookDataModel","[Indian_Employee_Data].[Employee ID].&amp;[Emp1147]")</f>
        <v>Emp1147</v>
      </c>
      <c r="K172" s="36" t="str" vm="699">
        <f>CUBEMEMBER("ThisWorkbookDataModel",{"[Indian_Employee_Data].[Employee ID].&amp;[Emp1147]","[Indian_Employee_Data].[Insurance tier].&amp;[Silver]"})</f>
        <v>Silver</v>
      </c>
      <c r="L172" s="37" vm="1272">
        <f>CUBEVALUE("ThisWorkbookDataModel",$K172,L$29,Slicer_Department)</f>
        <v>111627</v>
      </c>
      <c r="M172" s="37" vm="1271">
        <f>CUBEVALUE("ThisWorkbookDataModel",$K172,M$29,Slicer_Department)</f>
        <v>2800</v>
      </c>
      <c r="N172" s="37" t="e">
        <f t="shared" si="13"/>
        <v>#N/A</v>
      </c>
      <c r="O172" s="37" vm="1271">
        <f t="shared" si="14"/>
        <v>2800</v>
      </c>
      <c r="P172" s="37" t="e">
        <f t="shared" si="15"/>
        <v>#N/A</v>
      </c>
      <c r="Q172" s="37" t="e">
        <f t="shared" si="16"/>
        <v>#N/A</v>
      </c>
      <c r="R172" s="37" vm="1272">
        <f t="shared" si="17"/>
        <v>111627</v>
      </c>
      <c r="S172" s="37" t="e">
        <f t="shared" si="18"/>
        <v>#N/A</v>
      </c>
    </row>
    <row r="173" spans="10:19" x14ac:dyDescent="0.25">
      <c r="J173" s="36" t="str" vm="698">
        <f>CUBEMEMBER("ThisWorkbookDataModel","[Indian_Employee_Data].[Employee ID].&amp;[Emp1148]")</f>
        <v>Emp1148</v>
      </c>
      <c r="K173" s="36" t="str" vm="697">
        <f>CUBEMEMBER("ThisWorkbookDataModel",{"[Indian_Employee_Data].[Employee ID].&amp;[Emp1148]","[Indian_Employee_Data].[Insurance tier].&amp;[Bronze]"})</f>
        <v>Bronze</v>
      </c>
      <c r="L173" s="37" vm="1274">
        <f>CUBEVALUE("ThisWorkbookDataModel",$K173,L$29,Slicer_Department)</f>
        <v>52575</v>
      </c>
      <c r="M173" s="37" vm="1273">
        <f>CUBEVALUE("ThisWorkbookDataModel",$K173,M$29,Slicer_Department)</f>
        <v>1500</v>
      </c>
      <c r="N173" s="37" vm="1273">
        <f t="shared" si="13"/>
        <v>1500</v>
      </c>
      <c r="O173" s="37" t="e">
        <f t="shared" si="14"/>
        <v>#N/A</v>
      </c>
      <c r="P173" s="37" t="e">
        <f t="shared" si="15"/>
        <v>#N/A</v>
      </c>
      <c r="Q173" s="37" vm="1274">
        <f t="shared" si="16"/>
        <v>52575</v>
      </c>
      <c r="R173" s="37" t="e">
        <f t="shared" si="17"/>
        <v>#N/A</v>
      </c>
      <c r="S173" s="37" t="e">
        <f t="shared" si="18"/>
        <v>#N/A</v>
      </c>
    </row>
    <row r="174" spans="10:19" x14ac:dyDescent="0.25">
      <c r="J174" s="36" t="str" vm="696">
        <f>CUBEMEMBER("ThisWorkbookDataModel","[Indian_Employee_Data].[Employee ID].&amp;[Emp1149]")</f>
        <v>Emp1149</v>
      </c>
      <c r="K174" s="36" t="str" vm="695">
        <f>CUBEMEMBER("ThisWorkbookDataModel",{"[Indian_Employee_Data].[Employee ID].&amp;[Emp1149]","[Indian_Employee_Data].[Insurance tier].&amp;[Silver]"})</f>
        <v>Silver</v>
      </c>
      <c r="L174" s="37" vm="1276">
        <f>CUBEVALUE("ThisWorkbookDataModel",$K174,L$29,Slicer_Department)</f>
        <v>83350</v>
      </c>
      <c r="M174" s="37" vm="1275">
        <f>CUBEVALUE("ThisWorkbookDataModel",$K174,M$29,Slicer_Department)</f>
        <v>2800</v>
      </c>
      <c r="N174" s="37" t="e">
        <f t="shared" si="13"/>
        <v>#N/A</v>
      </c>
      <c r="O174" s="37" vm="1275">
        <f t="shared" si="14"/>
        <v>2800</v>
      </c>
      <c r="P174" s="37" t="e">
        <f t="shared" si="15"/>
        <v>#N/A</v>
      </c>
      <c r="Q174" s="37" t="e">
        <f t="shared" si="16"/>
        <v>#N/A</v>
      </c>
      <c r="R174" s="37" vm="1276">
        <f t="shared" si="17"/>
        <v>83350</v>
      </c>
      <c r="S174" s="37" t="e">
        <f t="shared" si="18"/>
        <v>#N/A</v>
      </c>
    </row>
    <row r="175" spans="10:19" x14ac:dyDescent="0.25">
      <c r="J175" s="36" t="str" vm="694">
        <f>CUBEMEMBER("ThisWorkbookDataModel","[Indian_Employee_Data].[Employee ID].&amp;[Emp1150]")</f>
        <v>Emp1150</v>
      </c>
      <c r="K175" s="36" t="str" vm="693">
        <f>CUBEMEMBER("ThisWorkbookDataModel",{"[Indian_Employee_Data].[Employee ID].&amp;[Emp1150]","[Indian_Employee_Data].[Insurance tier].&amp;[Gold]"})</f>
        <v>Gold</v>
      </c>
      <c r="L175" s="37" vm="1278">
        <f>CUBEVALUE("ThisWorkbookDataModel",$K175,L$29,Slicer_Department)</f>
        <v>190571</v>
      </c>
      <c r="M175" s="37" vm="1277">
        <f>CUBEVALUE("ThisWorkbookDataModel",$K175,M$29,Slicer_Department)</f>
        <v>9000</v>
      </c>
      <c r="N175" s="37" t="e">
        <f t="shared" si="13"/>
        <v>#N/A</v>
      </c>
      <c r="O175" s="37" t="e">
        <f t="shared" si="14"/>
        <v>#N/A</v>
      </c>
      <c r="P175" s="37" vm="1277">
        <f t="shared" si="15"/>
        <v>9000</v>
      </c>
      <c r="Q175" s="37" t="e">
        <f t="shared" si="16"/>
        <v>#N/A</v>
      </c>
      <c r="R175" s="37" t="e">
        <f t="shared" si="17"/>
        <v>#N/A</v>
      </c>
      <c r="S175" s="37" vm="1278">
        <f t="shared" si="18"/>
        <v>190571</v>
      </c>
    </row>
    <row r="176" spans="10:19" x14ac:dyDescent="0.25">
      <c r="J176" s="36" t="str" vm="692">
        <f>CUBEMEMBER("ThisWorkbookDataModel","[Indian_Employee_Data].[Employee ID].&amp;[Emp1151]")</f>
        <v>Emp1151</v>
      </c>
      <c r="K176" s="36" t="str" vm="691">
        <f>CUBEMEMBER("ThisWorkbookDataModel",{"[Indian_Employee_Data].[Employee ID].&amp;[Emp1151]","[Indian_Employee_Data].[Insurance tier].&amp;[Silver]"})</f>
        <v>Silver</v>
      </c>
      <c r="L176" s="37" vm="1280">
        <f>CUBEVALUE("ThisWorkbookDataModel",$K176,L$29,Slicer_Department)</f>
        <v>78895</v>
      </c>
      <c r="M176" s="37" vm="1279">
        <f>CUBEVALUE("ThisWorkbookDataModel",$K176,M$29,Slicer_Department)</f>
        <v>4200</v>
      </c>
      <c r="N176" s="37" t="e">
        <f t="shared" si="13"/>
        <v>#N/A</v>
      </c>
      <c r="O176" s="37" vm="1279">
        <f t="shared" si="14"/>
        <v>4200</v>
      </c>
      <c r="P176" s="37" t="e">
        <f t="shared" si="15"/>
        <v>#N/A</v>
      </c>
      <c r="Q176" s="37" t="e">
        <f t="shared" si="16"/>
        <v>#N/A</v>
      </c>
      <c r="R176" s="37" vm="1280">
        <f t="shared" si="17"/>
        <v>78895</v>
      </c>
      <c r="S176" s="37" t="e">
        <f t="shared" si="18"/>
        <v>#N/A</v>
      </c>
    </row>
    <row r="177" spans="10:19" x14ac:dyDescent="0.25">
      <c r="J177" s="36" t="str" vm="690">
        <f>CUBEMEMBER("ThisWorkbookDataModel","[Indian_Employee_Data].[Employee ID].&amp;[Emp1152]")</f>
        <v>Emp1152</v>
      </c>
      <c r="K177" s="36" t="str" vm="689">
        <f>CUBEMEMBER("ThisWorkbookDataModel",{"[Indian_Employee_Data].[Employee ID].&amp;[Emp1152]","[Indian_Employee_Data].[Insurance tier].&amp;[Silver]"})</f>
        <v>Silver</v>
      </c>
      <c r="L177" s="37" vm="1282">
        <f>CUBEVALUE("ThisWorkbookDataModel",$K177,L$29,Slicer_Department)</f>
        <v>67874</v>
      </c>
      <c r="M177" s="37" vm="1281">
        <f>CUBEVALUE("ThisWorkbookDataModel",$K177,M$29,Slicer_Department)</f>
        <v>4200</v>
      </c>
      <c r="N177" s="37" t="e">
        <f t="shared" si="13"/>
        <v>#N/A</v>
      </c>
      <c r="O177" s="37" vm="1281">
        <f t="shared" si="14"/>
        <v>4200</v>
      </c>
      <c r="P177" s="37" t="e">
        <f t="shared" si="15"/>
        <v>#N/A</v>
      </c>
      <c r="Q177" s="37" t="e">
        <f t="shared" si="16"/>
        <v>#N/A</v>
      </c>
      <c r="R177" s="37" vm="1282">
        <f t="shared" si="17"/>
        <v>67874</v>
      </c>
      <c r="S177" s="37" t="e">
        <f t="shared" si="18"/>
        <v>#N/A</v>
      </c>
    </row>
    <row r="178" spans="10:19" x14ac:dyDescent="0.25">
      <c r="J178" s="36" t="str" vm="688">
        <f>CUBEMEMBER("ThisWorkbookDataModel","[Indian_Employee_Data].[Employee ID].&amp;[Emp1153]")</f>
        <v>Emp1153</v>
      </c>
      <c r="K178" s="36" t="str" vm="687">
        <f>CUBEMEMBER("ThisWorkbookDataModel",{"[Indian_Employee_Data].[Employee ID].&amp;[Emp1153]","[Indian_Employee_Data].[Insurance tier].&amp;[Silver]"})</f>
        <v>Silver</v>
      </c>
      <c r="L178" s="37" vm="1284">
        <f>CUBEVALUE("ThisWorkbookDataModel",$K178,L$29,Slicer_Department)</f>
        <v>109799</v>
      </c>
      <c r="M178" s="37" vm="1283">
        <f>CUBEVALUE("ThisWorkbookDataModel",$K178,M$29,Slicer_Department)</f>
        <v>2800</v>
      </c>
      <c r="N178" s="37" t="e">
        <f t="shared" si="13"/>
        <v>#N/A</v>
      </c>
      <c r="O178" s="37" vm="1283">
        <f t="shared" si="14"/>
        <v>2800</v>
      </c>
      <c r="P178" s="37" t="e">
        <f t="shared" si="15"/>
        <v>#N/A</v>
      </c>
      <c r="Q178" s="37" t="e">
        <f t="shared" si="16"/>
        <v>#N/A</v>
      </c>
      <c r="R178" s="37" vm="1284">
        <f t="shared" si="17"/>
        <v>109799</v>
      </c>
      <c r="S178" s="37" t="e">
        <f t="shared" si="18"/>
        <v>#N/A</v>
      </c>
    </row>
    <row r="179" spans="10:19" x14ac:dyDescent="0.25">
      <c r="J179" s="36" t="str" vm="686">
        <f>CUBEMEMBER("ThisWorkbookDataModel","[Indian_Employee_Data].[Employee ID].&amp;[Emp1154]")</f>
        <v>Emp1154</v>
      </c>
      <c r="K179" s="36" t="str" vm="685">
        <f>CUBEMEMBER("ThisWorkbookDataModel",{"[Indian_Employee_Data].[Employee ID].&amp;[Emp1154]","[Indian_Employee_Data].[Insurance tier].&amp;[Gold]"})</f>
        <v>Gold</v>
      </c>
      <c r="L179" s="37" vm="1286">
        <f>CUBEVALUE("ThisWorkbookDataModel",$K179,L$29,Slicer_Department)</f>
        <v>226495</v>
      </c>
      <c r="M179" s="37" vm="1285">
        <f>CUBEVALUE("ThisWorkbookDataModel",$K179,M$29,Slicer_Department)</f>
        <v>9000</v>
      </c>
      <c r="N179" s="37" t="e">
        <f t="shared" si="13"/>
        <v>#N/A</v>
      </c>
      <c r="O179" s="37" t="e">
        <f t="shared" si="14"/>
        <v>#N/A</v>
      </c>
      <c r="P179" s="37" vm="1285">
        <f t="shared" si="15"/>
        <v>9000</v>
      </c>
      <c r="Q179" s="37" t="e">
        <f t="shared" si="16"/>
        <v>#N/A</v>
      </c>
      <c r="R179" s="37" t="e">
        <f t="shared" si="17"/>
        <v>#N/A</v>
      </c>
      <c r="S179" s="37" vm="1286">
        <f t="shared" si="18"/>
        <v>226495</v>
      </c>
    </row>
    <row r="180" spans="10:19" x14ac:dyDescent="0.25">
      <c r="J180" s="36" t="str" vm="684">
        <f>CUBEMEMBER("ThisWorkbookDataModel","[Indian_Employee_Data].[Employee ID].&amp;[Emp1155]")</f>
        <v>Emp1155</v>
      </c>
      <c r="K180" s="36" t="str" vm="683">
        <f>CUBEMEMBER("ThisWorkbookDataModel",{"[Indian_Employee_Data].[Employee ID].&amp;[Emp1155]","[Indian_Employee_Data].[Insurance tier].&amp;[Silver]"})</f>
        <v>Silver</v>
      </c>
      <c r="L180" s="37" vm="1288">
        <f>CUBEVALUE("ThisWorkbookDataModel",$K180,L$29,Slicer_Department)</f>
        <v>79175</v>
      </c>
      <c r="M180" s="37" vm="1287">
        <f>CUBEVALUE("ThisWorkbookDataModel",$K180,M$29,Slicer_Department)</f>
        <v>4200</v>
      </c>
      <c r="N180" s="37" t="e">
        <f t="shared" si="13"/>
        <v>#N/A</v>
      </c>
      <c r="O180" s="37" vm="1287">
        <f t="shared" si="14"/>
        <v>4200</v>
      </c>
      <c r="P180" s="37" t="e">
        <f t="shared" si="15"/>
        <v>#N/A</v>
      </c>
      <c r="Q180" s="37" t="e">
        <f t="shared" si="16"/>
        <v>#N/A</v>
      </c>
      <c r="R180" s="37" vm="1288">
        <f t="shared" si="17"/>
        <v>79175</v>
      </c>
      <c r="S180" s="37" t="e">
        <f t="shared" si="18"/>
        <v>#N/A</v>
      </c>
    </row>
    <row r="181" spans="10:19" x14ac:dyDescent="0.25">
      <c r="J181" s="36" t="str" vm="682">
        <f>CUBEMEMBER("ThisWorkbookDataModel","[Indian_Employee_Data].[Employee ID].&amp;[Emp1156]")</f>
        <v>Emp1156</v>
      </c>
      <c r="K181" s="36" t="str" vm="681">
        <f>CUBEMEMBER("ThisWorkbookDataModel",{"[Indian_Employee_Data].[Employee ID].&amp;[Emp1156]","[Indian_Employee_Data].[Insurance tier].&amp;[Gold]"})</f>
        <v>Gold</v>
      </c>
      <c r="L181" s="37" vm="1290">
        <f>CUBEVALUE("ThisWorkbookDataModel",$K181,L$29,Slicer_Department)</f>
        <v>137648</v>
      </c>
      <c r="M181" s="37" vm="1289">
        <f>CUBEVALUE("ThisWorkbookDataModel",$K181,M$29,Slicer_Department)</f>
        <v>9000</v>
      </c>
      <c r="N181" s="37" t="e">
        <f t="shared" si="13"/>
        <v>#N/A</v>
      </c>
      <c r="O181" s="37" t="e">
        <f t="shared" si="14"/>
        <v>#N/A</v>
      </c>
      <c r="P181" s="37" vm="1289">
        <f t="shared" si="15"/>
        <v>9000</v>
      </c>
      <c r="Q181" s="37" t="e">
        <f t="shared" si="16"/>
        <v>#N/A</v>
      </c>
      <c r="R181" s="37" t="e">
        <f t="shared" si="17"/>
        <v>#N/A</v>
      </c>
      <c r="S181" s="37" vm="1290">
        <f t="shared" si="18"/>
        <v>137648</v>
      </c>
    </row>
    <row r="182" spans="10:19" x14ac:dyDescent="0.25">
      <c r="J182" s="36" t="str" vm="680">
        <f>CUBEMEMBER("ThisWorkbookDataModel","[Indian_Employee_Data].[Employee ID].&amp;[Emp1157]")</f>
        <v>Emp1157</v>
      </c>
      <c r="K182" s="36" t="str" vm="679">
        <f>CUBEMEMBER("ThisWorkbookDataModel",{"[Indian_Employee_Data].[Employee ID].&amp;[Emp1157]","[Indian_Employee_Data].[Insurance tier].&amp;[Gold]"})</f>
        <v>Gold</v>
      </c>
      <c r="L182" s="37" vm="1292">
        <f>CUBEVALUE("ThisWorkbookDataModel",$K182,L$29,Slicer_Department)</f>
        <v>154199</v>
      </c>
      <c r="M182" s="37" vm="1291">
        <f>CUBEVALUE("ThisWorkbookDataModel",$K182,M$29,Slicer_Department)</f>
        <v>9000</v>
      </c>
      <c r="N182" s="37" t="e">
        <f t="shared" si="13"/>
        <v>#N/A</v>
      </c>
      <c r="O182" s="37" t="e">
        <f t="shared" si="14"/>
        <v>#N/A</v>
      </c>
      <c r="P182" s="37" vm="1291">
        <f t="shared" si="15"/>
        <v>9000</v>
      </c>
      <c r="Q182" s="37" t="e">
        <f t="shared" si="16"/>
        <v>#N/A</v>
      </c>
      <c r="R182" s="37" t="e">
        <f t="shared" si="17"/>
        <v>#N/A</v>
      </c>
      <c r="S182" s="37" vm="1292">
        <f t="shared" si="18"/>
        <v>154199</v>
      </c>
    </row>
    <row r="183" spans="10:19" x14ac:dyDescent="0.25">
      <c r="J183" s="36" t="str" vm="678">
        <f>CUBEMEMBER("ThisWorkbookDataModel","[Indian_Employee_Data].[Employee ID].&amp;[Emp1158]")</f>
        <v>Emp1158</v>
      </c>
      <c r="K183" s="36" t="str" vm="677">
        <f>CUBEMEMBER("ThisWorkbookDataModel",{"[Indian_Employee_Data].[Employee ID].&amp;[Emp1158]","[Indian_Employee_Data].[Insurance tier].&amp;[Silver]"})</f>
        <v>Silver</v>
      </c>
      <c r="L183" s="37" vm="1294">
        <f>CUBEVALUE("ThisWorkbookDataModel",$K183,L$29,Slicer_Department)</f>
        <v>78678</v>
      </c>
      <c r="M183" s="37" vm="1293">
        <f>CUBEVALUE("ThisWorkbookDataModel",$K183,M$29,Slicer_Department)</f>
        <v>2800</v>
      </c>
      <c r="N183" s="37" t="e">
        <f t="shared" si="13"/>
        <v>#N/A</v>
      </c>
      <c r="O183" s="37" vm="1293">
        <f t="shared" si="14"/>
        <v>2800</v>
      </c>
      <c r="P183" s="37" t="e">
        <f t="shared" si="15"/>
        <v>#N/A</v>
      </c>
      <c r="Q183" s="37" t="e">
        <f t="shared" si="16"/>
        <v>#N/A</v>
      </c>
      <c r="R183" s="37" vm="1294">
        <f t="shared" si="17"/>
        <v>78678</v>
      </c>
      <c r="S183" s="37" t="e">
        <f t="shared" si="18"/>
        <v>#N/A</v>
      </c>
    </row>
    <row r="184" spans="10:19" x14ac:dyDescent="0.25">
      <c r="J184" s="36" t="str" vm="676">
        <f>CUBEMEMBER("ThisWorkbookDataModel","[Indian_Employee_Data].[Employee ID].&amp;[Emp1159]")</f>
        <v>Emp1159</v>
      </c>
      <c r="K184" s="36" t="str" vm="675">
        <f>CUBEMEMBER("ThisWorkbookDataModel",{"[Indian_Employee_Data].[Employee ID].&amp;[Emp1159]","[Indian_Employee_Data].[Insurance tier].&amp;[Gold]"})</f>
        <v>Gold</v>
      </c>
      <c r="L184" s="37" vm="1296">
        <f>CUBEVALUE("ThisWorkbookDataModel",$K184,L$29,Slicer_Department)</f>
        <v>147707</v>
      </c>
      <c r="M184" s="37" vm="1295">
        <f>CUBEVALUE("ThisWorkbookDataModel",$K184,M$29,Slicer_Department)</f>
        <v>9000</v>
      </c>
      <c r="N184" s="37" t="e">
        <f t="shared" si="13"/>
        <v>#N/A</v>
      </c>
      <c r="O184" s="37" t="e">
        <f t="shared" si="14"/>
        <v>#N/A</v>
      </c>
      <c r="P184" s="37" vm="1295">
        <f t="shared" si="15"/>
        <v>9000</v>
      </c>
      <c r="Q184" s="37" t="e">
        <f t="shared" si="16"/>
        <v>#N/A</v>
      </c>
      <c r="R184" s="37" t="e">
        <f t="shared" si="17"/>
        <v>#N/A</v>
      </c>
      <c r="S184" s="37" vm="1296">
        <f t="shared" si="18"/>
        <v>147707</v>
      </c>
    </row>
    <row r="185" spans="10:19" x14ac:dyDescent="0.25">
      <c r="J185" s="36" t="str" vm="674">
        <f>CUBEMEMBER("ThisWorkbookDataModel","[Indian_Employee_Data].[Employee ID].&amp;[Emp1160]")</f>
        <v>Emp1160</v>
      </c>
      <c r="K185" s="36" t="str" vm="673">
        <f>CUBEMEMBER("ThisWorkbookDataModel",{"[Indian_Employee_Data].[Employee ID].&amp;[Emp1160]","[Indian_Employee_Data].[Insurance tier].&amp;[Silver]"})</f>
        <v>Silver</v>
      </c>
      <c r="L185" s="37" vm="1298">
        <f>CUBEVALUE("ThisWorkbookDataModel",$K185,L$29,Slicer_Department)</f>
        <v>93986</v>
      </c>
      <c r="M185" s="37" vm="1297">
        <f>CUBEVALUE("ThisWorkbookDataModel",$K185,M$29,Slicer_Department)</f>
        <v>2800</v>
      </c>
      <c r="N185" s="37" t="e">
        <f t="shared" si="13"/>
        <v>#N/A</v>
      </c>
      <c r="O185" s="37" vm="1297">
        <f t="shared" si="14"/>
        <v>2800</v>
      </c>
      <c r="P185" s="37" t="e">
        <f t="shared" si="15"/>
        <v>#N/A</v>
      </c>
      <c r="Q185" s="37" t="e">
        <f t="shared" si="16"/>
        <v>#N/A</v>
      </c>
      <c r="R185" s="37" vm="1298">
        <f t="shared" si="17"/>
        <v>93986</v>
      </c>
      <c r="S185" s="37" t="e">
        <f t="shared" si="18"/>
        <v>#N/A</v>
      </c>
    </row>
    <row r="186" spans="10:19" x14ac:dyDescent="0.25">
      <c r="J186" s="36" t="str" vm="672">
        <f>CUBEMEMBER("ThisWorkbookDataModel","[Indian_Employee_Data].[Employee ID].&amp;[Emp1161]")</f>
        <v>Emp1161</v>
      </c>
      <c r="K186" s="36" t="str" vm="671">
        <f>CUBEMEMBER("ThisWorkbookDataModel",{"[Indian_Employee_Data].[Employee ID].&amp;[Emp1161]","[Indian_Employee_Data].[Insurance tier].&amp;[Gold]"})</f>
        <v>Gold</v>
      </c>
      <c r="L186" s="37" vm="1300">
        <f>CUBEVALUE("ThisWorkbookDataModel",$K186,L$29,Slicer_Department)</f>
        <v>131020</v>
      </c>
      <c r="M186" s="37" vm="1299">
        <f>CUBEVALUE("ThisWorkbookDataModel",$K186,M$29,Slicer_Department)</f>
        <v>9000</v>
      </c>
      <c r="N186" s="37" t="e">
        <f t="shared" si="13"/>
        <v>#N/A</v>
      </c>
      <c r="O186" s="37" t="e">
        <f t="shared" si="14"/>
        <v>#N/A</v>
      </c>
      <c r="P186" s="37" vm="1299">
        <f t="shared" si="15"/>
        <v>9000</v>
      </c>
      <c r="Q186" s="37" t="e">
        <f t="shared" si="16"/>
        <v>#N/A</v>
      </c>
      <c r="R186" s="37" t="e">
        <f t="shared" si="17"/>
        <v>#N/A</v>
      </c>
      <c r="S186" s="37" vm="1300">
        <f t="shared" si="18"/>
        <v>131020</v>
      </c>
    </row>
    <row r="187" spans="10:19" x14ac:dyDescent="0.25">
      <c r="J187" s="36" t="str" vm="670">
        <f>CUBEMEMBER("ThisWorkbookDataModel","[Indian_Employee_Data].[Employee ID].&amp;[Emp1162]")</f>
        <v>Emp1162</v>
      </c>
      <c r="K187" s="36" t="str" vm="669">
        <f>CUBEMEMBER("ThisWorkbookDataModel",{"[Indian_Employee_Data].[Employee ID].&amp;[Emp1162]","[Indian_Employee_Data].[Insurance tier].&amp;[Gold]"})</f>
        <v>Gold</v>
      </c>
      <c r="L187" s="37" vm="1302">
        <f>CUBEVALUE("ThisWorkbookDataModel",$K187,L$29,Slicer_Department)</f>
        <v>131218</v>
      </c>
      <c r="M187" s="37" vm="1301">
        <f>CUBEVALUE("ThisWorkbookDataModel",$K187,M$29,Slicer_Department)</f>
        <v>6750</v>
      </c>
      <c r="N187" s="37" t="e">
        <f t="shared" si="13"/>
        <v>#N/A</v>
      </c>
      <c r="O187" s="37" t="e">
        <f t="shared" si="14"/>
        <v>#N/A</v>
      </c>
      <c r="P187" s="37" vm="1301">
        <f t="shared" si="15"/>
        <v>6750</v>
      </c>
      <c r="Q187" s="37" t="e">
        <f t="shared" si="16"/>
        <v>#N/A</v>
      </c>
      <c r="R187" s="37" t="e">
        <f t="shared" si="17"/>
        <v>#N/A</v>
      </c>
      <c r="S187" s="37" vm="1302">
        <f t="shared" si="18"/>
        <v>131218</v>
      </c>
    </row>
    <row r="188" spans="10:19" x14ac:dyDescent="0.25">
      <c r="J188" s="36" t="str" vm="668">
        <f>CUBEMEMBER("ThisWorkbookDataModel","[Indian_Employee_Data].[Employee ID].&amp;[Emp1163]")</f>
        <v>Emp1163</v>
      </c>
      <c r="K188" s="36" t="str" vm="667">
        <f>CUBEMEMBER("ThisWorkbookDataModel",{"[Indian_Employee_Data].[Employee ID].&amp;[Emp1163]","[Indian_Employee_Data].[Insurance tier].&amp;[Silver]"})</f>
        <v>Silver</v>
      </c>
      <c r="L188" s="37" vm="1304">
        <f>CUBEVALUE("ThisWorkbookDataModel",$K188,L$29,Slicer_Department)</f>
        <v>116311</v>
      </c>
      <c r="M188" s="37" vm="1303">
        <f>CUBEVALUE("ThisWorkbookDataModel",$K188,M$29,Slicer_Department)</f>
        <v>2800</v>
      </c>
      <c r="N188" s="37" t="e">
        <f t="shared" si="13"/>
        <v>#N/A</v>
      </c>
      <c r="O188" s="37" vm="1303">
        <f t="shared" si="14"/>
        <v>2800</v>
      </c>
      <c r="P188" s="37" t="e">
        <f t="shared" si="15"/>
        <v>#N/A</v>
      </c>
      <c r="Q188" s="37" t="e">
        <f t="shared" si="16"/>
        <v>#N/A</v>
      </c>
      <c r="R188" s="37" vm="1304">
        <f t="shared" si="17"/>
        <v>116311</v>
      </c>
      <c r="S188" s="37" t="e">
        <f t="shared" si="18"/>
        <v>#N/A</v>
      </c>
    </row>
    <row r="189" spans="10:19" x14ac:dyDescent="0.25">
      <c r="J189" s="36" t="str" vm="666">
        <f>CUBEMEMBER("ThisWorkbookDataModel","[Indian_Employee_Data].[Employee ID].&amp;[Emp1164]")</f>
        <v>Emp1164</v>
      </c>
      <c r="K189" s="36" t="str" vm="665">
        <f>CUBEMEMBER("ThisWorkbookDataModel",{"[Indian_Employee_Data].[Employee ID].&amp;[Emp1164]","[Indian_Employee_Data].[Insurance tier].&amp;[Bronze]"})</f>
        <v>Bronze</v>
      </c>
      <c r="L189" s="37" vm="1306">
        <f>CUBEVALUE("ThisWorkbookDataModel",$K189,L$29,Slicer_Department)</f>
        <v>59897</v>
      </c>
      <c r="M189" s="37" vm="1305">
        <f>CUBEVALUE("ThisWorkbookDataModel",$K189,M$29,Slicer_Department)</f>
        <v>1500</v>
      </c>
      <c r="N189" s="37" vm="1305">
        <f t="shared" si="13"/>
        <v>1500</v>
      </c>
      <c r="O189" s="37" t="e">
        <f t="shared" si="14"/>
        <v>#N/A</v>
      </c>
      <c r="P189" s="37" t="e">
        <f t="shared" si="15"/>
        <v>#N/A</v>
      </c>
      <c r="Q189" s="37" vm="1306">
        <f t="shared" si="16"/>
        <v>59897</v>
      </c>
      <c r="R189" s="37" t="e">
        <f t="shared" si="17"/>
        <v>#N/A</v>
      </c>
      <c r="S189" s="37" t="e">
        <f t="shared" si="18"/>
        <v>#N/A</v>
      </c>
    </row>
    <row r="190" spans="10:19" x14ac:dyDescent="0.25">
      <c r="J190" s="36" t="str" vm="664">
        <f>CUBEMEMBER("ThisWorkbookDataModel","[Indian_Employee_Data].[Employee ID].&amp;[Emp1165]")</f>
        <v>Emp1165</v>
      </c>
      <c r="K190" s="36" t="str" vm="663">
        <f>CUBEMEMBER("ThisWorkbookDataModel",{"[Indian_Employee_Data].[Employee ID].&amp;[Emp1165]","[Indian_Employee_Data].[Insurance tier].&amp;[Gold]"})</f>
        <v>Gold</v>
      </c>
      <c r="L190" s="37" vm="1308">
        <f>CUBEVALUE("ThisWorkbookDataModel",$K190,L$29,Slicer_Department)</f>
        <v>170370</v>
      </c>
      <c r="M190" s="37" vm="1307">
        <f>CUBEVALUE("ThisWorkbookDataModel",$K190,M$29,Slicer_Department)</f>
        <v>9000</v>
      </c>
      <c r="N190" s="37" t="e">
        <f t="shared" si="13"/>
        <v>#N/A</v>
      </c>
      <c r="O190" s="37" t="e">
        <f t="shared" si="14"/>
        <v>#N/A</v>
      </c>
      <c r="P190" s="37" vm="1307">
        <f t="shared" si="15"/>
        <v>9000</v>
      </c>
      <c r="Q190" s="37" t="e">
        <f t="shared" si="16"/>
        <v>#N/A</v>
      </c>
      <c r="R190" s="37" t="e">
        <f t="shared" si="17"/>
        <v>#N/A</v>
      </c>
      <c r="S190" s="37" vm="1308">
        <f t="shared" si="18"/>
        <v>170370</v>
      </c>
    </row>
    <row r="191" spans="10:19" x14ac:dyDescent="0.25">
      <c r="J191" s="36" t="str" vm="662">
        <f>CUBEMEMBER("ThisWorkbookDataModel","[Indian_Employee_Data].[Employee ID].&amp;[Emp1166]")</f>
        <v>Emp1166</v>
      </c>
      <c r="K191" s="36" t="str" vm="661">
        <f>CUBEMEMBER("ThisWorkbookDataModel",{"[Indian_Employee_Data].[Employee ID].&amp;[Emp1166]","[Indian_Employee_Data].[Insurance tier].&amp;[Silver]"})</f>
        <v>Silver</v>
      </c>
      <c r="L191" s="37" vm="1310">
        <f>CUBEVALUE("ThisWorkbookDataModel",$K191,L$29,Slicer_Department)</f>
        <v>88290</v>
      </c>
      <c r="M191" s="37" vm="1309">
        <f>CUBEVALUE("ThisWorkbookDataModel",$K191,M$29,Slicer_Department)</f>
        <v>4200</v>
      </c>
      <c r="N191" s="37" t="e">
        <f t="shared" si="13"/>
        <v>#N/A</v>
      </c>
      <c r="O191" s="37" vm="1309">
        <f t="shared" si="14"/>
        <v>4200</v>
      </c>
      <c r="P191" s="37" t="e">
        <f t="shared" si="15"/>
        <v>#N/A</v>
      </c>
      <c r="Q191" s="37" t="e">
        <f t="shared" si="16"/>
        <v>#N/A</v>
      </c>
      <c r="R191" s="37" vm="1310">
        <f t="shared" si="17"/>
        <v>88290</v>
      </c>
      <c r="S191" s="37" t="e">
        <f t="shared" si="18"/>
        <v>#N/A</v>
      </c>
    </row>
    <row r="192" spans="10:19" x14ac:dyDescent="0.25">
      <c r="J192" s="36" t="str" vm="660">
        <f>CUBEMEMBER("ThisWorkbookDataModel","[Indian_Employee_Data].[Employee ID].&amp;[Emp1167]")</f>
        <v>Emp1167</v>
      </c>
      <c r="K192" s="36" t="str" vm="659">
        <f>CUBEMEMBER("ThisWorkbookDataModel",{"[Indian_Employee_Data].[Employee ID].&amp;[Emp1167]","[Indian_Employee_Data].[Insurance tier].&amp;[Silver]"})</f>
        <v>Silver</v>
      </c>
      <c r="L192" s="37" vm="1312">
        <f>CUBEVALUE("ThisWorkbookDataModel",$K192,L$29,Slicer_Department)</f>
        <v>72971</v>
      </c>
      <c r="M192" s="37" vm="1311">
        <f>CUBEVALUE("ThisWorkbookDataModel",$K192,M$29,Slicer_Department)</f>
        <v>2800</v>
      </c>
      <c r="N192" s="37" t="e">
        <f t="shared" si="13"/>
        <v>#N/A</v>
      </c>
      <c r="O192" s="37" vm="1311">
        <f t="shared" si="14"/>
        <v>2800</v>
      </c>
      <c r="P192" s="37" t="e">
        <f t="shared" si="15"/>
        <v>#N/A</v>
      </c>
      <c r="Q192" s="37" t="e">
        <f t="shared" si="16"/>
        <v>#N/A</v>
      </c>
      <c r="R192" s="37" vm="1312">
        <f t="shared" si="17"/>
        <v>72971</v>
      </c>
      <c r="S192" s="37" t="e">
        <f t="shared" si="18"/>
        <v>#N/A</v>
      </c>
    </row>
    <row r="193" spans="10:19" x14ac:dyDescent="0.25">
      <c r="J193" s="36" t="str" vm="658">
        <f>CUBEMEMBER("ThisWorkbookDataModel","[Indian_Employee_Data].[Employee ID].&amp;[Emp1168]")</f>
        <v>Emp1168</v>
      </c>
      <c r="K193" s="36" t="str" vm="657">
        <f>CUBEMEMBER("ThisWorkbookDataModel",{"[Indian_Employee_Data].[Employee ID].&amp;[Emp1168]","[Indian_Employee_Data].[Insurance tier].&amp;[Bronze]"})</f>
        <v>Bronze</v>
      </c>
      <c r="L193" s="37" vm="1314">
        <f>CUBEVALUE("ThisWorkbookDataModel",$K193,L$29,Slicer_Department)</f>
        <v>50091</v>
      </c>
      <c r="M193" s="37" vm="1313">
        <f>CUBEVALUE("ThisWorkbookDataModel",$K193,M$29,Slicer_Department)</f>
        <v>1500</v>
      </c>
      <c r="N193" s="37" vm="1313">
        <f t="shared" si="13"/>
        <v>1500</v>
      </c>
      <c r="O193" s="37" t="e">
        <f t="shared" si="14"/>
        <v>#N/A</v>
      </c>
      <c r="P193" s="37" t="e">
        <f t="shared" si="15"/>
        <v>#N/A</v>
      </c>
      <c r="Q193" s="37" vm="1314">
        <f t="shared" si="16"/>
        <v>50091</v>
      </c>
      <c r="R193" s="37" t="e">
        <f t="shared" si="17"/>
        <v>#N/A</v>
      </c>
      <c r="S193" s="37" t="e">
        <f t="shared" si="18"/>
        <v>#N/A</v>
      </c>
    </row>
    <row r="194" spans="10:19" x14ac:dyDescent="0.25">
      <c r="J194" s="36" t="str" vm="656">
        <f>CUBEMEMBER("ThisWorkbookDataModel","[Indian_Employee_Data].[Employee ID].&amp;[Emp1169]")</f>
        <v>Emp1169</v>
      </c>
      <c r="K194" s="36" t="str" vm="655">
        <f>CUBEMEMBER("ThisWorkbookDataModel",{"[Indian_Employee_Data].[Employee ID].&amp;[Emp1169]","[Indian_Employee_Data].[Insurance tier].&amp;[Gold]"})</f>
        <v>Gold</v>
      </c>
      <c r="L194" s="37" vm="1316">
        <f>CUBEVALUE("ThisWorkbookDataModel",$K194,L$29,Slicer_Department)</f>
        <v>124498</v>
      </c>
      <c r="M194" s="37" vm="1315">
        <f>CUBEVALUE("ThisWorkbookDataModel",$K194,M$29,Slicer_Department)</f>
        <v>9000</v>
      </c>
      <c r="N194" s="37" t="e">
        <f t="shared" si="13"/>
        <v>#N/A</v>
      </c>
      <c r="O194" s="37" t="e">
        <f t="shared" si="14"/>
        <v>#N/A</v>
      </c>
      <c r="P194" s="37" vm="1315">
        <f t="shared" si="15"/>
        <v>9000</v>
      </c>
      <c r="Q194" s="37" t="e">
        <f t="shared" si="16"/>
        <v>#N/A</v>
      </c>
      <c r="R194" s="37" t="e">
        <f t="shared" si="17"/>
        <v>#N/A</v>
      </c>
      <c r="S194" s="37" vm="1316">
        <f t="shared" si="18"/>
        <v>124498</v>
      </c>
    </row>
    <row r="195" spans="10:19" x14ac:dyDescent="0.25">
      <c r="J195" s="36" t="str" vm="654">
        <f>CUBEMEMBER("ThisWorkbookDataModel","[Indian_Employee_Data].[Employee ID].&amp;[Emp1170]")</f>
        <v>Emp1170</v>
      </c>
      <c r="K195" s="36" t="str" vm="653">
        <f>CUBEMEMBER("ThisWorkbookDataModel",{"[Indian_Employee_Data].[Employee ID].&amp;[Emp1170]","[Indian_Employee_Data].[Insurance tier].&amp;[Gold]"})</f>
        <v>Gold</v>
      </c>
      <c r="L195" s="37" vm="1318">
        <f>CUBEVALUE("ThisWorkbookDataModel",$K195,L$29,Slicer_Department)</f>
        <v>138582</v>
      </c>
      <c r="M195" s="37" vm="1317">
        <f>CUBEVALUE("ThisWorkbookDataModel",$K195,M$29,Slicer_Department)</f>
        <v>6750</v>
      </c>
      <c r="N195" s="37" t="e">
        <f t="shared" si="13"/>
        <v>#N/A</v>
      </c>
      <c r="O195" s="37" t="e">
        <f t="shared" si="14"/>
        <v>#N/A</v>
      </c>
      <c r="P195" s="37" vm="1317">
        <f t="shared" si="15"/>
        <v>6750</v>
      </c>
      <c r="Q195" s="37" t="e">
        <f t="shared" si="16"/>
        <v>#N/A</v>
      </c>
      <c r="R195" s="37" t="e">
        <f t="shared" si="17"/>
        <v>#N/A</v>
      </c>
      <c r="S195" s="37" vm="1318">
        <f t="shared" si="18"/>
        <v>138582</v>
      </c>
    </row>
    <row r="196" spans="10:19" x14ac:dyDescent="0.25">
      <c r="J196" s="36" t="str" vm="652">
        <f>CUBEMEMBER("ThisWorkbookDataModel","[Indian_Employee_Data].[Employee ID].&amp;[Emp1171]")</f>
        <v>Emp1171</v>
      </c>
      <c r="K196" s="36" t="str" vm="651">
        <f>CUBEMEMBER("ThisWorkbookDataModel",{"[Indian_Employee_Data].[Employee ID].&amp;[Emp1171]","[Indian_Employee_Data].[Insurance tier].&amp;[Bronze]"})</f>
        <v>Bronze</v>
      </c>
      <c r="L196" s="37" vm="1320">
        <f>CUBEVALUE("ThisWorkbookDataModel",$K196,L$29,Slicer_Department)</f>
        <v>42814</v>
      </c>
      <c r="M196" s="37" vm="1319">
        <f>CUBEVALUE("ThisWorkbookDataModel",$K196,M$29,Slicer_Department)</f>
        <v>1500</v>
      </c>
      <c r="N196" s="37" vm="1319">
        <f t="shared" si="13"/>
        <v>1500</v>
      </c>
      <c r="O196" s="37" t="e">
        <f t="shared" si="14"/>
        <v>#N/A</v>
      </c>
      <c r="P196" s="37" t="e">
        <f t="shared" si="15"/>
        <v>#N/A</v>
      </c>
      <c r="Q196" s="37" vm="1320">
        <f t="shared" si="16"/>
        <v>42814</v>
      </c>
      <c r="R196" s="37" t="e">
        <f t="shared" si="17"/>
        <v>#N/A</v>
      </c>
      <c r="S196" s="37" t="e">
        <f t="shared" si="18"/>
        <v>#N/A</v>
      </c>
    </row>
    <row r="197" spans="10:19" x14ac:dyDescent="0.25">
      <c r="J197" s="36" t="str" vm="650">
        <f>CUBEMEMBER("ThisWorkbookDataModel","[Indian_Employee_Data].[Employee ID].&amp;[Emp1172]")</f>
        <v>Emp1172</v>
      </c>
      <c r="K197" s="36" t="str" vm="649">
        <f>CUBEMEMBER("ThisWorkbookDataModel",{"[Indian_Employee_Data].[Employee ID].&amp;[Emp1172]","[Indian_Employee_Data].[Insurance tier].&amp;[Silver]"})</f>
        <v>Silver</v>
      </c>
      <c r="L197" s="37" vm="1322">
        <f>CUBEVALUE("ThisWorkbookDataModel",$K197,L$29,Slicer_Department)</f>
        <v>112943</v>
      </c>
      <c r="M197" s="37" vm="1321">
        <f>CUBEVALUE("ThisWorkbookDataModel",$K197,M$29,Slicer_Department)</f>
        <v>2800</v>
      </c>
      <c r="N197" s="37" t="e">
        <f t="shared" si="13"/>
        <v>#N/A</v>
      </c>
      <c r="O197" s="37" vm="1321">
        <f t="shared" si="14"/>
        <v>2800</v>
      </c>
      <c r="P197" s="37" t="e">
        <f t="shared" si="15"/>
        <v>#N/A</v>
      </c>
      <c r="Q197" s="37" t="e">
        <f t="shared" si="16"/>
        <v>#N/A</v>
      </c>
      <c r="R197" s="37" vm="1322">
        <f t="shared" si="17"/>
        <v>112943</v>
      </c>
      <c r="S197" s="37" t="e">
        <f t="shared" si="18"/>
        <v>#N/A</v>
      </c>
    </row>
    <row r="198" spans="10:19" x14ac:dyDescent="0.25">
      <c r="J198" s="36" t="str" vm="648">
        <f>CUBEMEMBER("ThisWorkbookDataModel","[Indian_Employee_Data].[Employee ID].&amp;[Emp1173]")</f>
        <v>Emp1173</v>
      </c>
      <c r="K198" s="36" t="str" vm="647">
        <f>CUBEMEMBER("ThisWorkbookDataModel",{"[Indian_Employee_Data].[Employee ID].&amp;[Emp1173]","[Indian_Employee_Data].[Insurance tier].&amp;[Silver]"})</f>
        <v>Silver</v>
      </c>
      <c r="L198" s="37" vm="1324">
        <f>CUBEVALUE("ThisWorkbookDataModel",$K198,L$29,Slicer_Department)</f>
        <v>77431</v>
      </c>
      <c r="M198" s="37" vm="1323">
        <f>CUBEVALUE("ThisWorkbookDataModel",$K198,M$29,Slicer_Department)</f>
        <v>2800</v>
      </c>
      <c r="N198" s="37" t="e">
        <f t="shared" si="13"/>
        <v>#N/A</v>
      </c>
      <c r="O198" s="37" vm="1323">
        <f t="shared" si="14"/>
        <v>2800</v>
      </c>
      <c r="P198" s="37" t="e">
        <f t="shared" si="15"/>
        <v>#N/A</v>
      </c>
      <c r="Q198" s="37" t="e">
        <f t="shared" si="16"/>
        <v>#N/A</v>
      </c>
      <c r="R198" s="37" vm="1324">
        <f t="shared" si="17"/>
        <v>77431</v>
      </c>
      <c r="S198" s="37" t="e">
        <f t="shared" si="18"/>
        <v>#N/A</v>
      </c>
    </row>
    <row r="199" spans="10:19" x14ac:dyDescent="0.25">
      <c r="J199" s="36" t="str" vm="646">
        <f>CUBEMEMBER("ThisWorkbookDataModel","[Indian_Employee_Data].[Employee ID].&amp;[Emp1174]")</f>
        <v>Emp1174</v>
      </c>
      <c r="K199" s="36" t="str" vm="645">
        <f>CUBEMEMBER("ThisWorkbookDataModel",{"[Indian_Employee_Data].[Employee ID].&amp;[Emp1174]","[Indian_Employee_Data].[Insurance tier].&amp;[Gold]"})</f>
        <v>Gold</v>
      </c>
      <c r="L199" s="37" vm="1326">
        <f>CUBEVALUE("ThisWorkbookDataModel",$K199,L$29,Slicer_Department)</f>
        <v>133120</v>
      </c>
      <c r="M199" s="37" vm="1325">
        <f>CUBEVALUE("ThisWorkbookDataModel",$K199,M$29,Slicer_Department)</f>
        <v>6750</v>
      </c>
      <c r="N199" s="37" t="e">
        <f t="shared" si="13"/>
        <v>#N/A</v>
      </c>
      <c r="O199" s="37" t="e">
        <f t="shared" si="14"/>
        <v>#N/A</v>
      </c>
      <c r="P199" s="37" vm="1325">
        <f t="shared" si="15"/>
        <v>6750</v>
      </c>
      <c r="Q199" s="37" t="e">
        <f t="shared" si="16"/>
        <v>#N/A</v>
      </c>
      <c r="R199" s="37" t="e">
        <f t="shared" si="17"/>
        <v>#N/A</v>
      </c>
      <c r="S199" s="37" vm="1326">
        <f t="shared" si="18"/>
        <v>133120</v>
      </c>
    </row>
    <row r="200" spans="10:19" x14ac:dyDescent="0.25">
      <c r="J200" s="36" t="str" vm="644">
        <f>CUBEMEMBER("ThisWorkbookDataModel","[Indian_Employee_Data].[Employee ID].&amp;[Emp1175]")</f>
        <v>Emp1175</v>
      </c>
      <c r="K200" s="36" t="str" vm="643">
        <f>CUBEMEMBER("ThisWorkbookDataModel",{"[Indian_Employee_Data].[Employee ID].&amp;[Emp1175]","[Indian_Employee_Data].[Insurance tier].&amp;[Silver]"})</f>
        <v>Silver</v>
      </c>
      <c r="L200" s="37" vm="1328">
        <f>CUBEVALUE("ThisWorkbookDataModel",$K200,L$29,Slicer_Department)</f>
        <v>71547</v>
      </c>
      <c r="M200" s="37" vm="1327">
        <f>CUBEVALUE("ThisWorkbookDataModel",$K200,M$29,Slicer_Department)</f>
        <v>4200</v>
      </c>
      <c r="N200" s="37" t="e">
        <f t="shared" si="13"/>
        <v>#N/A</v>
      </c>
      <c r="O200" s="37" vm="1327">
        <f t="shared" si="14"/>
        <v>4200</v>
      </c>
      <c r="P200" s="37" t="e">
        <f t="shared" si="15"/>
        <v>#N/A</v>
      </c>
      <c r="Q200" s="37" t="e">
        <f t="shared" si="16"/>
        <v>#N/A</v>
      </c>
      <c r="R200" s="37" vm="1328">
        <f t="shared" si="17"/>
        <v>71547</v>
      </c>
      <c r="S200" s="37" t="e">
        <f t="shared" si="18"/>
        <v>#N/A</v>
      </c>
    </row>
    <row r="201" spans="10:19" x14ac:dyDescent="0.25">
      <c r="J201" s="36" t="str" vm="642">
        <f>CUBEMEMBER("ThisWorkbookDataModel","[Indian_Employee_Data].[Employee ID].&amp;[Emp1176]")</f>
        <v>Emp1176</v>
      </c>
      <c r="K201" s="36" t="str" vm="641">
        <f>CUBEMEMBER("ThisWorkbookDataModel",{"[Indian_Employee_Data].[Employee ID].&amp;[Emp1176]","[Indian_Employee_Data].[Insurance tier].&amp;[Gold]"})</f>
        <v>Gold</v>
      </c>
      <c r="L201" s="37" vm="1330">
        <f>CUBEVALUE("ThisWorkbookDataModel",$K201,L$29,Slicer_Department)</f>
        <v>140917</v>
      </c>
      <c r="M201" s="37" vm="1329">
        <f>CUBEVALUE("ThisWorkbookDataModel",$K201,M$29,Slicer_Department)</f>
        <v>9000</v>
      </c>
      <c r="N201" s="37" t="e">
        <f t="shared" si="13"/>
        <v>#N/A</v>
      </c>
      <c r="O201" s="37" t="e">
        <f t="shared" si="14"/>
        <v>#N/A</v>
      </c>
      <c r="P201" s="37" vm="1329">
        <f t="shared" si="15"/>
        <v>9000</v>
      </c>
      <c r="Q201" s="37" t="e">
        <f t="shared" si="16"/>
        <v>#N/A</v>
      </c>
      <c r="R201" s="37" t="e">
        <f t="shared" si="17"/>
        <v>#N/A</v>
      </c>
      <c r="S201" s="37" vm="1330">
        <f t="shared" si="18"/>
        <v>140917</v>
      </c>
    </row>
    <row r="202" spans="10:19" x14ac:dyDescent="0.25">
      <c r="J202" s="36" t="str" vm="640">
        <f>CUBEMEMBER("ThisWorkbookDataModel","[Indian_Employee_Data].[Employee ID].&amp;[Emp1177]")</f>
        <v>Emp1177</v>
      </c>
      <c r="K202" s="36" t="str" vm="639">
        <f>CUBEMEMBER("ThisWorkbookDataModel",{"[Indian_Employee_Data].[Employee ID].&amp;[Emp1177]","[Indian_Employee_Data].[Insurance tier].&amp;[Silver]"})</f>
        <v>Silver</v>
      </c>
      <c r="L202" s="37" vm="1332">
        <f>CUBEVALUE("ThisWorkbookDataModel",$K202,L$29,Slicer_Department)</f>
        <v>96342</v>
      </c>
      <c r="M202" s="37" vm="1331">
        <f>CUBEVALUE("ThisWorkbookDataModel",$K202,M$29,Slicer_Department)</f>
        <v>4200</v>
      </c>
      <c r="N202" s="37" t="e">
        <f t="shared" si="13"/>
        <v>#N/A</v>
      </c>
      <c r="O202" s="37" vm="1331">
        <f t="shared" si="14"/>
        <v>4200</v>
      </c>
      <c r="P202" s="37" t="e">
        <f t="shared" si="15"/>
        <v>#N/A</v>
      </c>
      <c r="Q202" s="37" t="e">
        <f t="shared" si="16"/>
        <v>#N/A</v>
      </c>
      <c r="R202" s="37" vm="1332">
        <f t="shared" si="17"/>
        <v>96342</v>
      </c>
      <c r="S202" s="37" t="e">
        <f t="shared" si="18"/>
        <v>#N/A</v>
      </c>
    </row>
    <row r="203" spans="10:19" x14ac:dyDescent="0.25">
      <c r="J203" s="36" t="str" vm="638">
        <f>CUBEMEMBER("ThisWorkbookDataModel","[Indian_Employee_Data].[Employee ID].&amp;[Emp1178]")</f>
        <v>Emp1178</v>
      </c>
      <c r="K203" s="36" t="str" vm="637">
        <f>CUBEMEMBER("ThisWorkbookDataModel",{"[Indian_Employee_Data].[Employee ID].&amp;[Emp1178]","[Indian_Employee_Data].[Insurance tier].&amp;[Gold]"})</f>
        <v>Gold</v>
      </c>
      <c r="L203" s="37" vm="1334">
        <f>CUBEVALUE("ThisWorkbookDataModel",$K203,L$29,Slicer_Department)</f>
        <v>200645</v>
      </c>
      <c r="M203" s="37" vm="1333">
        <f>CUBEVALUE("ThisWorkbookDataModel",$K203,M$29,Slicer_Department)</f>
        <v>9000</v>
      </c>
      <c r="N203" s="37" t="e">
        <f t="shared" si="13"/>
        <v>#N/A</v>
      </c>
      <c r="O203" s="37" t="e">
        <f t="shared" si="14"/>
        <v>#N/A</v>
      </c>
      <c r="P203" s="37" vm="1333">
        <f t="shared" si="15"/>
        <v>9000</v>
      </c>
      <c r="Q203" s="37" t="e">
        <f t="shared" si="16"/>
        <v>#N/A</v>
      </c>
      <c r="R203" s="37" t="e">
        <f t="shared" si="17"/>
        <v>#N/A</v>
      </c>
      <c r="S203" s="37" vm="1334">
        <f t="shared" si="18"/>
        <v>200645</v>
      </c>
    </row>
    <row r="204" spans="10:19" x14ac:dyDescent="0.25">
      <c r="J204" s="36" t="str" vm="636">
        <f>CUBEMEMBER("ThisWorkbookDataModel","[Indian_Employee_Data].[Employee ID].&amp;[Emp1179]")</f>
        <v>Emp1179</v>
      </c>
      <c r="K204" s="36" t="str" vm="635">
        <f>CUBEMEMBER("ThisWorkbookDataModel",{"[Indian_Employee_Data].[Employee ID].&amp;[Emp1179]","[Indian_Employee_Data].[Insurance tier].&amp;[Silver]"})</f>
        <v>Silver</v>
      </c>
      <c r="L204" s="37" vm="1336">
        <f>CUBEVALUE("ThisWorkbookDataModel",$K204,L$29,Slicer_Department)</f>
        <v>66897</v>
      </c>
      <c r="M204" s="37" vm="1335">
        <f>CUBEVALUE("ThisWorkbookDataModel",$K204,M$29,Slicer_Department)</f>
        <v>4200</v>
      </c>
      <c r="N204" s="37" t="e">
        <f t="shared" si="13"/>
        <v>#N/A</v>
      </c>
      <c r="O204" s="37" vm="1335">
        <f t="shared" si="14"/>
        <v>4200</v>
      </c>
      <c r="P204" s="37" t="e">
        <f t="shared" si="15"/>
        <v>#N/A</v>
      </c>
      <c r="Q204" s="37" t="e">
        <f t="shared" si="16"/>
        <v>#N/A</v>
      </c>
      <c r="R204" s="37" vm="1336">
        <f t="shared" si="17"/>
        <v>66897</v>
      </c>
      <c r="S204" s="37" t="e">
        <f t="shared" si="18"/>
        <v>#N/A</v>
      </c>
    </row>
    <row r="205" spans="10:19" x14ac:dyDescent="0.25">
      <c r="J205" s="36" t="str" vm="634">
        <f>CUBEMEMBER("ThisWorkbookDataModel","[Indian_Employee_Data].[Employee ID].&amp;[Emp1180]")</f>
        <v>Emp1180</v>
      </c>
      <c r="K205" s="36" t="str" vm="633">
        <f>CUBEMEMBER("ThisWorkbookDataModel",{"[Indian_Employee_Data].[Employee ID].&amp;[Emp1180]","[Indian_Employee_Data].[Insurance tier].&amp;[Silver]"})</f>
        <v>Silver</v>
      </c>
      <c r="L205" s="37" vm="1338">
        <f>CUBEVALUE("ThisWorkbookDataModel",$K205,L$29,Slicer_Department)</f>
        <v>90723</v>
      </c>
      <c r="M205" s="37" vm="1337">
        <f>CUBEVALUE("ThisWorkbookDataModel",$K205,M$29,Slicer_Department)</f>
        <v>4200</v>
      </c>
      <c r="N205" s="37" t="e">
        <f t="shared" si="13"/>
        <v>#N/A</v>
      </c>
      <c r="O205" s="37" vm="1337">
        <f t="shared" si="14"/>
        <v>4200</v>
      </c>
      <c r="P205" s="37" t="e">
        <f t="shared" si="15"/>
        <v>#N/A</v>
      </c>
      <c r="Q205" s="37" t="e">
        <f t="shared" si="16"/>
        <v>#N/A</v>
      </c>
      <c r="R205" s="37" vm="1338">
        <f t="shared" si="17"/>
        <v>90723</v>
      </c>
      <c r="S205" s="37" t="e">
        <f t="shared" si="18"/>
        <v>#N/A</v>
      </c>
    </row>
    <row r="206" spans="10:19" x14ac:dyDescent="0.25">
      <c r="J206" s="36" t="str" vm="632">
        <f>CUBEMEMBER("ThisWorkbookDataModel","[Indian_Employee_Data].[Employee ID].&amp;[Emp1181]")</f>
        <v>Emp1181</v>
      </c>
      <c r="K206" s="36" t="str" vm="631">
        <f>CUBEMEMBER("ThisWorkbookDataModel",{"[Indian_Employee_Data].[Employee ID].&amp;[Emp1181]","[Indian_Employee_Data].[Insurance tier].&amp;[Silver]"})</f>
        <v>Silver</v>
      </c>
      <c r="L206" s="37" vm="1340">
        <f>CUBEVALUE("ThisWorkbookDataModel",$K206,L$29,Slicer_Department)</f>
        <v>63516</v>
      </c>
      <c r="M206" s="37" vm="1339">
        <f>CUBEVALUE("ThisWorkbookDataModel",$K206,M$29,Slicer_Department)</f>
        <v>4200</v>
      </c>
      <c r="N206" s="37" t="e">
        <f t="shared" si="13"/>
        <v>#N/A</v>
      </c>
      <c r="O206" s="37" vm="1339">
        <f t="shared" si="14"/>
        <v>4200</v>
      </c>
      <c r="P206" s="37" t="e">
        <f t="shared" si="15"/>
        <v>#N/A</v>
      </c>
      <c r="Q206" s="37" t="e">
        <f t="shared" si="16"/>
        <v>#N/A</v>
      </c>
      <c r="R206" s="37" vm="1340">
        <f t="shared" si="17"/>
        <v>63516</v>
      </c>
      <c r="S206" s="37" t="e">
        <f t="shared" si="18"/>
        <v>#N/A</v>
      </c>
    </row>
    <row r="207" spans="10:19" x14ac:dyDescent="0.25">
      <c r="J207" s="36" t="str" vm="630">
        <f>CUBEMEMBER("ThisWorkbookDataModel","[Indian_Employee_Data].[Employee ID].&amp;[Emp1182]")</f>
        <v>Emp1182</v>
      </c>
      <c r="K207" s="36" t="str" vm="629">
        <f>CUBEMEMBER("ThisWorkbookDataModel",{"[Indian_Employee_Data].[Employee ID].&amp;[Emp1182]","[Indian_Employee_Data].[Insurance tier].&amp;[Gold]"})</f>
        <v>Gold</v>
      </c>
      <c r="L207" s="37" vm="1342">
        <f>CUBEVALUE("ThisWorkbookDataModel",$K207,L$29,Slicer_Department)</f>
        <v>196154</v>
      </c>
      <c r="M207" s="37" vm="1341">
        <f>CUBEVALUE("ThisWorkbookDataModel",$K207,M$29,Slicer_Department)</f>
        <v>6750</v>
      </c>
      <c r="N207" s="37" t="e">
        <f t="shared" si="13"/>
        <v>#N/A</v>
      </c>
      <c r="O207" s="37" t="e">
        <f t="shared" si="14"/>
        <v>#N/A</v>
      </c>
      <c r="P207" s="37" vm="1341">
        <f t="shared" si="15"/>
        <v>6750</v>
      </c>
      <c r="Q207" s="37" t="e">
        <f t="shared" si="16"/>
        <v>#N/A</v>
      </c>
      <c r="R207" s="37" t="e">
        <f t="shared" si="17"/>
        <v>#N/A</v>
      </c>
      <c r="S207" s="37" vm="1342">
        <f t="shared" si="18"/>
        <v>196154</v>
      </c>
    </row>
    <row r="208" spans="10:19" x14ac:dyDescent="0.25">
      <c r="J208" s="36" t="str" vm="628">
        <f>CUBEMEMBER("ThisWorkbookDataModel","[Indian_Employee_Data].[Employee ID].&amp;[Emp1183]")</f>
        <v>Emp1183</v>
      </c>
      <c r="K208" s="36" t="str" vm="627">
        <f>CUBEMEMBER("ThisWorkbookDataModel",{"[Indian_Employee_Data].[Employee ID].&amp;[Emp1183]","[Indian_Employee_Data].[Insurance tier].&amp;[Gold]"})</f>
        <v>Gold</v>
      </c>
      <c r="L208" s="37" vm="1344">
        <f>CUBEVALUE("ThisWorkbookDataModel",$K208,L$29,Slicer_Department)</f>
        <v>181280</v>
      </c>
      <c r="M208" s="37" vm="1343">
        <f>CUBEVALUE("ThisWorkbookDataModel",$K208,M$29,Slicer_Department)</f>
        <v>6750</v>
      </c>
      <c r="N208" s="37" t="e">
        <f t="shared" si="13"/>
        <v>#N/A</v>
      </c>
      <c r="O208" s="37" t="e">
        <f t="shared" si="14"/>
        <v>#N/A</v>
      </c>
      <c r="P208" s="37" vm="1343">
        <f t="shared" si="15"/>
        <v>6750</v>
      </c>
      <c r="Q208" s="37" t="e">
        <f t="shared" si="16"/>
        <v>#N/A</v>
      </c>
      <c r="R208" s="37" t="e">
        <f t="shared" si="17"/>
        <v>#N/A</v>
      </c>
      <c r="S208" s="37" vm="1344">
        <f t="shared" si="18"/>
        <v>181280</v>
      </c>
    </row>
    <row r="209" spans="10:19" x14ac:dyDescent="0.25">
      <c r="J209" s="36" t="str" vm="626">
        <f>CUBEMEMBER("ThisWorkbookDataModel","[Indian_Employee_Data].[Employee ID].&amp;[Emp1184]")</f>
        <v>Emp1184</v>
      </c>
      <c r="K209" s="36" t="str" vm="625">
        <f>CUBEMEMBER("ThisWorkbookDataModel",{"[Indian_Employee_Data].[Employee ID].&amp;[Emp1184]","[Indian_Employee_Data].[Insurance tier].&amp;[Silver]"})</f>
        <v>Silver</v>
      </c>
      <c r="L209" s="37" vm="1346">
        <f>CUBEVALUE("ThisWorkbookDataModel",$K209,L$29,Slicer_Department)</f>
        <v>80975</v>
      </c>
      <c r="M209" s="37" vm="1345">
        <f>CUBEVALUE("ThisWorkbookDataModel",$K209,M$29,Slicer_Department)</f>
        <v>4200</v>
      </c>
      <c r="N209" s="37" t="e">
        <f t="shared" si="13"/>
        <v>#N/A</v>
      </c>
      <c r="O209" s="37" vm="1345">
        <f t="shared" si="14"/>
        <v>4200</v>
      </c>
      <c r="P209" s="37" t="e">
        <f t="shared" si="15"/>
        <v>#N/A</v>
      </c>
      <c r="Q209" s="37" t="e">
        <f t="shared" si="16"/>
        <v>#N/A</v>
      </c>
      <c r="R209" s="37" vm="1346">
        <f t="shared" si="17"/>
        <v>80975</v>
      </c>
      <c r="S209" s="37" t="e">
        <f t="shared" si="18"/>
        <v>#N/A</v>
      </c>
    </row>
    <row r="210" spans="10:19" x14ac:dyDescent="0.25">
      <c r="J210" s="36" t="str" vm="624">
        <f>CUBEMEMBER("ThisWorkbookDataModel","[Indian_Employee_Data].[Employee ID].&amp;[Emp1185]")</f>
        <v>Emp1185</v>
      </c>
      <c r="K210" s="36" t="str" vm="623">
        <f>CUBEMEMBER("ThisWorkbookDataModel",{"[Indian_Employee_Data].[Employee ID].&amp;[Emp1185]","[Indian_Employee_Data].[Insurance tier].&amp;[Gold]"})</f>
        <v>Gold</v>
      </c>
      <c r="L210" s="37" vm="1348">
        <f>CUBEVALUE("ThisWorkbookDataModel",$K210,L$29,Slicer_Department)</f>
        <v>135585</v>
      </c>
      <c r="M210" s="37" vm="1347">
        <f>CUBEVALUE("ThisWorkbookDataModel",$K210,M$29,Slicer_Department)</f>
        <v>9000</v>
      </c>
      <c r="N210" s="37" t="e">
        <f t="shared" si="13"/>
        <v>#N/A</v>
      </c>
      <c r="O210" s="37" t="e">
        <f t="shared" si="14"/>
        <v>#N/A</v>
      </c>
      <c r="P210" s="37" vm="1347">
        <f t="shared" si="15"/>
        <v>9000</v>
      </c>
      <c r="Q210" s="37" t="e">
        <f t="shared" si="16"/>
        <v>#N/A</v>
      </c>
      <c r="R210" s="37" t="e">
        <f t="shared" si="17"/>
        <v>#N/A</v>
      </c>
      <c r="S210" s="37" vm="1348">
        <f t="shared" si="18"/>
        <v>135585</v>
      </c>
    </row>
    <row r="211" spans="10:19" x14ac:dyDescent="0.25">
      <c r="J211" s="36" t="str" vm="622">
        <f>CUBEMEMBER("ThisWorkbookDataModel","[Indian_Employee_Data].[Employee ID].&amp;[Emp1186]")</f>
        <v>Emp1186</v>
      </c>
      <c r="K211" s="36" t="str" vm="621">
        <f>CUBEMEMBER("ThisWorkbookDataModel",{"[Indian_Employee_Data].[Employee ID].&amp;[Emp1186]","[Indian_Employee_Data].[Insurance tier].&amp;[Gold]"})</f>
        <v>Gold</v>
      </c>
      <c r="L211" s="37" vm="1350">
        <f>CUBEVALUE("ThisWorkbookDataModel",$K211,L$29,Slicer_Department)</f>
        <v>166113</v>
      </c>
      <c r="M211" s="37" vm="1349">
        <f>CUBEVALUE("ThisWorkbookDataModel",$K211,M$29,Slicer_Department)</f>
        <v>9000</v>
      </c>
      <c r="N211" s="37" t="e">
        <f t="shared" si="13"/>
        <v>#N/A</v>
      </c>
      <c r="O211" s="37" t="e">
        <f t="shared" si="14"/>
        <v>#N/A</v>
      </c>
      <c r="P211" s="37" vm="1349">
        <f t="shared" si="15"/>
        <v>9000</v>
      </c>
      <c r="Q211" s="37" t="e">
        <f t="shared" si="16"/>
        <v>#N/A</v>
      </c>
      <c r="R211" s="37" t="e">
        <f t="shared" si="17"/>
        <v>#N/A</v>
      </c>
      <c r="S211" s="37" vm="1350">
        <f t="shared" si="18"/>
        <v>166113</v>
      </c>
    </row>
    <row r="212" spans="10:19" x14ac:dyDescent="0.25">
      <c r="J212" s="36" t="str" vm="620">
        <f>CUBEMEMBER("ThisWorkbookDataModel","[Indian_Employee_Data].[Employee ID].&amp;[Emp1187]")</f>
        <v>Emp1187</v>
      </c>
      <c r="K212" s="36" t="str" vm="619">
        <f>CUBEMEMBER("ThisWorkbookDataModel",{"[Indian_Employee_Data].[Employee ID].&amp;[Emp1187]","[Indian_Employee_Data].[Insurance tier].&amp;[Silver]"})</f>
        <v>Silver</v>
      </c>
      <c r="L212" s="37" vm="1352">
        <f>CUBEVALUE("ThisWorkbookDataModel",$K212,L$29,Slicer_Department)</f>
        <v>119138</v>
      </c>
      <c r="M212" s="37" vm="1351">
        <f>CUBEVALUE("ThisWorkbookDataModel",$K212,M$29,Slicer_Department)</f>
        <v>2800</v>
      </c>
      <c r="N212" s="37" t="e">
        <f t="shared" si="13"/>
        <v>#N/A</v>
      </c>
      <c r="O212" s="37" vm="1351">
        <f t="shared" si="14"/>
        <v>2800</v>
      </c>
      <c r="P212" s="37" t="e">
        <f t="shared" si="15"/>
        <v>#N/A</v>
      </c>
      <c r="Q212" s="37" t="e">
        <f t="shared" si="16"/>
        <v>#N/A</v>
      </c>
      <c r="R212" s="37" vm="1352">
        <f t="shared" si="17"/>
        <v>119138</v>
      </c>
      <c r="S212" s="37" t="e">
        <f t="shared" si="18"/>
        <v>#N/A</v>
      </c>
    </row>
    <row r="213" spans="10:19" x14ac:dyDescent="0.25">
      <c r="J213" s="36" t="str" vm="618">
        <f>CUBEMEMBER("ThisWorkbookDataModel","[Indian_Employee_Data].[Employee ID].&amp;[Emp1188]")</f>
        <v>Emp1188</v>
      </c>
      <c r="K213" s="36" t="str" vm="617">
        <f>CUBEMEMBER("ThisWorkbookDataModel",{"[Indian_Employee_Data].[Employee ID].&amp;[Emp1188]","[Indian_Employee_Data].[Insurance tier].&amp;[Silver]"})</f>
        <v>Silver</v>
      </c>
      <c r="L213" s="37" vm="1354">
        <f>CUBEVALUE("ThisWorkbookDataModel",$K213,L$29,Slicer_Department)</f>
        <v>115432</v>
      </c>
      <c r="M213" s="37" vm="1353">
        <f>CUBEVALUE("ThisWorkbookDataModel",$K213,M$29,Slicer_Department)</f>
        <v>4200</v>
      </c>
      <c r="N213" s="37" t="e">
        <f t="shared" si="13"/>
        <v>#N/A</v>
      </c>
      <c r="O213" s="37" vm="1353">
        <f t="shared" si="14"/>
        <v>4200</v>
      </c>
      <c r="P213" s="37" t="e">
        <f t="shared" si="15"/>
        <v>#N/A</v>
      </c>
      <c r="Q213" s="37" t="e">
        <f t="shared" si="16"/>
        <v>#N/A</v>
      </c>
      <c r="R213" s="37" vm="1354">
        <f t="shared" si="17"/>
        <v>115432</v>
      </c>
      <c r="S213" s="37" t="e">
        <f t="shared" si="18"/>
        <v>#N/A</v>
      </c>
    </row>
    <row r="214" spans="10:19" x14ac:dyDescent="0.25">
      <c r="J214" s="36" t="str" vm="616">
        <f>CUBEMEMBER("ThisWorkbookDataModel","[Indian_Employee_Data].[Employee ID].&amp;[Emp1189]")</f>
        <v>Emp1189</v>
      </c>
      <c r="K214" s="36" t="str" vm="615">
        <f>CUBEMEMBER("ThisWorkbookDataModel",{"[Indian_Employee_Data].[Employee ID].&amp;[Emp1189]","[Indian_Employee_Data].[Insurance tier].&amp;[Silver]"})</f>
        <v>Silver</v>
      </c>
      <c r="L214" s="37" vm="1356">
        <f>CUBEVALUE("ThisWorkbookDataModel",$K214,L$29,Slicer_Department)</f>
        <v>79153</v>
      </c>
      <c r="M214" s="37" vm="1355">
        <f>CUBEVALUE("ThisWorkbookDataModel",$K214,M$29,Slicer_Department)</f>
        <v>2800</v>
      </c>
      <c r="N214" s="37" t="e">
        <f t="shared" si="13"/>
        <v>#N/A</v>
      </c>
      <c r="O214" s="37" vm="1355">
        <f t="shared" si="14"/>
        <v>2800</v>
      </c>
      <c r="P214" s="37" t="e">
        <f t="shared" si="15"/>
        <v>#N/A</v>
      </c>
      <c r="Q214" s="37" t="e">
        <f t="shared" si="16"/>
        <v>#N/A</v>
      </c>
      <c r="R214" s="37" vm="1356">
        <f t="shared" si="17"/>
        <v>79153</v>
      </c>
      <c r="S214" s="37" t="e">
        <f t="shared" si="18"/>
        <v>#N/A</v>
      </c>
    </row>
    <row r="215" spans="10:19" x14ac:dyDescent="0.25">
      <c r="J215" s="36" t="str" vm="614">
        <f>CUBEMEMBER("ThisWorkbookDataModel","[Indian_Employee_Data].[Employee ID].&amp;[Emp1190]")</f>
        <v>Emp1190</v>
      </c>
      <c r="K215" s="36" t="str" vm="613">
        <f>CUBEMEMBER("ThisWorkbookDataModel",{"[Indian_Employee_Data].[Employee ID].&amp;[Emp1190]","[Indian_Employee_Data].[Insurance tier].&amp;[Silver]"})</f>
        <v>Silver</v>
      </c>
      <c r="L215" s="37" vm="1358">
        <f>CUBEVALUE("ThisWorkbookDataModel",$K215,L$29,Slicer_Department)</f>
        <v>60359</v>
      </c>
      <c r="M215" s="37" vm="1357">
        <f>CUBEVALUE("ThisWorkbookDataModel",$K215,M$29,Slicer_Department)</f>
        <v>4200</v>
      </c>
      <c r="N215" s="37" t="e">
        <f t="shared" si="13"/>
        <v>#N/A</v>
      </c>
      <c r="O215" s="37" vm="1357">
        <f t="shared" si="14"/>
        <v>4200</v>
      </c>
      <c r="P215" s="37" t="e">
        <f t="shared" si="15"/>
        <v>#N/A</v>
      </c>
      <c r="Q215" s="37" t="e">
        <f t="shared" si="16"/>
        <v>#N/A</v>
      </c>
      <c r="R215" s="37" vm="1358">
        <f t="shared" si="17"/>
        <v>60359</v>
      </c>
      <c r="S215" s="37" t="e">
        <f t="shared" si="18"/>
        <v>#N/A</v>
      </c>
    </row>
    <row r="216" spans="10:19" x14ac:dyDescent="0.25">
      <c r="J216" s="36" t="str" vm="612">
        <f>CUBEMEMBER("ThisWorkbookDataModel","[Indian_Employee_Data].[Employee ID].&amp;[Emp1191]")</f>
        <v>Emp1191</v>
      </c>
      <c r="K216" s="36" t="str" vm="611">
        <f>CUBEMEMBER("ThisWorkbookDataModel",{"[Indian_Employee_Data].[Employee ID].&amp;[Emp1191]","[Indian_Employee_Data].[Insurance tier].&amp;[Gold]"})</f>
        <v>Gold</v>
      </c>
      <c r="L216" s="37" vm="1360">
        <f>CUBEVALUE("ThisWorkbookDataModel",$K216,L$29,Slicer_Department)</f>
        <v>187093</v>
      </c>
      <c r="M216" s="37" vm="1359">
        <f>CUBEVALUE("ThisWorkbookDataModel",$K216,M$29,Slicer_Department)</f>
        <v>9000</v>
      </c>
      <c r="N216" s="37" t="e">
        <f t="shared" si="13"/>
        <v>#N/A</v>
      </c>
      <c r="O216" s="37" t="e">
        <f t="shared" si="14"/>
        <v>#N/A</v>
      </c>
      <c r="P216" s="37" vm="1359">
        <f t="shared" si="15"/>
        <v>9000</v>
      </c>
      <c r="Q216" s="37" t="e">
        <f t="shared" si="16"/>
        <v>#N/A</v>
      </c>
      <c r="R216" s="37" t="e">
        <f t="shared" si="17"/>
        <v>#N/A</v>
      </c>
      <c r="S216" s="37" vm="1360">
        <f t="shared" si="18"/>
        <v>187093</v>
      </c>
    </row>
    <row r="217" spans="10:19" x14ac:dyDescent="0.25">
      <c r="J217" s="36" t="str" vm="610">
        <f>CUBEMEMBER("ThisWorkbookDataModel","[Indian_Employee_Data].[Employee ID].&amp;[Emp1192]")</f>
        <v>Emp1192</v>
      </c>
      <c r="K217" s="36" t="str" vm="609">
        <f>CUBEMEMBER("ThisWorkbookDataModel",{"[Indian_Employee_Data].[Employee ID].&amp;[Emp1192]","[Indian_Employee_Data].[Insurance tier].&amp;[Gold]"})</f>
        <v>Gold</v>
      </c>
      <c r="L217" s="37" vm="1362">
        <f>CUBEVALUE("ThisWorkbookDataModel",$K217,L$29,Slicer_Department)</f>
        <v>188081</v>
      </c>
      <c r="M217" s="37" vm="1361">
        <f>CUBEVALUE("ThisWorkbookDataModel",$K217,M$29,Slicer_Department)</f>
        <v>9000</v>
      </c>
      <c r="N217" s="37" t="e">
        <f t="shared" si="13"/>
        <v>#N/A</v>
      </c>
      <c r="O217" s="37" t="e">
        <f t="shared" si="14"/>
        <v>#N/A</v>
      </c>
      <c r="P217" s="37" vm="1361">
        <f t="shared" si="15"/>
        <v>9000</v>
      </c>
      <c r="Q217" s="37" t="e">
        <f t="shared" si="16"/>
        <v>#N/A</v>
      </c>
      <c r="R217" s="37" t="e">
        <f t="shared" si="17"/>
        <v>#N/A</v>
      </c>
      <c r="S217" s="37" vm="1362">
        <f t="shared" si="18"/>
        <v>188081</v>
      </c>
    </row>
    <row r="218" spans="10:19" x14ac:dyDescent="0.25">
      <c r="J218" s="36" t="str" vm="608">
        <f>CUBEMEMBER("ThisWorkbookDataModel","[Indian_Employee_Data].[Employee ID].&amp;[Emp1193]")</f>
        <v>Emp1193</v>
      </c>
      <c r="K218" s="36" t="str" vm="607">
        <f>CUBEMEMBER("ThisWorkbookDataModel",{"[Indian_Employee_Data].[Employee ID].&amp;[Emp1193]","[Indian_Employee_Data].[Insurance tier].&amp;[Gold]"})</f>
        <v>Gold</v>
      </c>
      <c r="L218" s="37" vm="1364">
        <f>CUBEVALUE("ThisWorkbookDataModel",$K218,L$29,Slicer_Department)</f>
        <v>131148</v>
      </c>
      <c r="M218" s="37" vm="1363">
        <f>CUBEVALUE("ThisWorkbookDataModel",$K218,M$29,Slicer_Department)</f>
        <v>6750</v>
      </c>
      <c r="N218" s="37" t="e">
        <f t="shared" si="13"/>
        <v>#N/A</v>
      </c>
      <c r="O218" s="37" t="e">
        <f t="shared" si="14"/>
        <v>#N/A</v>
      </c>
      <c r="P218" s="37" vm="1363">
        <f t="shared" si="15"/>
        <v>6750</v>
      </c>
      <c r="Q218" s="37" t="e">
        <f t="shared" si="16"/>
        <v>#N/A</v>
      </c>
      <c r="R218" s="37" t="e">
        <f t="shared" si="17"/>
        <v>#N/A</v>
      </c>
      <c r="S218" s="37" vm="1364">
        <f t="shared" si="18"/>
        <v>131148</v>
      </c>
    </row>
    <row r="219" spans="10:19" x14ac:dyDescent="0.25">
      <c r="J219" s="36" t="str" vm="606">
        <f>CUBEMEMBER("ThisWorkbookDataModel","[Indian_Employee_Data].[Employee ID].&amp;[Emp1194]")</f>
        <v>Emp1194</v>
      </c>
      <c r="K219" s="36" t="str" vm="605">
        <f>CUBEMEMBER("ThisWorkbookDataModel",{"[Indian_Employee_Data].[Employee ID].&amp;[Emp1194]","[Indian_Employee_Data].[Insurance tier].&amp;[Silver]"})</f>
        <v>Silver</v>
      </c>
      <c r="L219" s="37" vm="1366">
        <f>CUBEVALUE("ThisWorkbookDataModel",$K219,L$29,Slicer_Department)</f>
        <v>90477</v>
      </c>
      <c r="M219" s="37" vm="1365">
        <f>CUBEVALUE("ThisWorkbookDataModel",$K219,M$29,Slicer_Department)</f>
        <v>4200</v>
      </c>
      <c r="N219" s="37" t="e">
        <f t="shared" si="13"/>
        <v>#N/A</v>
      </c>
      <c r="O219" s="37" vm="1365">
        <f t="shared" si="14"/>
        <v>4200</v>
      </c>
      <c r="P219" s="37" t="e">
        <f t="shared" si="15"/>
        <v>#N/A</v>
      </c>
      <c r="Q219" s="37" t="e">
        <f t="shared" si="16"/>
        <v>#N/A</v>
      </c>
      <c r="R219" s="37" vm="1366">
        <f t="shared" si="17"/>
        <v>90477</v>
      </c>
      <c r="S219" s="37" t="e">
        <f t="shared" si="18"/>
        <v>#N/A</v>
      </c>
    </row>
    <row r="220" spans="10:19" x14ac:dyDescent="0.25">
      <c r="J220" s="36" t="str" vm="604">
        <f>CUBEMEMBER("ThisWorkbookDataModel","[Indian_Employee_Data].[Employee ID].&amp;[Emp1195]")</f>
        <v>Emp1195</v>
      </c>
      <c r="K220" s="36" t="str" vm="603">
        <f>CUBEMEMBER("ThisWorkbookDataModel",{"[Indian_Employee_Data].[Employee ID].&amp;[Emp1195]","[Indian_Employee_Data].[Insurance tier].&amp;[Silver]"})</f>
        <v>Silver</v>
      </c>
      <c r="L220" s="37" vm="1368">
        <f>CUBEVALUE("ThisWorkbookDataModel",$K220,L$29,Slicer_Department)</f>
        <v>91710</v>
      </c>
      <c r="M220" s="37" vm="1367">
        <f>CUBEVALUE("ThisWorkbookDataModel",$K220,M$29,Slicer_Department)</f>
        <v>4200</v>
      </c>
      <c r="N220" s="37" t="e">
        <f t="shared" si="13"/>
        <v>#N/A</v>
      </c>
      <c r="O220" s="37" vm="1367">
        <f t="shared" si="14"/>
        <v>4200</v>
      </c>
      <c r="P220" s="37" t="e">
        <f t="shared" si="15"/>
        <v>#N/A</v>
      </c>
      <c r="Q220" s="37" t="e">
        <f t="shared" si="16"/>
        <v>#N/A</v>
      </c>
      <c r="R220" s="37" vm="1368">
        <f t="shared" si="17"/>
        <v>91710</v>
      </c>
      <c r="S220" s="37" t="e">
        <f t="shared" si="18"/>
        <v>#N/A</v>
      </c>
    </row>
    <row r="221" spans="10:19" x14ac:dyDescent="0.25">
      <c r="J221" s="36" t="str" vm="602">
        <f>CUBEMEMBER("ThisWorkbookDataModel","[Indian_Employee_Data].[Employee ID].&amp;[Emp1196]")</f>
        <v>Emp1196</v>
      </c>
      <c r="K221" s="36" t="str" vm="601">
        <f>CUBEMEMBER("ThisWorkbookDataModel",{"[Indian_Employee_Data].[Employee ID].&amp;[Emp1196]","[Indian_Employee_Data].[Insurance tier].&amp;[Gold]"})</f>
        <v>Gold</v>
      </c>
      <c r="L221" s="37" vm="1370">
        <f>CUBEVALUE("ThisWorkbookDataModel",$K221,L$29,Slicer_Department)</f>
        <v>147283</v>
      </c>
      <c r="M221" s="37" vm="1369">
        <f>CUBEVALUE("ThisWorkbookDataModel",$K221,M$29,Slicer_Department)</f>
        <v>9000</v>
      </c>
      <c r="N221" s="37" t="e">
        <f t="shared" si="13"/>
        <v>#N/A</v>
      </c>
      <c r="O221" s="37" t="e">
        <f t="shared" si="14"/>
        <v>#N/A</v>
      </c>
      <c r="P221" s="37" vm="1369">
        <f t="shared" si="15"/>
        <v>9000</v>
      </c>
      <c r="Q221" s="37" t="e">
        <f t="shared" si="16"/>
        <v>#N/A</v>
      </c>
      <c r="R221" s="37" t="e">
        <f t="shared" si="17"/>
        <v>#N/A</v>
      </c>
      <c r="S221" s="37" vm="1370">
        <f t="shared" si="18"/>
        <v>147283</v>
      </c>
    </row>
    <row r="222" spans="10:19" x14ac:dyDescent="0.25">
      <c r="J222" s="36" t="str" vm="600">
        <f>CUBEMEMBER("ThisWorkbookDataModel","[Indian_Employee_Data].[Employee ID].&amp;[Emp1197]")</f>
        <v>Emp1197</v>
      </c>
      <c r="K222" s="36" t="str" vm="599">
        <f>CUBEMEMBER("ThisWorkbookDataModel",{"[Indian_Employee_Data].[Employee ID].&amp;[Emp1197]","[Indian_Employee_Data].[Insurance tier].&amp;[Gold]"})</f>
        <v>Gold</v>
      </c>
      <c r="L222" s="37" vm="1372">
        <f>CUBEVALUE("ThisWorkbookDataModel",$K222,L$29,Slicer_Department)</f>
        <v>187061</v>
      </c>
      <c r="M222" s="37" vm="1371">
        <f>CUBEVALUE("ThisWorkbookDataModel",$K222,M$29,Slicer_Department)</f>
        <v>9000</v>
      </c>
      <c r="N222" s="37" t="e">
        <f t="shared" ref="N222:N285" si="19">IF(AND($K222="Bronze",ISNUMBER($L222),ISNUMBER($M222)),$M222,NA())</f>
        <v>#N/A</v>
      </c>
      <c r="O222" s="37" t="e">
        <f t="shared" ref="O222:O285" si="20">IF(AND($K222="Silver",ISNUMBER($L222),ISNUMBER($M222)),$M222,NA())</f>
        <v>#N/A</v>
      </c>
      <c r="P222" s="37" vm="1371">
        <f t="shared" ref="P222:P285" si="21">IF(AND($K222="Gold",ISNUMBER($L222),ISNUMBER($M222)),$M222,NA())</f>
        <v>9000</v>
      </c>
      <c r="Q222" s="37" t="e">
        <f t="shared" ref="Q222:Q285" si="22">IF(AND($K222="Bronze",ISNUMBER($L222),ISNUMBER($N222)),$L222,NA())</f>
        <v>#N/A</v>
      </c>
      <c r="R222" s="37" t="e">
        <f t="shared" ref="R222:R285" si="23">IF(AND($K222="Silver",ISNUMBER($L222),ISNUMBER($O222)),$L222,NA())</f>
        <v>#N/A</v>
      </c>
      <c r="S222" s="37" vm="1372">
        <f t="shared" ref="S222:S285" si="24">IF(AND($K222="Gold",ISNUMBER($L222),ISNUMBER($P222)),$L222,NA())</f>
        <v>187061</v>
      </c>
    </row>
    <row r="223" spans="10:19" x14ac:dyDescent="0.25">
      <c r="J223" s="36" t="str" vm="598">
        <f>CUBEMEMBER("ThisWorkbookDataModel","[Indian_Employee_Data].[Employee ID].&amp;[Emp1198]")</f>
        <v>Emp1198</v>
      </c>
      <c r="K223" s="36" t="str" vm="597">
        <f>CUBEMEMBER("ThisWorkbookDataModel",{"[Indian_Employee_Data].[Employee ID].&amp;[Emp1198]","[Indian_Employee_Data].[Insurance tier].&amp;[Gold]"})</f>
        <v>Gold</v>
      </c>
      <c r="L223" s="37" vm="1374">
        <f>CUBEVALUE("ThisWorkbookDataModel",$K223,L$29,Slicer_Department)</f>
        <v>184066</v>
      </c>
      <c r="M223" s="37" vm="1373">
        <f>CUBEVALUE("ThisWorkbookDataModel",$K223,M$29,Slicer_Department)</f>
        <v>9000</v>
      </c>
      <c r="N223" s="37" t="e">
        <f t="shared" si="19"/>
        <v>#N/A</v>
      </c>
      <c r="O223" s="37" t="e">
        <f t="shared" si="20"/>
        <v>#N/A</v>
      </c>
      <c r="P223" s="37" vm="1373">
        <f t="shared" si="21"/>
        <v>9000</v>
      </c>
      <c r="Q223" s="37" t="e">
        <f t="shared" si="22"/>
        <v>#N/A</v>
      </c>
      <c r="R223" s="37" t="e">
        <f t="shared" si="23"/>
        <v>#N/A</v>
      </c>
      <c r="S223" s="37" vm="1374">
        <f t="shared" si="24"/>
        <v>184066</v>
      </c>
    </row>
    <row r="224" spans="10:19" x14ac:dyDescent="0.25">
      <c r="J224" s="36" t="str" vm="596">
        <f>CUBEMEMBER("ThisWorkbookDataModel","[Indian_Employee_Data].[Employee ID].&amp;[Emp1199]")</f>
        <v>Emp1199</v>
      </c>
      <c r="K224" s="36" t="str" vm="595">
        <f>CUBEMEMBER("ThisWorkbookDataModel",{"[Indian_Employee_Data].[Employee ID].&amp;[Emp1199]","[Indian_Employee_Data].[Insurance tier].&amp;[Gold]"})</f>
        <v>Gold</v>
      </c>
      <c r="L224" s="37" vm="1376">
        <f>CUBEVALUE("ThisWorkbookDataModel",$K224,L$29,Slicer_Department)</f>
        <v>157941</v>
      </c>
      <c r="M224" s="37" vm="1375">
        <f>CUBEVALUE("ThisWorkbookDataModel",$K224,M$29,Slicer_Department)</f>
        <v>9000</v>
      </c>
      <c r="N224" s="37" t="e">
        <f t="shared" si="19"/>
        <v>#N/A</v>
      </c>
      <c r="O224" s="37" t="e">
        <f t="shared" si="20"/>
        <v>#N/A</v>
      </c>
      <c r="P224" s="37" vm="1375">
        <f t="shared" si="21"/>
        <v>9000</v>
      </c>
      <c r="Q224" s="37" t="e">
        <f t="shared" si="22"/>
        <v>#N/A</v>
      </c>
      <c r="R224" s="37" t="e">
        <f t="shared" si="23"/>
        <v>#N/A</v>
      </c>
      <c r="S224" s="37" vm="1376">
        <f t="shared" si="24"/>
        <v>157941</v>
      </c>
    </row>
    <row r="225" spans="10:19" x14ac:dyDescent="0.25">
      <c r="J225" s="36" t="str" vm="594">
        <f>CUBEMEMBER("ThisWorkbookDataModel","[Indian_Employee_Data].[Employee ID].&amp;[Emp1200]")</f>
        <v>Emp1200</v>
      </c>
      <c r="K225" s="36" t="str" vm="593">
        <f>CUBEMEMBER("ThisWorkbookDataModel",{"[Indian_Employee_Data].[Employee ID].&amp;[Emp1200]","[Indian_Employee_Data].[Insurance tier].&amp;[Gold]"})</f>
        <v>Gold</v>
      </c>
      <c r="L225" s="37" vm="1378">
        <f>CUBEVALUE("ThisWorkbookDataModel",$K225,L$29,Slicer_Department)</f>
        <v>132604</v>
      </c>
      <c r="M225" s="37" vm="1377">
        <f>CUBEVALUE("ThisWorkbookDataModel",$K225,M$29,Slicer_Department)</f>
        <v>6750</v>
      </c>
      <c r="N225" s="37" t="e">
        <f t="shared" si="19"/>
        <v>#N/A</v>
      </c>
      <c r="O225" s="37" t="e">
        <f t="shared" si="20"/>
        <v>#N/A</v>
      </c>
      <c r="P225" s="37" vm="1377">
        <f t="shared" si="21"/>
        <v>6750</v>
      </c>
      <c r="Q225" s="37" t="e">
        <f t="shared" si="22"/>
        <v>#N/A</v>
      </c>
      <c r="R225" s="37" t="e">
        <f t="shared" si="23"/>
        <v>#N/A</v>
      </c>
      <c r="S225" s="37" vm="1378">
        <f t="shared" si="24"/>
        <v>132604</v>
      </c>
    </row>
    <row r="226" spans="10:19" x14ac:dyDescent="0.25">
      <c r="J226" s="36" t="str" vm="592">
        <f>CUBEMEMBER("ThisWorkbookDataModel","[Indian_Employee_Data].[Employee ID].&amp;[Emp1201]")</f>
        <v>Emp1201</v>
      </c>
      <c r="K226" s="36" t="str" vm="591">
        <f>CUBEMEMBER("ThisWorkbookDataModel",{"[Indian_Employee_Data].[Employee ID].&amp;[Emp1201]","[Indian_Employee_Data].[Insurance tier].&amp;[Bronze]"})</f>
        <v>Bronze</v>
      </c>
      <c r="L226" s="37" vm="1380">
        <f>CUBEVALUE("ThisWorkbookDataModel",$K226,L$29,Slicer_Department)</f>
        <v>58861</v>
      </c>
      <c r="M226" s="37" vm="1379">
        <f>CUBEVALUE("ThisWorkbookDataModel",$K226,M$29,Slicer_Department)</f>
        <v>1500</v>
      </c>
      <c r="N226" s="37" vm="1379">
        <f t="shared" si="19"/>
        <v>1500</v>
      </c>
      <c r="O226" s="37" t="e">
        <f t="shared" si="20"/>
        <v>#N/A</v>
      </c>
      <c r="P226" s="37" t="e">
        <f t="shared" si="21"/>
        <v>#N/A</v>
      </c>
      <c r="Q226" s="37" vm="1380">
        <f t="shared" si="22"/>
        <v>58861</v>
      </c>
      <c r="R226" s="37" t="e">
        <f t="shared" si="23"/>
        <v>#N/A</v>
      </c>
      <c r="S226" s="37" t="e">
        <f t="shared" si="24"/>
        <v>#N/A</v>
      </c>
    </row>
    <row r="227" spans="10:19" x14ac:dyDescent="0.25">
      <c r="J227" s="36" t="str" vm="590">
        <f>CUBEMEMBER("ThisWorkbookDataModel","[Indian_Employee_Data].[Employee ID].&amp;[Emp1202]")</f>
        <v>Emp1202</v>
      </c>
      <c r="K227" s="36" t="str" vm="589">
        <f>CUBEMEMBER("ThisWorkbookDataModel",{"[Indian_Employee_Data].[Employee ID].&amp;[Emp1202]","[Indian_Employee_Data].[Insurance tier].&amp;[Silver]"})</f>
        <v>Silver</v>
      </c>
      <c r="L227" s="37" vm="1382">
        <f>CUBEVALUE("ThisWorkbookDataModel",$K227,L$29,Slicer_Department)</f>
        <v>70001</v>
      </c>
      <c r="M227" s="37" vm="1381">
        <f>CUBEVALUE("ThisWorkbookDataModel",$K227,M$29,Slicer_Department)</f>
        <v>2800</v>
      </c>
      <c r="N227" s="37" t="e">
        <f t="shared" si="19"/>
        <v>#N/A</v>
      </c>
      <c r="O227" s="37" vm="1381">
        <f t="shared" si="20"/>
        <v>2800</v>
      </c>
      <c r="P227" s="37" t="e">
        <f t="shared" si="21"/>
        <v>#N/A</v>
      </c>
      <c r="Q227" s="37" t="e">
        <f t="shared" si="22"/>
        <v>#N/A</v>
      </c>
      <c r="R227" s="37" vm="1382">
        <f t="shared" si="23"/>
        <v>70001</v>
      </c>
      <c r="S227" s="37" t="e">
        <f t="shared" si="24"/>
        <v>#N/A</v>
      </c>
    </row>
    <row r="228" spans="10:19" x14ac:dyDescent="0.25">
      <c r="J228" s="36" t="str" vm="588">
        <f>CUBEMEMBER("ThisWorkbookDataModel","[Indian_Employee_Data].[Employee ID].&amp;[Emp1203]")</f>
        <v>Emp1203</v>
      </c>
      <c r="K228" s="36" t="str" vm="587">
        <f>CUBEMEMBER("ThisWorkbookDataModel",{"[Indian_Employee_Data].[Employee ID].&amp;[Emp1203]","[Indian_Employee_Data].[Insurance tier].&amp;[Gold]"})</f>
        <v>Gold</v>
      </c>
      <c r="L228" s="37" vm="1384">
        <f>CUBEVALUE("ThisWorkbookDataModel",$K228,L$29,Slicer_Department)</f>
        <v>187504</v>
      </c>
      <c r="M228" s="37" vm="1383">
        <f>CUBEVALUE("ThisWorkbookDataModel",$K228,M$29,Slicer_Department)</f>
        <v>9000</v>
      </c>
      <c r="N228" s="37" t="e">
        <f t="shared" si="19"/>
        <v>#N/A</v>
      </c>
      <c r="O228" s="37" t="e">
        <f t="shared" si="20"/>
        <v>#N/A</v>
      </c>
      <c r="P228" s="37" vm="1383">
        <f t="shared" si="21"/>
        <v>9000</v>
      </c>
      <c r="Q228" s="37" t="e">
        <f t="shared" si="22"/>
        <v>#N/A</v>
      </c>
      <c r="R228" s="37" t="e">
        <f t="shared" si="23"/>
        <v>#N/A</v>
      </c>
      <c r="S228" s="37" vm="1384">
        <f t="shared" si="24"/>
        <v>187504</v>
      </c>
    </row>
    <row r="229" spans="10:19" x14ac:dyDescent="0.25">
      <c r="J229" s="36" t="str" vm="586">
        <f>CUBEMEMBER("ThisWorkbookDataModel","[Indian_Employee_Data].[Employee ID].&amp;[Emp1204]")</f>
        <v>Emp1204</v>
      </c>
      <c r="K229" s="36" t="str" vm="585">
        <f>CUBEMEMBER("ThisWorkbookDataModel",{"[Indian_Employee_Data].[Employee ID].&amp;[Emp1204]","[Indian_Employee_Data].[Insurance tier].&amp;[Gold]"})</f>
        <v>Gold</v>
      </c>
      <c r="L229" s="37" vm="1386">
        <f>CUBEVALUE("ThisWorkbookDataModel",$K229,L$29,Slicer_Department)</f>
        <v>126904</v>
      </c>
      <c r="M229" s="37" vm="1385">
        <f>CUBEVALUE("ThisWorkbookDataModel",$K229,M$29,Slicer_Department)</f>
        <v>9000</v>
      </c>
      <c r="N229" s="37" t="e">
        <f t="shared" si="19"/>
        <v>#N/A</v>
      </c>
      <c r="O229" s="37" t="e">
        <f t="shared" si="20"/>
        <v>#N/A</v>
      </c>
      <c r="P229" s="37" vm="1385">
        <f t="shared" si="21"/>
        <v>9000</v>
      </c>
      <c r="Q229" s="37" t="e">
        <f t="shared" si="22"/>
        <v>#N/A</v>
      </c>
      <c r="R229" s="37" t="e">
        <f t="shared" si="23"/>
        <v>#N/A</v>
      </c>
      <c r="S229" s="37" vm="1386">
        <f t="shared" si="24"/>
        <v>126904</v>
      </c>
    </row>
    <row r="230" spans="10:19" x14ac:dyDescent="0.25">
      <c r="J230" s="36" t="str" vm="584">
        <f>CUBEMEMBER("ThisWorkbookDataModel","[Indian_Employee_Data].[Employee ID].&amp;[Emp1206]")</f>
        <v>Emp1206</v>
      </c>
      <c r="K230" s="36" t="str" vm="583">
        <f>CUBEMEMBER("ThisWorkbookDataModel",{"[Indian_Employee_Data].[Employee ID].&amp;[Emp1206]","[Indian_Employee_Data].[Insurance tier].&amp;[Silver]"})</f>
        <v>Silver</v>
      </c>
      <c r="L230" s="37" vm="1388">
        <f>CUBEVALUE("ThisWorkbookDataModel",$K230,L$29,Slicer_Department)</f>
        <v>61694</v>
      </c>
      <c r="M230" s="37" vm="1387">
        <f>CUBEVALUE("ThisWorkbookDataModel",$K230,M$29,Slicer_Department)</f>
        <v>2800</v>
      </c>
      <c r="N230" s="37" t="e">
        <f t="shared" si="19"/>
        <v>#N/A</v>
      </c>
      <c r="O230" s="37" vm="1387">
        <f t="shared" si="20"/>
        <v>2800</v>
      </c>
      <c r="P230" s="37" t="e">
        <f t="shared" si="21"/>
        <v>#N/A</v>
      </c>
      <c r="Q230" s="37" t="e">
        <f t="shared" si="22"/>
        <v>#N/A</v>
      </c>
      <c r="R230" s="37" vm="1388">
        <f t="shared" si="23"/>
        <v>61694</v>
      </c>
      <c r="S230" s="37" t="e">
        <f t="shared" si="24"/>
        <v>#N/A</v>
      </c>
    </row>
    <row r="231" spans="10:19" x14ac:dyDescent="0.25">
      <c r="J231" s="36" t="str" vm="582">
        <f>CUBEMEMBER("ThisWorkbookDataModel","[Indian_Employee_Data].[Employee ID].&amp;[Emp1207]")</f>
        <v>Emp1207</v>
      </c>
      <c r="K231" s="36" t="str" vm="581">
        <f>CUBEMEMBER("ThisWorkbookDataModel",{"[Indian_Employee_Data].[Employee ID].&amp;[Emp1207]","[Indian_Employee_Data].[Insurance tier].&amp;[Gold]"})</f>
        <v>Gold</v>
      </c>
      <c r="L231" s="37" vm="1390">
        <f>CUBEVALUE("ThisWorkbookDataModel",$K231,L$29,Slicer_Department)</f>
        <v>136179</v>
      </c>
      <c r="M231" s="37" vm="1389">
        <f>CUBEVALUE("ThisWorkbookDataModel",$K231,M$29,Slicer_Department)</f>
        <v>9000</v>
      </c>
      <c r="N231" s="37" t="e">
        <f t="shared" si="19"/>
        <v>#N/A</v>
      </c>
      <c r="O231" s="37" t="e">
        <f t="shared" si="20"/>
        <v>#N/A</v>
      </c>
      <c r="P231" s="37" vm="1389">
        <f t="shared" si="21"/>
        <v>9000</v>
      </c>
      <c r="Q231" s="37" t="e">
        <f t="shared" si="22"/>
        <v>#N/A</v>
      </c>
      <c r="R231" s="37" t="e">
        <f t="shared" si="23"/>
        <v>#N/A</v>
      </c>
      <c r="S231" s="37" vm="1390">
        <f t="shared" si="24"/>
        <v>136179</v>
      </c>
    </row>
    <row r="232" spans="10:19" x14ac:dyDescent="0.25">
      <c r="J232" s="36" t="str" vm="580">
        <f>CUBEMEMBER("ThisWorkbookDataModel","[Indian_Employee_Data].[Employee ID].&amp;[Emp1208]")</f>
        <v>Emp1208</v>
      </c>
      <c r="K232" s="36" t="str" vm="579">
        <f>CUBEMEMBER("ThisWorkbookDataModel",{"[Indian_Employee_Data].[Employee ID].&amp;[Emp1208]","[Indian_Employee_Data].[Insurance tier].&amp;[Bronze]"})</f>
        <v>Bronze</v>
      </c>
      <c r="L232" s="37" vm="1392">
        <f>CUBEVALUE("ThisWorkbookDataModel",$K232,L$29,Slicer_Department)</f>
        <v>37078</v>
      </c>
      <c r="M232" s="37" vm="1391">
        <f>CUBEVALUE("ThisWorkbookDataModel",$K232,M$29,Slicer_Department)</f>
        <v>1500</v>
      </c>
      <c r="N232" s="37" vm="1391">
        <f t="shared" si="19"/>
        <v>1500</v>
      </c>
      <c r="O232" s="37" t="e">
        <f t="shared" si="20"/>
        <v>#N/A</v>
      </c>
      <c r="P232" s="37" t="e">
        <f t="shared" si="21"/>
        <v>#N/A</v>
      </c>
      <c r="Q232" s="37" vm="1392">
        <f t="shared" si="22"/>
        <v>37078</v>
      </c>
      <c r="R232" s="37" t="e">
        <f t="shared" si="23"/>
        <v>#N/A</v>
      </c>
      <c r="S232" s="37" t="e">
        <f t="shared" si="24"/>
        <v>#N/A</v>
      </c>
    </row>
    <row r="233" spans="10:19" x14ac:dyDescent="0.25">
      <c r="J233" s="36" t="str" vm="578">
        <f>CUBEMEMBER("ThisWorkbookDataModel","[Indian_Employee_Data].[Employee ID].&amp;[Emp1209]")</f>
        <v>Emp1209</v>
      </c>
      <c r="K233" s="36" t="str" vm="577">
        <f>CUBEMEMBER("ThisWorkbookDataModel",{"[Indian_Employee_Data].[Employee ID].&amp;[Emp1209]","[Indian_Employee_Data].[Insurance tier].&amp;[Silver]"})</f>
        <v>Silver</v>
      </c>
      <c r="L233" s="37" vm="1394">
        <f>CUBEVALUE("ThisWorkbookDataModel",$K233,L$29,Slicer_Department)</f>
        <v>69899</v>
      </c>
      <c r="M233" s="37" vm="1393">
        <f>CUBEVALUE("ThisWorkbookDataModel",$K233,M$29,Slicer_Department)</f>
        <v>4200</v>
      </c>
      <c r="N233" s="37" t="e">
        <f t="shared" si="19"/>
        <v>#N/A</v>
      </c>
      <c r="O233" s="37" vm="1393">
        <f t="shared" si="20"/>
        <v>4200</v>
      </c>
      <c r="P233" s="37" t="e">
        <f t="shared" si="21"/>
        <v>#N/A</v>
      </c>
      <c r="Q233" s="37" t="e">
        <f t="shared" si="22"/>
        <v>#N/A</v>
      </c>
      <c r="R233" s="37" vm="1394">
        <f t="shared" si="23"/>
        <v>69899</v>
      </c>
      <c r="S233" s="37" t="e">
        <f t="shared" si="24"/>
        <v>#N/A</v>
      </c>
    </row>
    <row r="234" spans="10:19" x14ac:dyDescent="0.25">
      <c r="J234" s="36" t="str" vm="576">
        <f>CUBEMEMBER("ThisWorkbookDataModel","[Indian_Employee_Data].[Employee ID].&amp;[Emp1210]")</f>
        <v>Emp1210</v>
      </c>
      <c r="K234" s="36" t="str" vm="575">
        <f>CUBEMEMBER("ThisWorkbookDataModel",{"[Indian_Employee_Data].[Employee ID].&amp;[Emp1210]","[Indian_Employee_Data].[Insurance tier].&amp;[Silver]"})</f>
        <v>Silver</v>
      </c>
      <c r="L234" s="37" vm="1396">
        <f>CUBEVALUE("ThisWorkbookDataModel",$K234,L$29,Slicer_Department)</f>
        <v>118190</v>
      </c>
      <c r="M234" s="37" vm="1395">
        <f>CUBEVALUE("ThisWorkbookDataModel",$K234,M$29,Slicer_Department)</f>
        <v>4200</v>
      </c>
      <c r="N234" s="37" t="e">
        <f t="shared" si="19"/>
        <v>#N/A</v>
      </c>
      <c r="O234" s="37" vm="1395">
        <f t="shared" si="20"/>
        <v>4200</v>
      </c>
      <c r="P234" s="37" t="e">
        <f t="shared" si="21"/>
        <v>#N/A</v>
      </c>
      <c r="Q234" s="37" t="e">
        <f t="shared" si="22"/>
        <v>#N/A</v>
      </c>
      <c r="R234" s="37" vm="1396">
        <f t="shared" si="23"/>
        <v>118190</v>
      </c>
      <c r="S234" s="37" t="e">
        <f t="shared" si="24"/>
        <v>#N/A</v>
      </c>
    </row>
    <row r="235" spans="10:19" x14ac:dyDescent="0.25">
      <c r="J235" s="36" t="str" vm="574">
        <f>CUBEMEMBER("ThisWorkbookDataModel","[Indian_Employee_Data].[Employee ID].&amp;[Emp1211]")</f>
        <v>Emp1211</v>
      </c>
      <c r="K235" s="36" t="str" vm="573">
        <f>CUBEMEMBER("ThisWorkbookDataModel",{"[Indian_Employee_Data].[Employee ID].&amp;[Emp1211]","[Indian_Employee_Data].[Insurance tier].&amp;[Gold]"})</f>
        <v>Gold</v>
      </c>
      <c r="L235" s="37" vm="1398">
        <f>CUBEVALUE("ThisWorkbookDataModel",$K235,L$29,Slicer_Department)</f>
        <v>141087</v>
      </c>
      <c r="M235" s="37" vm="1397">
        <f>CUBEVALUE("ThisWorkbookDataModel",$K235,M$29,Slicer_Department)</f>
        <v>9000</v>
      </c>
      <c r="N235" s="37" t="e">
        <f t="shared" si="19"/>
        <v>#N/A</v>
      </c>
      <c r="O235" s="37" t="e">
        <f t="shared" si="20"/>
        <v>#N/A</v>
      </c>
      <c r="P235" s="37" vm="1397">
        <f t="shared" si="21"/>
        <v>9000</v>
      </c>
      <c r="Q235" s="37" t="e">
        <f t="shared" si="22"/>
        <v>#N/A</v>
      </c>
      <c r="R235" s="37" t="e">
        <f t="shared" si="23"/>
        <v>#N/A</v>
      </c>
      <c r="S235" s="37" vm="1398">
        <f t="shared" si="24"/>
        <v>141087</v>
      </c>
    </row>
    <row r="236" spans="10:19" x14ac:dyDescent="0.25">
      <c r="J236" s="36" t="str" vm="572">
        <f>CUBEMEMBER("ThisWorkbookDataModel","[Indian_Employee_Data].[Employee ID].&amp;[Emp1212]")</f>
        <v>Emp1212</v>
      </c>
      <c r="K236" s="36" t="str" vm="571">
        <f>CUBEMEMBER("ThisWorkbookDataModel",{"[Indian_Employee_Data].[Employee ID].&amp;[Emp1212]","[Indian_Employee_Data].[Insurance tier].&amp;[Gold]"})</f>
        <v>Gold</v>
      </c>
      <c r="L236" s="37" vm="1400">
        <f>CUBEVALUE("ThisWorkbookDataModel",$K236,L$29,Slicer_Department)</f>
        <v>134243</v>
      </c>
      <c r="M236" s="37" vm="1399">
        <f>CUBEVALUE("ThisWorkbookDataModel",$K236,M$29,Slicer_Department)</f>
        <v>9000</v>
      </c>
      <c r="N236" s="37" t="e">
        <f t="shared" si="19"/>
        <v>#N/A</v>
      </c>
      <c r="O236" s="37" t="e">
        <f t="shared" si="20"/>
        <v>#N/A</v>
      </c>
      <c r="P236" s="37" vm="1399">
        <f t="shared" si="21"/>
        <v>9000</v>
      </c>
      <c r="Q236" s="37" t="e">
        <f t="shared" si="22"/>
        <v>#N/A</v>
      </c>
      <c r="R236" s="37" t="e">
        <f t="shared" si="23"/>
        <v>#N/A</v>
      </c>
      <c r="S236" s="37" vm="1400">
        <f t="shared" si="24"/>
        <v>134243</v>
      </c>
    </row>
    <row r="237" spans="10:19" x14ac:dyDescent="0.25">
      <c r="J237" s="36" t="str" vm="570">
        <f>CUBEMEMBER("ThisWorkbookDataModel","[Indian_Employee_Data].[Employee ID].&amp;[Emp1213]")</f>
        <v>Emp1213</v>
      </c>
      <c r="K237" s="36" t="str" vm="569">
        <f>CUBEMEMBER("ThisWorkbookDataModel",{"[Indian_Employee_Data].[Employee ID].&amp;[Emp1213]","[Indian_Employee_Data].[Insurance tier].&amp;[Silver]"})</f>
        <v>Silver</v>
      </c>
      <c r="L237" s="37" vm="1402">
        <f>CUBEVALUE("ThisWorkbookDataModel",$K237,L$29,Slicer_Department)</f>
        <v>77183</v>
      </c>
      <c r="M237" s="37" vm="1401">
        <f>CUBEVALUE("ThisWorkbookDataModel",$K237,M$29,Slicer_Department)</f>
        <v>4200</v>
      </c>
      <c r="N237" s="37" t="e">
        <f t="shared" si="19"/>
        <v>#N/A</v>
      </c>
      <c r="O237" s="37" vm="1401">
        <f t="shared" si="20"/>
        <v>4200</v>
      </c>
      <c r="P237" s="37" t="e">
        <f t="shared" si="21"/>
        <v>#N/A</v>
      </c>
      <c r="Q237" s="37" t="e">
        <f t="shared" si="22"/>
        <v>#N/A</v>
      </c>
      <c r="R237" s="37" vm="1402">
        <f t="shared" si="23"/>
        <v>77183</v>
      </c>
      <c r="S237" s="37" t="e">
        <f t="shared" si="24"/>
        <v>#N/A</v>
      </c>
    </row>
    <row r="238" spans="10:19" x14ac:dyDescent="0.25">
      <c r="J238" s="36" t="str" vm="568">
        <f>CUBEMEMBER("ThisWorkbookDataModel","[Indian_Employee_Data].[Employee ID].&amp;[Emp1214]")</f>
        <v>Emp1214</v>
      </c>
      <c r="K238" s="36" t="str" vm="567">
        <f>CUBEMEMBER("ThisWorkbookDataModel",{"[Indian_Employee_Data].[Employee ID].&amp;[Emp1214]","[Indian_Employee_Data].[Insurance tier].&amp;[Gold]"})</f>
        <v>Gold</v>
      </c>
      <c r="L238" s="37" vm="1404">
        <f>CUBEVALUE("ThisWorkbookDataModel",$K238,L$29,Slicer_Department)</f>
        <v>144733</v>
      </c>
      <c r="M238" s="37" vm="1403">
        <f>CUBEVALUE("ThisWorkbookDataModel",$K238,M$29,Slicer_Department)</f>
        <v>9000</v>
      </c>
      <c r="N238" s="37" t="e">
        <f t="shared" si="19"/>
        <v>#N/A</v>
      </c>
      <c r="O238" s="37" t="e">
        <f t="shared" si="20"/>
        <v>#N/A</v>
      </c>
      <c r="P238" s="37" vm="1403">
        <f t="shared" si="21"/>
        <v>9000</v>
      </c>
      <c r="Q238" s="37" t="e">
        <f t="shared" si="22"/>
        <v>#N/A</v>
      </c>
      <c r="R238" s="37" t="e">
        <f t="shared" si="23"/>
        <v>#N/A</v>
      </c>
      <c r="S238" s="37" vm="1404">
        <f t="shared" si="24"/>
        <v>144733</v>
      </c>
    </row>
    <row r="239" spans="10:19" x14ac:dyDescent="0.25">
      <c r="J239" s="36" t="str" vm="566">
        <f>CUBEMEMBER("ThisWorkbookDataModel","[Indian_Employee_Data].[Employee ID].&amp;[Emp1215]")</f>
        <v>Emp1215</v>
      </c>
      <c r="K239" s="36" t="str" vm="565">
        <f>CUBEMEMBER("ThisWorkbookDataModel",{"[Indian_Employee_Data].[Employee ID].&amp;[Emp1215]","[Indian_Employee_Data].[Insurance tier].&amp;[Silver]"})</f>
        <v>Silver</v>
      </c>
      <c r="L239" s="37" vm="1406">
        <f>CUBEVALUE("ThisWorkbookDataModel",$K239,L$29,Slicer_Department)</f>
        <v>78635</v>
      </c>
      <c r="M239" s="37" vm="1405">
        <f>CUBEVALUE("ThisWorkbookDataModel",$K239,M$29,Slicer_Department)</f>
        <v>2800</v>
      </c>
      <c r="N239" s="37" t="e">
        <f t="shared" si="19"/>
        <v>#N/A</v>
      </c>
      <c r="O239" s="37" vm="1405">
        <f t="shared" si="20"/>
        <v>2800</v>
      </c>
      <c r="P239" s="37" t="e">
        <f t="shared" si="21"/>
        <v>#N/A</v>
      </c>
      <c r="Q239" s="37" t="e">
        <f t="shared" si="22"/>
        <v>#N/A</v>
      </c>
      <c r="R239" s="37" vm="1406">
        <f t="shared" si="23"/>
        <v>78635</v>
      </c>
      <c r="S239" s="37" t="e">
        <f t="shared" si="24"/>
        <v>#N/A</v>
      </c>
    </row>
    <row r="240" spans="10:19" x14ac:dyDescent="0.25">
      <c r="J240" s="36" t="str" vm="564">
        <f>CUBEMEMBER("ThisWorkbookDataModel","[Indian_Employee_Data].[Employee ID].&amp;[Emp1216]")</f>
        <v>Emp1216</v>
      </c>
      <c r="K240" s="36" t="str" vm="563">
        <f>CUBEMEMBER("ThisWorkbookDataModel",{"[Indian_Employee_Data].[Employee ID].&amp;[Emp1216]","[Indian_Employee_Data].[Insurance tier].&amp;[Silver]"})</f>
        <v>Silver</v>
      </c>
      <c r="L240" s="37" vm="1408">
        <f>CUBEVALUE("ThisWorkbookDataModel",$K240,L$29,Slicer_Department)</f>
        <v>88841</v>
      </c>
      <c r="M240" s="37" vm="1407">
        <f>CUBEVALUE("ThisWorkbookDataModel",$K240,M$29,Slicer_Department)</f>
        <v>4200</v>
      </c>
      <c r="N240" s="37" t="e">
        <f t="shared" si="19"/>
        <v>#N/A</v>
      </c>
      <c r="O240" s="37" vm="1407">
        <f t="shared" si="20"/>
        <v>4200</v>
      </c>
      <c r="P240" s="37" t="e">
        <f t="shared" si="21"/>
        <v>#N/A</v>
      </c>
      <c r="Q240" s="37" t="e">
        <f t="shared" si="22"/>
        <v>#N/A</v>
      </c>
      <c r="R240" s="37" vm="1408">
        <f t="shared" si="23"/>
        <v>88841</v>
      </c>
      <c r="S240" s="37" t="e">
        <f t="shared" si="24"/>
        <v>#N/A</v>
      </c>
    </row>
    <row r="241" spans="10:19" x14ac:dyDescent="0.25">
      <c r="J241" s="36" t="str" vm="562">
        <f>CUBEMEMBER("ThisWorkbookDataModel","[Indian_Employee_Data].[Employee ID].&amp;[Emp1217]")</f>
        <v>Emp1217</v>
      </c>
      <c r="K241" s="36" t="str" vm="561">
        <f>CUBEMEMBER("ThisWorkbookDataModel",{"[Indian_Employee_Data].[Employee ID].&amp;[Emp1217]","[Indian_Employee_Data].[Insurance tier].&amp;[Gold]"})</f>
        <v>Gold</v>
      </c>
      <c r="L241" s="37" vm="1410">
        <f>CUBEVALUE("ThisWorkbookDataModel",$K241,L$29,Slicer_Department)</f>
        <v>151206</v>
      </c>
      <c r="M241" s="37" vm="1409">
        <f>CUBEVALUE("ThisWorkbookDataModel",$K241,M$29,Slicer_Department)</f>
        <v>9000</v>
      </c>
      <c r="N241" s="37" t="e">
        <f t="shared" si="19"/>
        <v>#N/A</v>
      </c>
      <c r="O241" s="37" t="e">
        <f t="shared" si="20"/>
        <v>#N/A</v>
      </c>
      <c r="P241" s="37" vm="1409">
        <f t="shared" si="21"/>
        <v>9000</v>
      </c>
      <c r="Q241" s="37" t="e">
        <f t="shared" si="22"/>
        <v>#N/A</v>
      </c>
      <c r="R241" s="37" t="e">
        <f t="shared" si="23"/>
        <v>#N/A</v>
      </c>
      <c r="S241" s="37" vm="1410">
        <f t="shared" si="24"/>
        <v>151206</v>
      </c>
    </row>
    <row r="242" spans="10:19" x14ac:dyDescent="0.25">
      <c r="J242" s="36" t="str" vm="560">
        <f>CUBEMEMBER("ThisWorkbookDataModel","[Indian_Employee_Data].[Employee ID].&amp;[Emp1218]")</f>
        <v>Emp1218</v>
      </c>
      <c r="K242" s="36" t="str" vm="559">
        <f>CUBEMEMBER("ThisWorkbookDataModel",{"[Indian_Employee_Data].[Employee ID].&amp;[Emp1218]","[Indian_Employee_Data].[Insurance tier].&amp;[Gold]"})</f>
        <v>Gold</v>
      </c>
      <c r="L242" s="37" vm="1412">
        <f>CUBEVALUE("ThisWorkbookDataModel",$K242,L$29,Slicer_Department)</f>
        <v>133857</v>
      </c>
      <c r="M242" s="37" vm="1411">
        <f>CUBEVALUE("ThisWorkbookDataModel",$K242,M$29,Slicer_Department)</f>
        <v>9000</v>
      </c>
      <c r="N242" s="37" t="e">
        <f t="shared" si="19"/>
        <v>#N/A</v>
      </c>
      <c r="O242" s="37" t="e">
        <f t="shared" si="20"/>
        <v>#N/A</v>
      </c>
      <c r="P242" s="37" vm="1411">
        <f t="shared" si="21"/>
        <v>9000</v>
      </c>
      <c r="Q242" s="37" t="e">
        <f t="shared" si="22"/>
        <v>#N/A</v>
      </c>
      <c r="R242" s="37" t="e">
        <f t="shared" si="23"/>
        <v>#N/A</v>
      </c>
      <c r="S242" s="37" vm="1412">
        <f t="shared" si="24"/>
        <v>133857</v>
      </c>
    </row>
    <row r="243" spans="10:19" x14ac:dyDescent="0.25">
      <c r="J243" s="36" t="str" vm="558">
        <f>CUBEMEMBER("ThisWorkbookDataModel","[Indian_Employee_Data].[Employee ID].&amp;[Emp1219]")</f>
        <v>Emp1219</v>
      </c>
      <c r="K243" s="36" t="str" vm="557">
        <f>CUBEMEMBER("ThisWorkbookDataModel",{"[Indian_Employee_Data].[Employee ID].&amp;[Emp1219]","[Indian_Employee_Data].[Insurance tier].&amp;[Gold]"})</f>
        <v>Gold</v>
      </c>
      <c r="L243" s="37" vm="1414">
        <f>CUBEVALUE("ThisWorkbookDataModel",$K243,L$29,Slicer_Department)</f>
        <v>173810</v>
      </c>
      <c r="M243" s="37" vm="1413">
        <f>CUBEVALUE("ThisWorkbookDataModel",$K243,M$29,Slicer_Department)</f>
        <v>9000</v>
      </c>
      <c r="N243" s="37" t="e">
        <f t="shared" si="19"/>
        <v>#N/A</v>
      </c>
      <c r="O243" s="37" t="e">
        <f t="shared" si="20"/>
        <v>#N/A</v>
      </c>
      <c r="P243" s="37" vm="1413">
        <f t="shared" si="21"/>
        <v>9000</v>
      </c>
      <c r="Q243" s="37" t="e">
        <f t="shared" si="22"/>
        <v>#N/A</v>
      </c>
      <c r="R243" s="37" t="e">
        <f t="shared" si="23"/>
        <v>#N/A</v>
      </c>
      <c r="S243" s="37" vm="1414">
        <f t="shared" si="24"/>
        <v>173810</v>
      </c>
    </row>
    <row r="244" spans="10:19" x14ac:dyDescent="0.25">
      <c r="J244" s="36" t="str" vm="556">
        <f>CUBEMEMBER("ThisWorkbookDataModel","[Indian_Employee_Data].[Employee ID].&amp;[Emp1220]")</f>
        <v>Emp1220</v>
      </c>
      <c r="K244" s="36" t="str" vm="555">
        <f>CUBEMEMBER("ThisWorkbookDataModel",{"[Indian_Employee_Data].[Employee ID].&amp;[Emp1220]","[Indian_Employee_Data].[Insurance tier].&amp;[Gold]"})</f>
        <v>Gold</v>
      </c>
      <c r="L244" s="37" vm="1416">
        <f>CUBEVALUE("ThisWorkbookDataModel",$K244,L$29,Slicer_Department)</f>
        <v>135187</v>
      </c>
      <c r="M244" s="37" vm="1415">
        <f>CUBEVALUE("ThisWorkbookDataModel",$K244,M$29,Slicer_Department)</f>
        <v>9000</v>
      </c>
      <c r="N244" s="37" t="e">
        <f t="shared" si="19"/>
        <v>#N/A</v>
      </c>
      <c r="O244" s="37" t="e">
        <f t="shared" si="20"/>
        <v>#N/A</v>
      </c>
      <c r="P244" s="37" vm="1415">
        <f t="shared" si="21"/>
        <v>9000</v>
      </c>
      <c r="Q244" s="37" t="e">
        <f t="shared" si="22"/>
        <v>#N/A</v>
      </c>
      <c r="R244" s="37" t="e">
        <f t="shared" si="23"/>
        <v>#N/A</v>
      </c>
      <c r="S244" s="37" vm="1416">
        <f t="shared" si="24"/>
        <v>135187</v>
      </c>
    </row>
    <row r="245" spans="10:19" x14ac:dyDescent="0.25">
      <c r="J245" s="36" t="str" vm="554">
        <f>CUBEMEMBER("ThisWorkbookDataModel","[Indian_Employee_Data].[Employee ID].&amp;[Emp1221]")</f>
        <v>Emp1221</v>
      </c>
      <c r="K245" s="36" t="str" vm="553">
        <f>CUBEMEMBER("ThisWorkbookDataModel",{"[Indian_Employee_Data].[Employee ID].&amp;[Emp1221]","[Indian_Employee_Data].[Insurance tier].&amp;[Gold]"})</f>
        <v>Gold</v>
      </c>
      <c r="L245" s="37" vm="1418">
        <f>CUBEVALUE("ThisWorkbookDataModel",$K245,L$29,Slicer_Department)</f>
        <v>121080</v>
      </c>
      <c r="M245" s="37" vm="1417">
        <f>CUBEVALUE("ThisWorkbookDataModel",$K245,M$29,Slicer_Department)</f>
        <v>9000</v>
      </c>
      <c r="N245" s="37" t="e">
        <f t="shared" si="19"/>
        <v>#N/A</v>
      </c>
      <c r="O245" s="37" t="e">
        <f t="shared" si="20"/>
        <v>#N/A</v>
      </c>
      <c r="P245" s="37" vm="1417">
        <f t="shared" si="21"/>
        <v>9000</v>
      </c>
      <c r="Q245" s="37" t="e">
        <f t="shared" si="22"/>
        <v>#N/A</v>
      </c>
      <c r="R245" s="37" t="e">
        <f t="shared" si="23"/>
        <v>#N/A</v>
      </c>
      <c r="S245" s="37" vm="1418">
        <f t="shared" si="24"/>
        <v>121080</v>
      </c>
    </row>
    <row r="246" spans="10:19" x14ac:dyDescent="0.25">
      <c r="J246" s="36" t="str" vm="552">
        <f>CUBEMEMBER("ThisWorkbookDataModel","[Indian_Employee_Data].[Employee ID].&amp;[Emp1222]")</f>
        <v>Emp1222</v>
      </c>
      <c r="K246" s="36" t="str" vm="551">
        <f>CUBEMEMBER("ThisWorkbookDataModel",{"[Indian_Employee_Data].[Employee ID].&amp;[Emp1222]","[Indian_Employee_Data].[Insurance tier].&amp;[Silver]"})</f>
        <v>Silver</v>
      </c>
      <c r="L246" s="37" vm="1420">
        <f>CUBEVALUE("ThisWorkbookDataModel",$K246,L$29,Slicer_Department)</f>
        <v>60452</v>
      </c>
      <c r="M246" s="37" vm="1419">
        <f>CUBEVALUE("ThisWorkbookDataModel",$K246,M$29,Slicer_Department)</f>
        <v>2800</v>
      </c>
      <c r="N246" s="37" t="e">
        <f t="shared" si="19"/>
        <v>#N/A</v>
      </c>
      <c r="O246" s="37" vm="1419">
        <f t="shared" si="20"/>
        <v>2800</v>
      </c>
      <c r="P246" s="37" t="e">
        <f t="shared" si="21"/>
        <v>#N/A</v>
      </c>
      <c r="Q246" s="37" t="e">
        <f t="shared" si="22"/>
        <v>#N/A</v>
      </c>
      <c r="R246" s="37" vm="1420">
        <f t="shared" si="23"/>
        <v>60452</v>
      </c>
      <c r="S246" s="37" t="e">
        <f t="shared" si="24"/>
        <v>#N/A</v>
      </c>
    </row>
    <row r="247" spans="10:19" x14ac:dyDescent="0.25">
      <c r="J247" s="36" t="str" vm="550">
        <f>CUBEMEMBER("ThisWorkbookDataModel","[Indian_Employee_Data].[Employee ID].&amp;[Emp1223]")</f>
        <v>Emp1223</v>
      </c>
      <c r="K247" s="36" t="str" vm="549">
        <f>CUBEMEMBER("ThisWorkbookDataModel",{"[Indian_Employee_Data].[Employee ID].&amp;[Emp1223]","[Indian_Employee_Data].[Insurance tier].&amp;[Silver]"})</f>
        <v>Silver</v>
      </c>
      <c r="L247" s="37" vm="1422">
        <f>CUBEVALUE("ThisWorkbookDataModel",$K247,L$29,Slicer_Department)</f>
        <v>93977</v>
      </c>
      <c r="M247" s="37" vm="1421">
        <f>CUBEVALUE("ThisWorkbookDataModel",$K247,M$29,Slicer_Department)</f>
        <v>4200</v>
      </c>
      <c r="N247" s="37" t="e">
        <f t="shared" si="19"/>
        <v>#N/A</v>
      </c>
      <c r="O247" s="37" vm="1421">
        <f t="shared" si="20"/>
        <v>4200</v>
      </c>
      <c r="P247" s="37" t="e">
        <f t="shared" si="21"/>
        <v>#N/A</v>
      </c>
      <c r="Q247" s="37" t="e">
        <f t="shared" si="22"/>
        <v>#N/A</v>
      </c>
      <c r="R247" s="37" vm="1422">
        <f t="shared" si="23"/>
        <v>93977</v>
      </c>
      <c r="S247" s="37" t="e">
        <f t="shared" si="24"/>
        <v>#N/A</v>
      </c>
    </row>
    <row r="248" spans="10:19" x14ac:dyDescent="0.25">
      <c r="J248" s="36" t="str" vm="548">
        <f>CUBEMEMBER("ThisWorkbookDataModel","[Indian_Employee_Data].[Employee ID].&amp;[Emp1224]")</f>
        <v>Emp1224</v>
      </c>
      <c r="K248" s="36" t="str" vm="547">
        <f>CUBEMEMBER("ThisWorkbookDataModel",{"[Indian_Employee_Data].[Employee ID].&amp;[Emp1224]","[Indian_Employee_Data].[Insurance tier].&amp;[Silver]"})</f>
        <v>Silver</v>
      </c>
      <c r="L248" s="37" vm="1424">
        <f>CUBEVALUE("ThisWorkbookDataModel",$K248,L$29,Slicer_Department)</f>
        <v>81804</v>
      </c>
      <c r="M248" s="37" vm="1423">
        <f>CUBEVALUE("ThisWorkbookDataModel",$K248,M$29,Slicer_Department)</f>
        <v>2800</v>
      </c>
      <c r="N248" s="37" t="e">
        <f t="shared" si="19"/>
        <v>#N/A</v>
      </c>
      <c r="O248" s="37" vm="1423">
        <f t="shared" si="20"/>
        <v>2800</v>
      </c>
      <c r="P248" s="37" t="e">
        <f t="shared" si="21"/>
        <v>#N/A</v>
      </c>
      <c r="Q248" s="37" t="e">
        <f t="shared" si="22"/>
        <v>#N/A</v>
      </c>
      <c r="R248" s="37" vm="1424">
        <f t="shared" si="23"/>
        <v>81804</v>
      </c>
      <c r="S248" s="37" t="e">
        <f t="shared" si="24"/>
        <v>#N/A</v>
      </c>
    </row>
    <row r="249" spans="10:19" x14ac:dyDescent="0.25">
      <c r="J249" s="36" t="str" vm="546">
        <f>CUBEMEMBER("ThisWorkbookDataModel","[Indian_Employee_Data].[Employee ID].&amp;[Emp1225]")</f>
        <v>Emp1225</v>
      </c>
      <c r="K249" s="36" t="str" vm="545">
        <f>CUBEMEMBER("ThisWorkbookDataModel",{"[Indian_Employee_Data].[Employee ID].&amp;[Emp1225]","[Indian_Employee_Data].[Insurance tier].&amp;[Silver]"})</f>
        <v>Silver</v>
      </c>
      <c r="L249" s="37" vm="1426">
        <f>CUBEVALUE("ThisWorkbookDataModel",$K249,L$29,Slicer_Department)</f>
        <v>79394</v>
      </c>
      <c r="M249" s="37" vm="1425">
        <f>CUBEVALUE("ThisWorkbookDataModel",$K249,M$29,Slicer_Department)</f>
        <v>2800</v>
      </c>
      <c r="N249" s="37" t="e">
        <f t="shared" si="19"/>
        <v>#N/A</v>
      </c>
      <c r="O249" s="37" vm="1425">
        <f t="shared" si="20"/>
        <v>2800</v>
      </c>
      <c r="P249" s="37" t="e">
        <f t="shared" si="21"/>
        <v>#N/A</v>
      </c>
      <c r="Q249" s="37" t="e">
        <f t="shared" si="22"/>
        <v>#N/A</v>
      </c>
      <c r="R249" s="37" vm="1426">
        <f t="shared" si="23"/>
        <v>79394</v>
      </c>
      <c r="S249" s="37" t="e">
        <f t="shared" si="24"/>
        <v>#N/A</v>
      </c>
    </row>
    <row r="250" spans="10:19" x14ac:dyDescent="0.25">
      <c r="J250" s="36" t="str" vm="544">
        <f>CUBEMEMBER("ThisWorkbookDataModel","[Indian_Employee_Data].[Employee ID].&amp;[Emp1226]")</f>
        <v>Emp1226</v>
      </c>
      <c r="K250" s="36" t="str" vm="543">
        <f>CUBEMEMBER("ThisWorkbookDataModel",{"[Indian_Employee_Data].[Employee ID].&amp;[Emp1226]","[Indian_Employee_Data].[Insurance tier].&amp;[Gold]"})</f>
        <v>Gold</v>
      </c>
      <c r="L250" s="37" vm="1428">
        <f>CUBEVALUE("ThisWorkbookDataModel",$K250,L$29,Slicer_Department)</f>
        <v>217765</v>
      </c>
      <c r="M250" s="37" vm="1427">
        <f>CUBEVALUE("ThisWorkbookDataModel",$K250,M$29,Slicer_Department)</f>
        <v>9000</v>
      </c>
      <c r="N250" s="37" t="e">
        <f t="shared" si="19"/>
        <v>#N/A</v>
      </c>
      <c r="O250" s="37" t="e">
        <f t="shared" si="20"/>
        <v>#N/A</v>
      </c>
      <c r="P250" s="37" vm="1427">
        <f t="shared" si="21"/>
        <v>9000</v>
      </c>
      <c r="Q250" s="37" t="e">
        <f t="shared" si="22"/>
        <v>#N/A</v>
      </c>
      <c r="R250" s="37" t="e">
        <f t="shared" si="23"/>
        <v>#N/A</v>
      </c>
      <c r="S250" s="37" vm="1428">
        <f t="shared" si="24"/>
        <v>217765</v>
      </c>
    </row>
    <row r="251" spans="10:19" x14ac:dyDescent="0.25">
      <c r="J251" s="36" t="str" vm="542">
        <f>CUBEMEMBER("ThisWorkbookDataModel","[Indian_Employee_Data].[Employee ID].&amp;[Emp1227]")</f>
        <v>Emp1227</v>
      </c>
      <c r="K251" s="36" t="str" vm="541">
        <f>CUBEMEMBER("ThisWorkbookDataModel",{"[Indian_Employee_Data].[Employee ID].&amp;[Emp1227]","[Indian_Employee_Data].[Insurance tier].&amp;[Silver]"})</f>
        <v>Silver</v>
      </c>
      <c r="L251" s="37" vm="1430">
        <f>CUBEVALUE("ThisWorkbookDataModel",$K251,L$29,Slicer_Department)</f>
        <v>97141</v>
      </c>
      <c r="M251" s="37" vm="1429">
        <f>CUBEVALUE("ThisWorkbookDataModel",$K251,M$29,Slicer_Department)</f>
        <v>4200</v>
      </c>
      <c r="N251" s="37" t="e">
        <f t="shared" si="19"/>
        <v>#N/A</v>
      </c>
      <c r="O251" s="37" vm="1429">
        <f t="shared" si="20"/>
        <v>4200</v>
      </c>
      <c r="P251" s="37" t="e">
        <f t="shared" si="21"/>
        <v>#N/A</v>
      </c>
      <c r="Q251" s="37" t="e">
        <f t="shared" si="22"/>
        <v>#N/A</v>
      </c>
      <c r="R251" s="37" vm="1430">
        <f t="shared" si="23"/>
        <v>97141</v>
      </c>
      <c r="S251" s="37" t="e">
        <f t="shared" si="24"/>
        <v>#N/A</v>
      </c>
    </row>
    <row r="252" spans="10:19" x14ac:dyDescent="0.25">
      <c r="J252" s="36" t="str" vm="540">
        <f>CUBEMEMBER("ThisWorkbookDataModel","[Indian_Employee_Data].[Employee ID].&amp;[Emp1228]")</f>
        <v>Emp1228</v>
      </c>
      <c r="K252" s="36" t="str" vm="539">
        <f>CUBEMEMBER("ThisWorkbookDataModel",{"[Indian_Employee_Data].[Employee ID].&amp;[Emp1228]","[Indian_Employee_Data].[Insurance tier].&amp;[Gold]"})</f>
        <v>Gold</v>
      </c>
      <c r="L252" s="37" vm="1432">
        <f>CUBEVALUE("ThisWorkbookDataModel",$K252,L$29,Slicer_Department)</f>
        <v>185531</v>
      </c>
      <c r="M252" s="37" vm="1431">
        <f>CUBEVALUE("ThisWorkbookDataModel",$K252,M$29,Slicer_Department)</f>
        <v>9000</v>
      </c>
      <c r="N252" s="37" t="e">
        <f t="shared" si="19"/>
        <v>#N/A</v>
      </c>
      <c r="O252" s="37" t="e">
        <f t="shared" si="20"/>
        <v>#N/A</v>
      </c>
      <c r="P252" s="37" vm="1431">
        <f t="shared" si="21"/>
        <v>9000</v>
      </c>
      <c r="Q252" s="37" t="e">
        <f t="shared" si="22"/>
        <v>#N/A</v>
      </c>
      <c r="R252" s="37" t="e">
        <f t="shared" si="23"/>
        <v>#N/A</v>
      </c>
      <c r="S252" s="37" vm="1432">
        <f t="shared" si="24"/>
        <v>185531</v>
      </c>
    </row>
    <row r="253" spans="10:19" x14ac:dyDescent="0.25">
      <c r="J253" s="36" t="str" vm="538">
        <f>CUBEMEMBER("ThisWorkbookDataModel","[Indian_Employee_Data].[Employee ID].&amp;[Emp1230]")</f>
        <v>Emp1230</v>
      </c>
      <c r="K253" s="36" t="str" vm="537">
        <f>CUBEMEMBER("ThisWorkbookDataModel",{"[Indian_Employee_Data].[Employee ID].&amp;[Emp1230]","[Indian_Employee_Data].[Insurance tier].&amp;[Gold]"})</f>
        <v>Gold</v>
      </c>
      <c r="L253" s="37" vm="1434">
        <f>CUBEVALUE("ThisWorkbookDataModel",$K253,L$29,Slicer_Department)</f>
        <v>161119</v>
      </c>
      <c r="M253" s="37" vm="1433">
        <f>CUBEVALUE("ThisWorkbookDataModel",$K253,M$29,Slicer_Department)</f>
        <v>9000</v>
      </c>
      <c r="N253" s="37" t="e">
        <f t="shared" si="19"/>
        <v>#N/A</v>
      </c>
      <c r="O253" s="37" t="e">
        <f t="shared" si="20"/>
        <v>#N/A</v>
      </c>
      <c r="P253" s="37" vm="1433">
        <f t="shared" si="21"/>
        <v>9000</v>
      </c>
      <c r="Q253" s="37" t="e">
        <f t="shared" si="22"/>
        <v>#N/A</v>
      </c>
      <c r="R253" s="37" t="e">
        <f t="shared" si="23"/>
        <v>#N/A</v>
      </c>
      <c r="S253" s="37" vm="1434">
        <f t="shared" si="24"/>
        <v>161119</v>
      </c>
    </row>
    <row r="254" spans="10:19" x14ac:dyDescent="0.25">
      <c r="J254" s="36" t="str" vm="536">
        <f>CUBEMEMBER("ThisWorkbookDataModel","[Indian_Employee_Data].[Employee ID].&amp;[Emp1231]")</f>
        <v>Emp1231</v>
      </c>
      <c r="K254" s="36" t="str" vm="535">
        <f>CUBEMEMBER("ThisWorkbookDataModel",{"[Indian_Employee_Data].[Employee ID].&amp;[Emp1231]","[Indian_Employee_Data].[Insurance tier].&amp;[Silver]"})</f>
        <v>Silver</v>
      </c>
      <c r="L254" s="37" vm="1436">
        <f>CUBEVALUE("ThisWorkbookDataModel",$K254,L$29,Slicer_Department)</f>
        <v>111621</v>
      </c>
      <c r="M254" s="37" vm="1435">
        <f>CUBEVALUE("ThisWorkbookDataModel",$K254,M$29,Slicer_Department)</f>
        <v>4200</v>
      </c>
      <c r="N254" s="37" t="e">
        <f t="shared" si="19"/>
        <v>#N/A</v>
      </c>
      <c r="O254" s="37" vm="1435">
        <f t="shared" si="20"/>
        <v>4200</v>
      </c>
      <c r="P254" s="37" t="e">
        <f t="shared" si="21"/>
        <v>#N/A</v>
      </c>
      <c r="Q254" s="37" t="e">
        <f t="shared" si="22"/>
        <v>#N/A</v>
      </c>
      <c r="R254" s="37" vm="1436">
        <f t="shared" si="23"/>
        <v>111621</v>
      </c>
      <c r="S254" s="37" t="e">
        <f t="shared" si="24"/>
        <v>#N/A</v>
      </c>
    </row>
    <row r="255" spans="10:19" x14ac:dyDescent="0.25">
      <c r="J255" s="36" t="str" vm="534">
        <f>CUBEMEMBER("ThisWorkbookDataModel","[Indian_Employee_Data].[Employee ID].&amp;[Emp1232]")</f>
        <v>Emp1232</v>
      </c>
      <c r="K255" s="36" t="str" vm="533">
        <f>CUBEMEMBER("ThisWorkbookDataModel",{"[Indian_Employee_Data].[Employee ID].&amp;[Emp1232]","[Indian_Employee_Data].[Insurance tier].&amp;[Gold]"})</f>
        <v>Gold</v>
      </c>
      <c r="L255" s="37" vm="1438">
        <f>CUBEVALUE("ThisWorkbookDataModel",$K255,L$29,Slicer_Department)</f>
        <v>122370</v>
      </c>
      <c r="M255" s="37" vm="1437">
        <f>CUBEVALUE("ThisWorkbookDataModel",$K255,M$29,Slicer_Department)</f>
        <v>9000</v>
      </c>
      <c r="N255" s="37" t="e">
        <f t="shared" si="19"/>
        <v>#N/A</v>
      </c>
      <c r="O255" s="37" t="e">
        <f t="shared" si="20"/>
        <v>#N/A</v>
      </c>
      <c r="P255" s="37" vm="1437">
        <f t="shared" si="21"/>
        <v>9000</v>
      </c>
      <c r="Q255" s="37" t="e">
        <f t="shared" si="22"/>
        <v>#N/A</v>
      </c>
      <c r="R255" s="37" t="e">
        <f t="shared" si="23"/>
        <v>#N/A</v>
      </c>
      <c r="S255" s="37" vm="1438">
        <f t="shared" si="24"/>
        <v>122370</v>
      </c>
    </row>
    <row r="256" spans="10:19" x14ac:dyDescent="0.25">
      <c r="J256" s="36" t="str" vm="532">
        <f>CUBEMEMBER("ThisWorkbookDataModel","[Indian_Employee_Data].[Employee ID].&amp;[Emp1233]")</f>
        <v>Emp1233</v>
      </c>
      <c r="K256" s="36" t="str" vm="531">
        <f>CUBEMEMBER("ThisWorkbookDataModel",{"[Indian_Employee_Data].[Employee ID].&amp;[Emp1233]","[Indian_Employee_Data].[Insurance tier].&amp;[Silver]"})</f>
        <v>Silver</v>
      </c>
      <c r="L256" s="37" vm="1440">
        <f>CUBEVALUE("ThisWorkbookDataModel",$K256,L$29,Slicer_Department)</f>
        <v>110221</v>
      </c>
      <c r="M256" s="37" vm="1439">
        <f>CUBEVALUE("ThisWorkbookDataModel",$K256,M$29,Slicer_Department)</f>
        <v>2800</v>
      </c>
      <c r="N256" s="37" t="e">
        <f t="shared" si="19"/>
        <v>#N/A</v>
      </c>
      <c r="O256" s="37" vm="1439">
        <f t="shared" si="20"/>
        <v>2800</v>
      </c>
      <c r="P256" s="37" t="e">
        <f t="shared" si="21"/>
        <v>#N/A</v>
      </c>
      <c r="Q256" s="37" t="e">
        <f t="shared" si="22"/>
        <v>#N/A</v>
      </c>
      <c r="R256" s="37" vm="1440">
        <f t="shared" si="23"/>
        <v>110221</v>
      </c>
      <c r="S256" s="37" t="e">
        <f t="shared" si="24"/>
        <v>#N/A</v>
      </c>
    </row>
    <row r="257" spans="10:19" x14ac:dyDescent="0.25">
      <c r="J257" s="36" t="str" vm="530">
        <f>CUBEMEMBER("ThisWorkbookDataModel","[Indian_Employee_Data].[Employee ID].&amp;[Emp1234]")</f>
        <v>Emp1234</v>
      </c>
      <c r="K257" s="36" t="str" vm="529">
        <f>CUBEMEMBER("ThisWorkbookDataModel",{"[Indian_Employee_Data].[Employee ID].&amp;[Emp1234]","[Indian_Employee_Data].[Insurance tier].&amp;[Silver]"})</f>
        <v>Silver</v>
      </c>
      <c r="L257" s="37" vm="1442">
        <f>CUBEVALUE("ThisWorkbookDataModel",$K257,L$29,Slicer_Department)</f>
        <v>73964</v>
      </c>
      <c r="M257" s="37" vm="1441">
        <f>CUBEVALUE("ThisWorkbookDataModel",$K257,M$29,Slicer_Department)</f>
        <v>2800</v>
      </c>
      <c r="N257" s="37" t="e">
        <f t="shared" si="19"/>
        <v>#N/A</v>
      </c>
      <c r="O257" s="37" vm="1441">
        <f t="shared" si="20"/>
        <v>2800</v>
      </c>
      <c r="P257" s="37" t="e">
        <f t="shared" si="21"/>
        <v>#N/A</v>
      </c>
      <c r="Q257" s="37" t="e">
        <f t="shared" si="22"/>
        <v>#N/A</v>
      </c>
      <c r="R257" s="37" vm="1442">
        <f t="shared" si="23"/>
        <v>73964</v>
      </c>
      <c r="S257" s="37" t="e">
        <f t="shared" si="24"/>
        <v>#N/A</v>
      </c>
    </row>
    <row r="258" spans="10:19" x14ac:dyDescent="0.25">
      <c r="J258" s="36" t="str" vm="528">
        <f>CUBEMEMBER("ThisWorkbookDataModel","[Indian_Employee_Data].[Employee ID].&amp;[Emp1235]")</f>
        <v>Emp1235</v>
      </c>
      <c r="K258" s="36" t="str" vm="527">
        <f>CUBEMEMBER("ThisWorkbookDataModel",{"[Indian_Employee_Data].[Employee ID].&amp;[Emp1235]","[Indian_Employee_Data].[Insurance tier].&amp;[Gold]"})</f>
        <v>Gold</v>
      </c>
      <c r="L258" s="37" vm="1444">
        <f>CUBEVALUE("ThisWorkbookDataModel",$K258,L$29,Slicer_Department)</f>
        <v>146628</v>
      </c>
      <c r="M258" s="37" vm="1443">
        <f>CUBEVALUE("ThisWorkbookDataModel",$K258,M$29,Slicer_Department)</f>
        <v>9000</v>
      </c>
      <c r="N258" s="37" t="e">
        <f t="shared" si="19"/>
        <v>#N/A</v>
      </c>
      <c r="O258" s="37" t="e">
        <f t="shared" si="20"/>
        <v>#N/A</v>
      </c>
      <c r="P258" s="37" vm="1443">
        <f t="shared" si="21"/>
        <v>9000</v>
      </c>
      <c r="Q258" s="37" t="e">
        <f t="shared" si="22"/>
        <v>#N/A</v>
      </c>
      <c r="R258" s="37" t="e">
        <f t="shared" si="23"/>
        <v>#N/A</v>
      </c>
      <c r="S258" s="37" vm="1444">
        <f t="shared" si="24"/>
        <v>146628</v>
      </c>
    </row>
    <row r="259" spans="10:19" x14ac:dyDescent="0.25">
      <c r="J259" s="36" t="str" vm="526">
        <f>CUBEMEMBER("ThisWorkbookDataModel","[Indian_Employee_Data].[Employee ID].&amp;[Emp1236]")</f>
        <v>Emp1236</v>
      </c>
      <c r="K259" s="36" t="str" vm="525">
        <f>CUBEMEMBER("ThisWorkbookDataModel",{"[Indian_Employee_Data].[Employee ID].&amp;[Emp1236]","[Indian_Employee_Data].[Insurance tier].&amp;[Silver]"})</f>
        <v>Silver</v>
      </c>
      <c r="L259" s="37" vm="1446">
        <f>CUBEVALUE("ThisWorkbookDataModel",$K259,L$29,Slicer_Department)</f>
        <v>83596</v>
      </c>
      <c r="M259" s="37" vm="1445">
        <f>CUBEVALUE("ThisWorkbookDataModel",$K259,M$29,Slicer_Department)</f>
        <v>4200</v>
      </c>
      <c r="N259" s="37" t="e">
        <f t="shared" si="19"/>
        <v>#N/A</v>
      </c>
      <c r="O259" s="37" vm="1445">
        <f t="shared" si="20"/>
        <v>4200</v>
      </c>
      <c r="P259" s="37" t="e">
        <f t="shared" si="21"/>
        <v>#N/A</v>
      </c>
      <c r="Q259" s="37" t="e">
        <f t="shared" si="22"/>
        <v>#N/A</v>
      </c>
      <c r="R259" s="37" vm="1446">
        <f t="shared" si="23"/>
        <v>83596</v>
      </c>
      <c r="S259" s="37" t="e">
        <f t="shared" si="24"/>
        <v>#N/A</v>
      </c>
    </row>
    <row r="260" spans="10:19" x14ac:dyDescent="0.25">
      <c r="J260" s="36" t="str" vm="524">
        <f>CUBEMEMBER("ThisWorkbookDataModel","[Indian_Employee_Data].[Employee ID].&amp;[Emp1237]")</f>
        <v>Emp1237</v>
      </c>
      <c r="K260" s="36" t="str" vm="523">
        <f>CUBEMEMBER("ThisWorkbookDataModel",{"[Indian_Employee_Data].[Employee ID].&amp;[Emp1237]","[Indian_Employee_Data].[Insurance tier].&amp;[Bronze]"})</f>
        <v>Bronze</v>
      </c>
      <c r="L260" s="37" vm="1448">
        <f>CUBEVALUE("ThisWorkbookDataModel",$K260,L$29,Slicer_Department)</f>
        <v>45515</v>
      </c>
      <c r="M260" s="37" vm="1447">
        <f>CUBEVALUE("ThisWorkbookDataModel",$K260,M$29,Slicer_Department)</f>
        <v>1500</v>
      </c>
      <c r="N260" s="37" vm="1447">
        <f t="shared" si="19"/>
        <v>1500</v>
      </c>
      <c r="O260" s="37" t="e">
        <f t="shared" si="20"/>
        <v>#N/A</v>
      </c>
      <c r="P260" s="37" t="e">
        <f t="shared" si="21"/>
        <v>#N/A</v>
      </c>
      <c r="Q260" s="37" vm="1448">
        <f t="shared" si="22"/>
        <v>45515</v>
      </c>
      <c r="R260" s="37" t="e">
        <f t="shared" si="23"/>
        <v>#N/A</v>
      </c>
      <c r="S260" s="37" t="e">
        <f t="shared" si="24"/>
        <v>#N/A</v>
      </c>
    </row>
    <row r="261" spans="10:19" x14ac:dyDescent="0.25">
      <c r="J261" s="36" t="str" vm="522">
        <f>CUBEMEMBER("ThisWorkbookDataModel","[Indian_Employee_Data].[Employee ID].&amp;[Emp1238]")</f>
        <v>Emp1238</v>
      </c>
      <c r="K261" s="36" t="str" vm="521">
        <f>CUBEMEMBER("ThisWorkbookDataModel",{"[Indian_Employee_Data].[Employee ID].&amp;[Emp1238]","[Indian_Employee_Data].[Insurance tier].&amp;[Gold]"})</f>
        <v>Gold</v>
      </c>
      <c r="L261" s="37" vm="1450">
        <f>CUBEVALUE("ThisWorkbookDataModel",$K261,L$29,Slicer_Department)</f>
        <v>133169</v>
      </c>
      <c r="M261" s="37" vm="1449">
        <f>CUBEVALUE("ThisWorkbookDataModel",$K261,M$29,Slicer_Department)</f>
        <v>6750</v>
      </c>
      <c r="N261" s="37" t="e">
        <f t="shared" si="19"/>
        <v>#N/A</v>
      </c>
      <c r="O261" s="37" t="e">
        <f t="shared" si="20"/>
        <v>#N/A</v>
      </c>
      <c r="P261" s="37" vm="1449">
        <f t="shared" si="21"/>
        <v>6750</v>
      </c>
      <c r="Q261" s="37" t="e">
        <f t="shared" si="22"/>
        <v>#N/A</v>
      </c>
      <c r="R261" s="37" t="e">
        <f t="shared" si="23"/>
        <v>#N/A</v>
      </c>
      <c r="S261" s="37" vm="1450">
        <f t="shared" si="24"/>
        <v>133169</v>
      </c>
    </row>
    <row r="262" spans="10:19" x14ac:dyDescent="0.25">
      <c r="J262" s="36" t="str" vm="520">
        <f>CUBEMEMBER("ThisWorkbookDataModel","[Indian_Employee_Data].[Employee ID].&amp;[Emp1239]")</f>
        <v>Emp1239</v>
      </c>
      <c r="K262" s="36" t="str" vm="519">
        <f>CUBEMEMBER("ThisWorkbookDataModel",{"[Indian_Employee_Data].[Employee ID].&amp;[Emp1239]","[Indian_Employee_Data].[Insurance tier].&amp;[Silver]"})</f>
        <v>Silver</v>
      </c>
      <c r="L262" s="37" vm="1452">
        <f>CUBEVALUE("ThisWorkbookDataModel",$K262,L$29,Slicer_Department)</f>
        <v>71873</v>
      </c>
      <c r="M262" s="37" vm="1451">
        <f>CUBEVALUE("ThisWorkbookDataModel",$K262,M$29,Slicer_Department)</f>
        <v>2800</v>
      </c>
      <c r="N262" s="37" t="e">
        <f t="shared" si="19"/>
        <v>#N/A</v>
      </c>
      <c r="O262" s="37" vm="1451">
        <f t="shared" si="20"/>
        <v>2800</v>
      </c>
      <c r="P262" s="37" t="e">
        <f t="shared" si="21"/>
        <v>#N/A</v>
      </c>
      <c r="Q262" s="37" t="e">
        <f t="shared" si="22"/>
        <v>#N/A</v>
      </c>
      <c r="R262" s="37" vm="1452">
        <f t="shared" si="23"/>
        <v>71873</v>
      </c>
      <c r="S262" s="37" t="e">
        <f t="shared" si="24"/>
        <v>#N/A</v>
      </c>
    </row>
    <row r="263" spans="10:19" x14ac:dyDescent="0.25">
      <c r="J263" s="36" t="str" vm="518">
        <f>CUBEMEMBER("ThisWorkbookDataModel","[Indian_Employee_Data].[Employee ID].&amp;[Emp1240]")</f>
        <v>Emp1240</v>
      </c>
      <c r="K263" s="36" t="str" vm="517">
        <f>CUBEMEMBER("ThisWorkbookDataModel",{"[Indian_Employee_Data].[Employee ID].&amp;[Emp1240]","[Indian_Employee_Data].[Insurance tier].&amp;[Gold]"})</f>
        <v>Gold</v>
      </c>
      <c r="L263" s="37" vm="1454">
        <f>CUBEVALUE("ThisWorkbookDataModel",$K263,L$29,Slicer_Department)</f>
        <v>202121</v>
      </c>
      <c r="M263" s="37" vm="1453">
        <f>CUBEVALUE("ThisWorkbookDataModel",$K263,M$29,Slicer_Department)</f>
        <v>9000</v>
      </c>
      <c r="N263" s="37" t="e">
        <f t="shared" si="19"/>
        <v>#N/A</v>
      </c>
      <c r="O263" s="37" t="e">
        <f t="shared" si="20"/>
        <v>#N/A</v>
      </c>
      <c r="P263" s="37" vm="1453">
        <f t="shared" si="21"/>
        <v>9000</v>
      </c>
      <c r="Q263" s="37" t="e">
        <f t="shared" si="22"/>
        <v>#N/A</v>
      </c>
      <c r="R263" s="37" t="e">
        <f t="shared" si="23"/>
        <v>#N/A</v>
      </c>
      <c r="S263" s="37" vm="1454">
        <f t="shared" si="24"/>
        <v>202121</v>
      </c>
    </row>
    <row r="264" spans="10:19" x14ac:dyDescent="0.25">
      <c r="J264" s="36" t="str" vm="516">
        <f>CUBEMEMBER("ThisWorkbookDataModel","[Indian_Employee_Data].[Employee ID].&amp;[Emp1241]")</f>
        <v>Emp1241</v>
      </c>
      <c r="K264" s="36" t="str" vm="515">
        <f>CUBEMEMBER("ThisWorkbookDataModel",{"[Indian_Employee_Data].[Employee ID].&amp;[Emp1241]","[Indian_Employee_Data].[Insurance tier].&amp;[Gold]"})</f>
        <v>Gold</v>
      </c>
      <c r="L264" s="37" vm="1456">
        <f>CUBEVALUE("ThisWorkbookDataModel",$K264,L$29,Slicer_Department)</f>
        <v>207884</v>
      </c>
      <c r="M264" s="37" vm="1455">
        <f>CUBEVALUE("ThisWorkbookDataModel",$K264,M$29,Slicer_Department)</f>
        <v>6750</v>
      </c>
      <c r="N264" s="37" t="e">
        <f t="shared" si="19"/>
        <v>#N/A</v>
      </c>
      <c r="O264" s="37" t="e">
        <f t="shared" si="20"/>
        <v>#N/A</v>
      </c>
      <c r="P264" s="37" vm="1455">
        <f t="shared" si="21"/>
        <v>6750</v>
      </c>
      <c r="Q264" s="37" t="e">
        <f t="shared" si="22"/>
        <v>#N/A</v>
      </c>
      <c r="R264" s="37" t="e">
        <f t="shared" si="23"/>
        <v>#N/A</v>
      </c>
      <c r="S264" s="37" vm="1456">
        <f t="shared" si="24"/>
        <v>207884</v>
      </c>
    </row>
    <row r="265" spans="10:19" x14ac:dyDescent="0.25">
      <c r="J265" s="36" t="str" vm="514">
        <f>CUBEMEMBER("ThisWorkbookDataModel","[Indian_Employee_Data].[Employee ID].&amp;[Emp1242]")</f>
        <v>Emp1242</v>
      </c>
      <c r="K265" s="36" t="str" vm="513">
        <f>CUBEMEMBER("ThisWorkbookDataModel",{"[Indian_Employee_Data].[Employee ID].&amp;[Emp1242]","[Indian_Employee_Data].[Insurance tier].&amp;[Gold]"})</f>
        <v>Gold</v>
      </c>
      <c r="L265" s="37" vm="1458">
        <f>CUBEVALUE("ThisWorkbookDataModel",$K265,L$29,Slicer_Department)</f>
        <v>192748</v>
      </c>
      <c r="M265" s="37" vm="1457">
        <f>CUBEVALUE("ThisWorkbookDataModel",$K265,M$29,Slicer_Department)</f>
        <v>6750</v>
      </c>
      <c r="N265" s="37" t="e">
        <f t="shared" si="19"/>
        <v>#N/A</v>
      </c>
      <c r="O265" s="37" t="e">
        <f t="shared" si="20"/>
        <v>#N/A</v>
      </c>
      <c r="P265" s="37" vm="1457">
        <f t="shared" si="21"/>
        <v>6750</v>
      </c>
      <c r="Q265" s="37" t="e">
        <f t="shared" si="22"/>
        <v>#N/A</v>
      </c>
      <c r="R265" s="37" t="e">
        <f t="shared" si="23"/>
        <v>#N/A</v>
      </c>
      <c r="S265" s="37" vm="1458">
        <f t="shared" si="24"/>
        <v>192748</v>
      </c>
    </row>
    <row r="266" spans="10:19" x14ac:dyDescent="0.25">
      <c r="J266" s="36" t="str" vm="512">
        <f>CUBEMEMBER("ThisWorkbookDataModel","[Indian_Employee_Data].[Employee ID].&amp;[Emp1243]")</f>
        <v>Emp1243</v>
      </c>
      <c r="K266" s="36" t="str" vm="511">
        <f>CUBEMEMBER("ThisWorkbookDataModel",{"[Indian_Employee_Data].[Employee ID].&amp;[Emp1243]","[Indian_Employee_Data].[Insurance tier].&amp;[Silver]"})</f>
        <v>Silver</v>
      </c>
      <c r="L266" s="37" vm="1460">
        <f>CUBEVALUE("ThisWorkbookDataModel",$K266,L$29,Slicer_Department)</f>
        <v>94279</v>
      </c>
      <c r="M266" s="37" vm="1459">
        <f>CUBEVALUE("ThisWorkbookDataModel",$K266,M$29,Slicer_Department)</f>
        <v>4200</v>
      </c>
      <c r="N266" s="37" t="e">
        <f t="shared" si="19"/>
        <v>#N/A</v>
      </c>
      <c r="O266" s="37" vm="1459">
        <f t="shared" si="20"/>
        <v>4200</v>
      </c>
      <c r="P266" s="37" t="e">
        <f t="shared" si="21"/>
        <v>#N/A</v>
      </c>
      <c r="Q266" s="37" t="e">
        <f t="shared" si="22"/>
        <v>#N/A</v>
      </c>
      <c r="R266" s="37" vm="1460">
        <f t="shared" si="23"/>
        <v>94279</v>
      </c>
      <c r="S266" s="37" t="e">
        <f t="shared" si="24"/>
        <v>#N/A</v>
      </c>
    </row>
    <row r="267" spans="10:19" x14ac:dyDescent="0.25">
      <c r="J267" s="36" t="str" vm="510">
        <f>CUBEMEMBER("ThisWorkbookDataModel","[Indian_Employee_Data].[Employee ID].&amp;[Emp1244]")</f>
        <v>Emp1244</v>
      </c>
      <c r="K267" s="36" t="str" vm="509">
        <f>CUBEMEMBER("ThisWorkbookDataModel",{"[Indian_Employee_Data].[Employee ID].&amp;[Emp1244]","[Indian_Employee_Data].[Insurance tier].&amp;[Bronze]"})</f>
        <v>Bronze</v>
      </c>
      <c r="L267" s="37" vm="1462">
        <f>CUBEVALUE("ThisWorkbookDataModel",$K267,L$29,Slicer_Department)</f>
        <v>42370</v>
      </c>
      <c r="M267" s="37" vm="1461">
        <f>CUBEVALUE("ThisWorkbookDataModel",$K267,M$29,Slicer_Department)</f>
        <v>1500</v>
      </c>
      <c r="N267" s="37" vm="1461">
        <f t="shared" si="19"/>
        <v>1500</v>
      </c>
      <c r="O267" s="37" t="e">
        <f t="shared" si="20"/>
        <v>#N/A</v>
      </c>
      <c r="P267" s="37" t="e">
        <f t="shared" si="21"/>
        <v>#N/A</v>
      </c>
      <c r="Q267" s="37" vm="1462">
        <f t="shared" si="22"/>
        <v>42370</v>
      </c>
      <c r="R267" s="37" t="e">
        <f t="shared" si="23"/>
        <v>#N/A</v>
      </c>
      <c r="S267" s="37" t="e">
        <f t="shared" si="24"/>
        <v>#N/A</v>
      </c>
    </row>
    <row r="268" spans="10:19" x14ac:dyDescent="0.25">
      <c r="J268" s="36" t="str" vm="508">
        <f>CUBEMEMBER("ThisWorkbookDataModel","[Indian_Employee_Data].[Employee ID].&amp;[Emp1245]")</f>
        <v>Emp1245</v>
      </c>
      <c r="K268" s="36" t="str" vm="507">
        <f>CUBEMEMBER("ThisWorkbookDataModel",{"[Indian_Employee_Data].[Employee ID].&amp;[Emp1245]","[Indian_Employee_Data].[Insurance tier].&amp;[Gold]"})</f>
        <v>Gold</v>
      </c>
      <c r="L268" s="37" vm="1464">
        <f>CUBEVALUE("ThisWorkbookDataModel",$K268,L$29,Slicer_Department)</f>
        <v>197466</v>
      </c>
      <c r="M268" s="37" vm="1463">
        <f>CUBEVALUE("ThisWorkbookDataModel",$K268,M$29,Slicer_Department)</f>
        <v>6750</v>
      </c>
      <c r="N268" s="37" t="e">
        <f t="shared" si="19"/>
        <v>#N/A</v>
      </c>
      <c r="O268" s="37" t="e">
        <f t="shared" si="20"/>
        <v>#N/A</v>
      </c>
      <c r="P268" s="37" vm="1463">
        <f t="shared" si="21"/>
        <v>6750</v>
      </c>
      <c r="Q268" s="37" t="e">
        <f t="shared" si="22"/>
        <v>#N/A</v>
      </c>
      <c r="R268" s="37" t="e">
        <f t="shared" si="23"/>
        <v>#N/A</v>
      </c>
      <c r="S268" s="37" vm="1464">
        <f t="shared" si="24"/>
        <v>197466</v>
      </c>
    </row>
    <row r="269" spans="10:19" x14ac:dyDescent="0.25">
      <c r="J269" s="36" t="str" vm="506">
        <f>CUBEMEMBER("ThisWorkbookDataModel","[Indian_Employee_Data].[Employee ID].&amp;[Emp1246]")</f>
        <v>Emp1246</v>
      </c>
      <c r="K269" s="36" t="str" vm="505">
        <f>CUBEMEMBER("ThisWorkbookDataModel",{"[Indian_Employee_Data].[Employee ID].&amp;[Emp1246]","[Indian_Employee_Data].[Insurance tier].&amp;[Silver]"})</f>
        <v>Silver</v>
      </c>
      <c r="L269" s="37" vm="1466">
        <f>CUBEVALUE("ThisWorkbookDataModel",$K269,L$29,Slicer_Department)</f>
        <v>101625</v>
      </c>
      <c r="M269" s="37" vm="1465">
        <f>CUBEVALUE("ThisWorkbookDataModel",$K269,M$29,Slicer_Department)</f>
        <v>4200</v>
      </c>
      <c r="N269" s="37" t="e">
        <f t="shared" si="19"/>
        <v>#N/A</v>
      </c>
      <c r="O269" s="37" vm="1465">
        <f t="shared" si="20"/>
        <v>4200</v>
      </c>
      <c r="P269" s="37" t="e">
        <f t="shared" si="21"/>
        <v>#N/A</v>
      </c>
      <c r="Q269" s="37" t="e">
        <f t="shared" si="22"/>
        <v>#N/A</v>
      </c>
      <c r="R269" s="37" vm="1466">
        <f t="shared" si="23"/>
        <v>101625</v>
      </c>
      <c r="S269" s="37" t="e">
        <f t="shared" si="24"/>
        <v>#N/A</v>
      </c>
    </row>
    <row r="270" spans="10:19" x14ac:dyDescent="0.25">
      <c r="J270" s="36" t="str" vm="504">
        <f>CUBEMEMBER("ThisWorkbookDataModel","[Indian_Employee_Data].[Employee ID].&amp;[Emp1247]")</f>
        <v>Emp1247</v>
      </c>
      <c r="K270" s="36" t="str" vm="503">
        <f>CUBEMEMBER("ThisWorkbookDataModel",{"[Indian_Employee_Data].[Employee ID].&amp;[Emp1247]","[Indian_Employee_Data].[Insurance tier].&amp;[Gold]"})</f>
        <v>Gold</v>
      </c>
      <c r="L270" s="37" vm="1468">
        <f>CUBEVALUE("ThisWorkbookDataModel",$K270,L$29,Slicer_Department)</f>
        <v>214169</v>
      </c>
      <c r="M270" s="37" vm="1467">
        <f>CUBEVALUE("ThisWorkbookDataModel",$K270,M$29,Slicer_Department)</f>
        <v>6750</v>
      </c>
      <c r="N270" s="37" t="e">
        <f t="shared" si="19"/>
        <v>#N/A</v>
      </c>
      <c r="O270" s="37" t="e">
        <f t="shared" si="20"/>
        <v>#N/A</v>
      </c>
      <c r="P270" s="37" vm="1467">
        <f t="shared" si="21"/>
        <v>6750</v>
      </c>
      <c r="Q270" s="37" t="e">
        <f t="shared" si="22"/>
        <v>#N/A</v>
      </c>
      <c r="R270" s="37" t="e">
        <f t="shared" si="23"/>
        <v>#N/A</v>
      </c>
      <c r="S270" s="37" vm="1468">
        <f t="shared" si="24"/>
        <v>214169</v>
      </c>
    </row>
    <row r="271" spans="10:19" x14ac:dyDescent="0.25">
      <c r="J271" s="36" t="str" vm="502">
        <f>CUBEMEMBER("ThisWorkbookDataModel","[Indian_Employee_Data].[Employee ID].&amp;[Emp1248]")</f>
        <v>Emp1248</v>
      </c>
      <c r="K271" s="36" t="str" vm="501">
        <f>CUBEMEMBER("ThisWorkbookDataModel",{"[Indian_Employee_Data].[Employee ID].&amp;[Emp1248]","[Indian_Employee_Data].[Insurance tier].&amp;[Gold]"})</f>
        <v>Gold</v>
      </c>
      <c r="L271" s="37" vm="1470">
        <f>CUBEVALUE("ThisWorkbookDataModel",$K271,L$29,Slicer_Department)</f>
        <v>212574</v>
      </c>
      <c r="M271" s="37" vm="1469">
        <f>CUBEVALUE("ThisWorkbookDataModel",$K271,M$29,Slicer_Department)</f>
        <v>6750</v>
      </c>
      <c r="N271" s="37" t="e">
        <f t="shared" si="19"/>
        <v>#N/A</v>
      </c>
      <c r="O271" s="37" t="e">
        <f t="shared" si="20"/>
        <v>#N/A</v>
      </c>
      <c r="P271" s="37" vm="1469">
        <f t="shared" si="21"/>
        <v>6750</v>
      </c>
      <c r="Q271" s="37" t="e">
        <f t="shared" si="22"/>
        <v>#N/A</v>
      </c>
      <c r="R271" s="37" t="e">
        <f t="shared" si="23"/>
        <v>#N/A</v>
      </c>
      <c r="S271" s="37" vm="1470">
        <f t="shared" si="24"/>
        <v>212574</v>
      </c>
    </row>
    <row r="272" spans="10:19" x14ac:dyDescent="0.25">
      <c r="J272" s="36" t="str" vm="500">
        <f>CUBEMEMBER("ThisWorkbookDataModel","[Indian_Employee_Data].[Employee ID].&amp;[Emp1249]")</f>
        <v>Emp1249</v>
      </c>
      <c r="K272" s="36" t="str" vm="499">
        <f>CUBEMEMBER("ThisWorkbookDataModel",{"[Indian_Employee_Data].[Employee ID].&amp;[Emp1249]","[Indian_Employee_Data].[Insurance tier].&amp;[Gold]"})</f>
        <v>Gold</v>
      </c>
      <c r="L272" s="37" vm="1472">
        <f>CUBEVALUE("ThisWorkbookDataModel",$K272,L$29,Slicer_Department)</f>
        <v>174772</v>
      </c>
      <c r="M272" s="37" vm="1471">
        <f>CUBEVALUE("ThisWorkbookDataModel",$K272,M$29,Slicer_Department)</f>
        <v>6750</v>
      </c>
      <c r="N272" s="37" t="e">
        <f t="shared" si="19"/>
        <v>#N/A</v>
      </c>
      <c r="O272" s="37" t="e">
        <f t="shared" si="20"/>
        <v>#N/A</v>
      </c>
      <c r="P272" s="37" vm="1471">
        <f t="shared" si="21"/>
        <v>6750</v>
      </c>
      <c r="Q272" s="37" t="e">
        <f t="shared" si="22"/>
        <v>#N/A</v>
      </c>
      <c r="R272" s="37" t="e">
        <f t="shared" si="23"/>
        <v>#N/A</v>
      </c>
      <c r="S272" s="37" vm="1472">
        <f t="shared" si="24"/>
        <v>174772</v>
      </c>
    </row>
    <row r="273" spans="10:19" x14ac:dyDescent="0.25">
      <c r="J273" s="36" t="str" vm="498">
        <f>CUBEMEMBER("ThisWorkbookDataModel","[Indian_Employee_Data].[Employee ID].&amp;[Emp1250]")</f>
        <v>Emp1250</v>
      </c>
      <c r="K273" s="36" t="str" vm="497">
        <f>CUBEMEMBER("ThisWorkbookDataModel",{"[Indian_Employee_Data].[Employee ID].&amp;[Emp1250]","[Indian_Employee_Data].[Insurance tier].&amp;[Silver]"})</f>
        <v>Silver</v>
      </c>
      <c r="L273" s="37" vm="1474">
        <f>CUBEVALUE("ThisWorkbookDataModel",$K273,L$29,Slicer_Department)</f>
        <v>85185</v>
      </c>
      <c r="M273" s="37" vm="1473">
        <f>CUBEVALUE("ThisWorkbookDataModel",$K273,M$29,Slicer_Department)</f>
        <v>4200</v>
      </c>
      <c r="N273" s="37" t="e">
        <f t="shared" si="19"/>
        <v>#N/A</v>
      </c>
      <c r="O273" s="37" vm="1473">
        <f t="shared" si="20"/>
        <v>4200</v>
      </c>
      <c r="P273" s="37" t="e">
        <f t="shared" si="21"/>
        <v>#N/A</v>
      </c>
      <c r="Q273" s="37" t="e">
        <f t="shared" si="22"/>
        <v>#N/A</v>
      </c>
      <c r="R273" s="37" vm="1474">
        <f t="shared" si="23"/>
        <v>85185</v>
      </c>
      <c r="S273" s="37" t="e">
        <f t="shared" si="24"/>
        <v>#N/A</v>
      </c>
    </row>
    <row r="274" spans="10:19" x14ac:dyDescent="0.25">
      <c r="J274" s="36" t="str" vm="496">
        <f>CUBEMEMBER("ThisWorkbookDataModel","[Indian_Employee_Data].[Employee ID].&amp;[Emp1251]")</f>
        <v>Emp1251</v>
      </c>
      <c r="K274" s="36" t="str" vm="495">
        <f>CUBEMEMBER("ThisWorkbookDataModel",{"[Indian_Employee_Data].[Employee ID].&amp;[Emp1251]","[Indian_Employee_Data].[Insurance tier].&amp;[Silver]"})</f>
        <v>Silver</v>
      </c>
      <c r="L274" s="37" vm="1476">
        <f>CUBEVALUE("ThisWorkbookDataModel",$K274,L$29,Slicer_Department)</f>
        <v>96137</v>
      </c>
      <c r="M274" s="37" vm="1475">
        <f>CUBEVALUE("ThisWorkbookDataModel",$K274,M$29,Slicer_Department)</f>
        <v>2800</v>
      </c>
      <c r="N274" s="37" t="e">
        <f t="shared" si="19"/>
        <v>#N/A</v>
      </c>
      <c r="O274" s="37" vm="1475">
        <f t="shared" si="20"/>
        <v>2800</v>
      </c>
      <c r="P274" s="37" t="e">
        <f t="shared" si="21"/>
        <v>#N/A</v>
      </c>
      <c r="Q274" s="37" t="e">
        <f t="shared" si="22"/>
        <v>#N/A</v>
      </c>
      <c r="R274" s="37" vm="1476">
        <f t="shared" si="23"/>
        <v>96137</v>
      </c>
      <c r="S274" s="37" t="e">
        <f t="shared" si="24"/>
        <v>#N/A</v>
      </c>
    </row>
    <row r="275" spans="10:19" x14ac:dyDescent="0.25">
      <c r="J275" s="36" t="str" vm="494">
        <f>CUBEMEMBER("ThisWorkbookDataModel","[Indian_Employee_Data].[Employee ID].&amp;[Emp1252]")</f>
        <v>Emp1252</v>
      </c>
      <c r="K275" s="36" t="str" vm="493">
        <f>CUBEMEMBER("ThisWorkbookDataModel",{"[Indian_Employee_Data].[Employee ID].&amp;[Emp1252]","[Indian_Employee_Data].[Insurance tier].&amp;[Gold]"})</f>
        <v>Gold</v>
      </c>
      <c r="L275" s="37" vm="1478">
        <f>CUBEVALUE("ThisWorkbookDataModel",$K275,L$29,Slicer_Department)</f>
        <v>174295</v>
      </c>
      <c r="M275" s="37" vm="1477">
        <f>CUBEVALUE("ThisWorkbookDataModel",$K275,M$29,Slicer_Department)</f>
        <v>9000</v>
      </c>
      <c r="N275" s="37" t="e">
        <f t="shared" si="19"/>
        <v>#N/A</v>
      </c>
      <c r="O275" s="37" t="e">
        <f t="shared" si="20"/>
        <v>#N/A</v>
      </c>
      <c r="P275" s="37" vm="1477">
        <f t="shared" si="21"/>
        <v>9000</v>
      </c>
      <c r="Q275" s="37" t="e">
        <f t="shared" si="22"/>
        <v>#N/A</v>
      </c>
      <c r="R275" s="37" t="e">
        <f t="shared" si="23"/>
        <v>#N/A</v>
      </c>
      <c r="S275" s="37" vm="1478">
        <f t="shared" si="24"/>
        <v>174295</v>
      </c>
    </row>
    <row r="276" spans="10:19" x14ac:dyDescent="0.25">
      <c r="J276" s="36" t="str" vm="492">
        <f>CUBEMEMBER("ThisWorkbookDataModel","[Indian_Employee_Data].[Employee ID].&amp;[Emp1253]")</f>
        <v>Emp1253</v>
      </c>
      <c r="K276" s="36" t="str" vm="491">
        <f>CUBEMEMBER("ThisWorkbookDataModel",{"[Indian_Employee_Data].[Employee ID].&amp;[Emp1253]","[Indian_Employee_Data].[Insurance tier].&amp;[Silver]"})</f>
        <v>Silver</v>
      </c>
      <c r="L276" s="37" vm="1480">
        <f>CUBEVALUE("ThisWorkbookDataModel",$K276,L$29,Slicer_Department)</f>
        <v>87831</v>
      </c>
      <c r="M276" s="37" vm="1479">
        <f>CUBEVALUE("ThisWorkbookDataModel",$K276,M$29,Slicer_Department)</f>
        <v>2800</v>
      </c>
      <c r="N276" s="37" t="e">
        <f t="shared" si="19"/>
        <v>#N/A</v>
      </c>
      <c r="O276" s="37" vm="1479">
        <f t="shared" si="20"/>
        <v>2800</v>
      </c>
      <c r="P276" s="37" t="e">
        <f t="shared" si="21"/>
        <v>#N/A</v>
      </c>
      <c r="Q276" s="37" t="e">
        <f t="shared" si="22"/>
        <v>#N/A</v>
      </c>
      <c r="R276" s="37" vm="1480">
        <f t="shared" si="23"/>
        <v>87831</v>
      </c>
      <c r="S276" s="37" t="e">
        <f t="shared" si="24"/>
        <v>#N/A</v>
      </c>
    </row>
    <row r="277" spans="10:19" x14ac:dyDescent="0.25">
      <c r="J277" s="36" t="str" vm="490">
        <f>CUBEMEMBER("ThisWorkbookDataModel","[Indian_Employee_Data].[Employee ID].&amp;[Emp1254]")</f>
        <v>Emp1254</v>
      </c>
      <c r="K277" s="36" t="str" vm="489">
        <f>CUBEMEMBER("ThisWorkbookDataModel",{"[Indian_Employee_Data].[Employee ID].&amp;[Emp1254]","[Indian_Employee_Data].[Insurance tier].&amp;[Silver]"})</f>
        <v>Silver</v>
      </c>
      <c r="L277" s="37" vm="1482">
        <f>CUBEVALUE("ThisWorkbookDataModel",$K277,L$29,Slicer_Department)</f>
        <v>70963</v>
      </c>
      <c r="M277" s="37" vm="1481">
        <f>CUBEVALUE("ThisWorkbookDataModel",$K277,M$29,Slicer_Department)</f>
        <v>4200</v>
      </c>
      <c r="N277" s="37" t="e">
        <f t="shared" si="19"/>
        <v>#N/A</v>
      </c>
      <c r="O277" s="37" vm="1481">
        <f t="shared" si="20"/>
        <v>4200</v>
      </c>
      <c r="P277" s="37" t="e">
        <f t="shared" si="21"/>
        <v>#N/A</v>
      </c>
      <c r="Q277" s="37" t="e">
        <f t="shared" si="22"/>
        <v>#N/A</v>
      </c>
      <c r="R277" s="37" vm="1482">
        <f t="shared" si="23"/>
        <v>70963</v>
      </c>
      <c r="S277" s="37" t="e">
        <f t="shared" si="24"/>
        <v>#N/A</v>
      </c>
    </row>
    <row r="278" spans="10:19" x14ac:dyDescent="0.25">
      <c r="J278" s="36" t="str" vm="488">
        <f>CUBEMEMBER("ThisWorkbookDataModel","[Indian_Employee_Data].[Employee ID].&amp;[Emp1255]")</f>
        <v>Emp1255</v>
      </c>
      <c r="K278" s="36" t="str" vm="487">
        <f>CUBEMEMBER("ThisWorkbookDataModel",{"[Indian_Employee_Data].[Employee ID].&amp;[Emp1255]","[Indian_Employee_Data].[Insurance tier].&amp;[Silver]"})</f>
        <v>Silver</v>
      </c>
      <c r="L278" s="37" vm="1484">
        <f>CUBEVALUE("ThisWorkbookDataModel",$K278,L$29,Slicer_Department)</f>
        <v>119374</v>
      </c>
      <c r="M278" s="37" vm="1483">
        <f>CUBEVALUE("ThisWorkbookDataModel",$K278,M$29,Slicer_Department)</f>
        <v>4200</v>
      </c>
      <c r="N278" s="37" t="e">
        <f t="shared" si="19"/>
        <v>#N/A</v>
      </c>
      <c r="O278" s="37" vm="1483">
        <f t="shared" si="20"/>
        <v>4200</v>
      </c>
      <c r="P278" s="37" t="e">
        <f t="shared" si="21"/>
        <v>#N/A</v>
      </c>
      <c r="Q278" s="37" t="e">
        <f t="shared" si="22"/>
        <v>#N/A</v>
      </c>
      <c r="R278" s="37" vm="1484">
        <f t="shared" si="23"/>
        <v>119374</v>
      </c>
      <c r="S278" s="37" t="e">
        <f t="shared" si="24"/>
        <v>#N/A</v>
      </c>
    </row>
    <row r="279" spans="10:19" x14ac:dyDescent="0.25">
      <c r="J279" s="36" t="str" vm="486">
        <f>CUBEMEMBER("ThisWorkbookDataModel","[Indian_Employee_Data].[Employee ID].&amp;[Emp1256]")</f>
        <v>Emp1256</v>
      </c>
      <c r="K279" s="36" t="str" vm="485">
        <f>CUBEMEMBER("ThisWorkbookDataModel",{"[Indian_Employee_Data].[Employee ID].&amp;[Emp1256]","[Indian_Employee_Data].[Insurance tier].&amp;[Gold]"})</f>
        <v>Gold</v>
      </c>
      <c r="L279" s="37" vm="1486">
        <f>CUBEVALUE("ThisWorkbookDataModel",$K279,L$29,Slicer_Department)</f>
        <v>200421</v>
      </c>
      <c r="M279" s="37" vm="1485">
        <f>CUBEVALUE("ThisWorkbookDataModel",$K279,M$29,Slicer_Department)</f>
        <v>6750</v>
      </c>
      <c r="N279" s="37" t="e">
        <f t="shared" si="19"/>
        <v>#N/A</v>
      </c>
      <c r="O279" s="37" t="e">
        <f t="shared" si="20"/>
        <v>#N/A</v>
      </c>
      <c r="P279" s="37" vm="1485">
        <f t="shared" si="21"/>
        <v>6750</v>
      </c>
      <c r="Q279" s="37" t="e">
        <f t="shared" si="22"/>
        <v>#N/A</v>
      </c>
      <c r="R279" s="37" t="e">
        <f t="shared" si="23"/>
        <v>#N/A</v>
      </c>
      <c r="S279" s="37" vm="1486">
        <f t="shared" si="24"/>
        <v>200421</v>
      </c>
    </row>
    <row r="280" spans="10:19" x14ac:dyDescent="0.25">
      <c r="J280" s="36" t="str" vm="484">
        <f>CUBEMEMBER("ThisWorkbookDataModel","[Indian_Employee_Data].[Employee ID].&amp;[Emp1257]")</f>
        <v>Emp1257</v>
      </c>
      <c r="K280" s="36" t="str" vm="483">
        <f>CUBEMEMBER("ThisWorkbookDataModel",{"[Indian_Employee_Data].[Employee ID].&amp;[Emp1257]","[Indian_Employee_Data].[Insurance tier].&amp;[Gold]"})</f>
        <v>Gold</v>
      </c>
      <c r="L280" s="37" vm="1488">
        <f>CUBEVALUE("ThisWorkbookDataModel",$K280,L$29,Slicer_Department)</f>
        <v>141820</v>
      </c>
      <c r="M280" s="37" vm="1487">
        <f>CUBEVALUE("ThisWorkbookDataModel",$K280,M$29,Slicer_Department)</f>
        <v>6750</v>
      </c>
      <c r="N280" s="37" t="e">
        <f t="shared" si="19"/>
        <v>#N/A</v>
      </c>
      <c r="O280" s="37" t="e">
        <f t="shared" si="20"/>
        <v>#N/A</v>
      </c>
      <c r="P280" s="37" vm="1487">
        <f t="shared" si="21"/>
        <v>6750</v>
      </c>
      <c r="Q280" s="37" t="e">
        <f t="shared" si="22"/>
        <v>#N/A</v>
      </c>
      <c r="R280" s="37" t="e">
        <f t="shared" si="23"/>
        <v>#N/A</v>
      </c>
      <c r="S280" s="37" vm="1488">
        <f t="shared" si="24"/>
        <v>141820</v>
      </c>
    </row>
    <row r="281" spans="10:19" x14ac:dyDescent="0.25">
      <c r="J281" s="36" t="str" vm="482">
        <f>CUBEMEMBER("ThisWorkbookDataModel","[Indian_Employee_Data].[Employee ID].&amp;[Emp1258]")</f>
        <v>Emp1258</v>
      </c>
      <c r="K281" s="36" t="str" vm="481">
        <f>CUBEMEMBER("ThisWorkbookDataModel",{"[Indian_Employee_Data].[Employee ID].&amp;[Emp1258]","[Indian_Employee_Data].[Insurance tier].&amp;[Gold]"})</f>
        <v>Gold</v>
      </c>
      <c r="L281" s="37" vm="1490">
        <f>CUBEVALUE("ThisWorkbookDataModel",$K281,L$29,Slicer_Department)</f>
        <v>121342</v>
      </c>
      <c r="M281" s="37" vm="1489">
        <f>CUBEVALUE("ThisWorkbookDataModel",$K281,M$29,Slicer_Department)</f>
        <v>9000</v>
      </c>
      <c r="N281" s="37" t="e">
        <f t="shared" si="19"/>
        <v>#N/A</v>
      </c>
      <c r="O281" s="37" t="e">
        <f t="shared" si="20"/>
        <v>#N/A</v>
      </c>
      <c r="P281" s="37" vm="1489">
        <f t="shared" si="21"/>
        <v>9000</v>
      </c>
      <c r="Q281" s="37" t="e">
        <f t="shared" si="22"/>
        <v>#N/A</v>
      </c>
      <c r="R281" s="37" t="e">
        <f t="shared" si="23"/>
        <v>#N/A</v>
      </c>
      <c r="S281" s="37" vm="1490">
        <f t="shared" si="24"/>
        <v>121342</v>
      </c>
    </row>
    <row r="282" spans="10:19" x14ac:dyDescent="0.25">
      <c r="J282" s="36" t="str" vm="480">
        <f>CUBEMEMBER("ThisWorkbookDataModel","[Indian_Employee_Data].[Employee ID].&amp;[Emp1259]")</f>
        <v>Emp1259</v>
      </c>
      <c r="K282" s="36" t="str" vm="479">
        <f>CUBEMEMBER("ThisWorkbookDataModel",{"[Indian_Employee_Data].[Employee ID].&amp;[Emp1259]","[Indian_Employee_Data].[Insurance tier].&amp;[Silver]"})</f>
        <v>Silver</v>
      </c>
      <c r="L282" s="37" vm="1492">
        <f>CUBEVALUE("ThisWorkbookDataModel",$K282,L$29,Slicer_Department)</f>
        <v>61016</v>
      </c>
      <c r="M282" s="37" vm="1491">
        <f>CUBEVALUE("ThisWorkbookDataModel",$K282,M$29,Slicer_Department)</f>
        <v>2800</v>
      </c>
      <c r="N282" s="37" t="e">
        <f t="shared" si="19"/>
        <v>#N/A</v>
      </c>
      <c r="O282" s="37" vm="1491">
        <f t="shared" si="20"/>
        <v>2800</v>
      </c>
      <c r="P282" s="37" t="e">
        <f t="shared" si="21"/>
        <v>#N/A</v>
      </c>
      <c r="Q282" s="37" t="e">
        <f t="shared" si="22"/>
        <v>#N/A</v>
      </c>
      <c r="R282" s="37" vm="1492">
        <f t="shared" si="23"/>
        <v>61016</v>
      </c>
      <c r="S282" s="37" t="e">
        <f t="shared" si="24"/>
        <v>#N/A</v>
      </c>
    </row>
    <row r="283" spans="10:19" x14ac:dyDescent="0.25">
      <c r="J283" s="36" t="str" vm="478">
        <f>CUBEMEMBER("ThisWorkbookDataModel","[Indian_Employee_Data].[Employee ID].&amp;[Emp1260]")</f>
        <v>Emp1260</v>
      </c>
      <c r="K283" s="36" t="str" vm="477">
        <f>CUBEMEMBER("ThisWorkbookDataModel",{"[Indian_Employee_Data].[Employee ID].&amp;[Emp1260]","[Indian_Employee_Data].[Insurance tier].&amp;[Gold]"})</f>
        <v>Gold</v>
      </c>
      <c r="L283" s="37" vm="1494">
        <f>CUBEVALUE("ThisWorkbookDataModel",$K283,L$29,Slicer_Department)</f>
        <v>128253</v>
      </c>
      <c r="M283" s="37" vm="1493">
        <f>CUBEVALUE("ThisWorkbookDataModel",$K283,M$29,Slicer_Department)</f>
        <v>9000</v>
      </c>
      <c r="N283" s="37" t="e">
        <f t="shared" si="19"/>
        <v>#N/A</v>
      </c>
      <c r="O283" s="37" t="e">
        <f t="shared" si="20"/>
        <v>#N/A</v>
      </c>
      <c r="P283" s="37" vm="1493">
        <f t="shared" si="21"/>
        <v>9000</v>
      </c>
      <c r="Q283" s="37" t="e">
        <f t="shared" si="22"/>
        <v>#N/A</v>
      </c>
      <c r="R283" s="37" t="e">
        <f t="shared" si="23"/>
        <v>#N/A</v>
      </c>
      <c r="S283" s="37" vm="1494">
        <f t="shared" si="24"/>
        <v>128253</v>
      </c>
    </row>
    <row r="284" spans="10:19" x14ac:dyDescent="0.25">
      <c r="J284" s="36" t="str" vm="476">
        <f>CUBEMEMBER("ThisWorkbookDataModel","[Indian_Employee_Data].[Employee ID].&amp;[Emp1261]")</f>
        <v>Emp1261</v>
      </c>
      <c r="K284" s="36" t="str" vm="475">
        <f>CUBEMEMBER("ThisWorkbookDataModel",{"[Indian_Employee_Data].[Employee ID].&amp;[Emp1261]","[Indian_Employee_Data].[Insurance tier].&amp;[Gold]"})</f>
        <v>Gold</v>
      </c>
      <c r="L284" s="37" vm="1496">
        <f>CUBEVALUE("ThisWorkbookDataModel",$K284,L$29,Slicer_Department)</f>
        <v>230431</v>
      </c>
      <c r="M284" s="37" vm="1495">
        <f>CUBEVALUE("ThisWorkbookDataModel",$K284,M$29,Slicer_Department)</f>
        <v>6750</v>
      </c>
      <c r="N284" s="37" t="e">
        <f t="shared" si="19"/>
        <v>#N/A</v>
      </c>
      <c r="O284" s="37" t="e">
        <f t="shared" si="20"/>
        <v>#N/A</v>
      </c>
      <c r="P284" s="37" vm="1495">
        <f t="shared" si="21"/>
        <v>6750</v>
      </c>
      <c r="Q284" s="37" t="e">
        <f t="shared" si="22"/>
        <v>#N/A</v>
      </c>
      <c r="R284" s="37" t="e">
        <f t="shared" si="23"/>
        <v>#N/A</v>
      </c>
      <c r="S284" s="37" vm="1496">
        <f t="shared" si="24"/>
        <v>230431</v>
      </c>
    </row>
    <row r="285" spans="10:19" x14ac:dyDescent="0.25">
      <c r="J285" s="36" t="str" vm="474">
        <f>CUBEMEMBER("ThisWorkbookDataModel","[Indian_Employee_Data].[Employee ID].&amp;[Emp1262]")</f>
        <v>Emp1262</v>
      </c>
      <c r="K285" s="36" t="str" vm="473">
        <f>CUBEMEMBER("ThisWorkbookDataModel",{"[Indian_Employee_Data].[Employee ID].&amp;[Emp1262]","[Indian_Employee_Data].[Insurance tier].&amp;[Silver]"})</f>
        <v>Silver</v>
      </c>
      <c r="L285" s="37" vm="1498">
        <f>CUBEVALUE("ThisWorkbookDataModel",$K285,L$29,Slicer_Department)</f>
        <v>67240</v>
      </c>
      <c r="M285" s="37" vm="1497">
        <f>CUBEVALUE("ThisWorkbookDataModel",$K285,M$29,Slicer_Department)</f>
        <v>2800</v>
      </c>
      <c r="N285" s="37" t="e">
        <f t="shared" si="19"/>
        <v>#N/A</v>
      </c>
      <c r="O285" s="37" vm="1497">
        <f t="shared" si="20"/>
        <v>2800</v>
      </c>
      <c r="P285" s="37" t="e">
        <f t="shared" si="21"/>
        <v>#N/A</v>
      </c>
      <c r="Q285" s="37" t="e">
        <f t="shared" si="22"/>
        <v>#N/A</v>
      </c>
      <c r="R285" s="37" vm="1498">
        <f t="shared" si="23"/>
        <v>67240</v>
      </c>
      <c r="S285" s="37" t="e">
        <f t="shared" si="24"/>
        <v>#N/A</v>
      </c>
    </row>
    <row r="286" spans="10:19" x14ac:dyDescent="0.25">
      <c r="J286" s="36" t="str" vm="472">
        <f>CUBEMEMBER("ThisWorkbookDataModel","[Indian_Employee_Data].[Employee ID].&amp;[Emp1263]")</f>
        <v>Emp1263</v>
      </c>
      <c r="K286" s="36" t="str" vm="471">
        <f>CUBEMEMBER("ThisWorkbookDataModel",{"[Indian_Employee_Data].[Employee ID].&amp;[Emp1263]","[Indian_Employee_Data].[Insurance tier].&amp;[Silver]"})</f>
        <v>Silver</v>
      </c>
      <c r="L286" s="37" vm="1500">
        <f>CUBEVALUE("ThisWorkbookDataModel",$K286,L$29,Slicer_Department)</f>
        <v>113822</v>
      </c>
      <c r="M286" s="37" vm="1499">
        <f>CUBEVALUE("ThisWorkbookDataModel",$K286,M$29,Slicer_Department)</f>
        <v>2800</v>
      </c>
      <c r="N286" s="37" t="e">
        <f t="shared" ref="N286:N349" si="25">IF(AND($K286="Bronze",ISNUMBER($L286),ISNUMBER($M286)),$M286,NA())</f>
        <v>#N/A</v>
      </c>
      <c r="O286" s="37" vm="1499">
        <f t="shared" ref="O286:O349" si="26">IF(AND($K286="Silver",ISNUMBER($L286),ISNUMBER($M286)),$M286,NA())</f>
        <v>2800</v>
      </c>
      <c r="P286" s="37" t="e">
        <f t="shared" ref="P286:P349" si="27">IF(AND($K286="Gold",ISNUMBER($L286),ISNUMBER($M286)),$M286,NA())</f>
        <v>#N/A</v>
      </c>
      <c r="Q286" s="37" t="e">
        <f t="shared" ref="Q286:Q349" si="28">IF(AND($K286="Bronze",ISNUMBER($L286),ISNUMBER($N286)),$L286,NA())</f>
        <v>#N/A</v>
      </c>
      <c r="R286" s="37" vm="1500">
        <f t="shared" ref="R286:R349" si="29">IF(AND($K286="Silver",ISNUMBER($L286),ISNUMBER($O286)),$L286,NA())</f>
        <v>113822</v>
      </c>
      <c r="S286" s="37" t="e">
        <f t="shared" ref="S286:S349" si="30">IF(AND($K286="Gold",ISNUMBER($L286),ISNUMBER($P286)),$L286,NA())</f>
        <v>#N/A</v>
      </c>
    </row>
    <row r="287" spans="10:19" x14ac:dyDescent="0.25">
      <c r="J287" s="36" t="str" vm="470">
        <f>CUBEMEMBER("ThisWorkbookDataModel","[Indian_Employee_Data].[Employee ID].&amp;[Emp1264]")</f>
        <v>Emp1264</v>
      </c>
      <c r="K287" s="36" t="str" vm="469">
        <f>CUBEMEMBER("ThisWorkbookDataModel",{"[Indian_Employee_Data].[Employee ID].&amp;[Emp1264]","[Indian_Employee_Data].[Insurance tier].&amp;[Gold]"})</f>
        <v>Gold</v>
      </c>
      <c r="L287" s="37" vm="1502">
        <f>CUBEVALUE("ThisWorkbookDataModel",$K287,L$29,Slicer_Department)</f>
        <v>181289</v>
      </c>
      <c r="M287" s="37" vm="1501">
        <f>CUBEVALUE("ThisWorkbookDataModel",$K287,M$29,Slicer_Department)</f>
        <v>9000</v>
      </c>
      <c r="N287" s="37" t="e">
        <f t="shared" si="25"/>
        <v>#N/A</v>
      </c>
      <c r="O287" s="37" t="e">
        <f t="shared" si="26"/>
        <v>#N/A</v>
      </c>
      <c r="P287" s="37" vm="1501">
        <f t="shared" si="27"/>
        <v>9000</v>
      </c>
      <c r="Q287" s="37" t="e">
        <f t="shared" si="28"/>
        <v>#N/A</v>
      </c>
      <c r="R287" s="37" t="e">
        <f t="shared" si="29"/>
        <v>#N/A</v>
      </c>
      <c r="S287" s="37" vm="1502">
        <f t="shared" si="30"/>
        <v>181289</v>
      </c>
    </row>
    <row r="288" spans="10:19" x14ac:dyDescent="0.25">
      <c r="J288" s="36" t="str" vm="468">
        <f>CUBEMEMBER("ThisWorkbookDataModel","[Indian_Employee_Data].[Employee ID].&amp;[Emp1265]")</f>
        <v>Emp1265</v>
      </c>
      <c r="K288" s="36" t="str" vm="467">
        <f>CUBEMEMBER("ThisWorkbookDataModel",{"[Indian_Employee_Data].[Employee ID].&amp;[Emp1265]","[Indian_Employee_Data].[Insurance tier].&amp;[Gold]"})</f>
        <v>Gold</v>
      </c>
      <c r="L288" s="37" vm="1504">
        <f>CUBEVALUE("ThisWorkbookDataModel",$K288,L$29,Slicer_Department)</f>
        <v>150098</v>
      </c>
      <c r="M288" s="37" vm="1503">
        <f>CUBEVALUE("ThisWorkbookDataModel",$K288,M$29,Slicer_Department)</f>
        <v>6750</v>
      </c>
      <c r="N288" s="37" t="e">
        <f t="shared" si="25"/>
        <v>#N/A</v>
      </c>
      <c r="O288" s="37" t="e">
        <f t="shared" si="26"/>
        <v>#N/A</v>
      </c>
      <c r="P288" s="37" vm="1503">
        <f t="shared" si="27"/>
        <v>6750</v>
      </c>
      <c r="Q288" s="37" t="e">
        <f t="shared" si="28"/>
        <v>#N/A</v>
      </c>
      <c r="R288" s="37" t="e">
        <f t="shared" si="29"/>
        <v>#N/A</v>
      </c>
      <c r="S288" s="37" vm="1504">
        <f t="shared" si="30"/>
        <v>150098</v>
      </c>
    </row>
    <row r="289" spans="10:19" x14ac:dyDescent="0.25">
      <c r="J289" s="36" t="str" vm="466">
        <f>CUBEMEMBER("ThisWorkbookDataModel","[Indian_Employee_Data].[Employee ID].&amp;[Emp1266]")</f>
        <v>Emp1266</v>
      </c>
      <c r="K289" s="36" t="str" vm="465">
        <f>CUBEMEMBER("ThisWorkbookDataModel",{"[Indian_Employee_Data].[Employee ID].&amp;[Emp1266]","[Indian_Employee_Data].[Insurance tier].&amp;[Gold]"})</f>
        <v>Gold</v>
      </c>
      <c r="L289" s="37" vm="1506">
        <f>CUBEVALUE("ThisWorkbookDataModel",$K289,L$29,Slicer_Department)</f>
        <v>141995</v>
      </c>
      <c r="M289" s="37" vm="1505">
        <f>CUBEVALUE("ThisWorkbookDataModel",$K289,M$29,Slicer_Department)</f>
        <v>6750</v>
      </c>
      <c r="N289" s="37" t="e">
        <f t="shared" si="25"/>
        <v>#N/A</v>
      </c>
      <c r="O289" s="37" t="e">
        <f t="shared" si="26"/>
        <v>#N/A</v>
      </c>
      <c r="P289" s="37" vm="1505">
        <f t="shared" si="27"/>
        <v>6750</v>
      </c>
      <c r="Q289" s="37" t="e">
        <f t="shared" si="28"/>
        <v>#N/A</v>
      </c>
      <c r="R289" s="37" t="e">
        <f t="shared" si="29"/>
        <v>#N/A</v>
      </c>
      <c r="S289" s="37" vm="1506">
        <f t="shared" si="30"/>
        <v>141995</v>
      </c>
    </row>
    <row r="290" spans="10:19" x14ac:dyDescent="0.25">
      <c r="J290" s="36" t="str" vm="464">
        <f>CUBEMEMBER("ThisWorkbookDataModel","[Indian_Employee_Data].[Employee ID].&amp;[Emp1267]")</f>
        <v>Emp1267</v>
      </c>
      <c r="K290" s="36" t="str" vm="463">
        <f>CUBEMEMBER("ThisWorkbookDataModel",{"[Indian_Employee_Data].[Employee ID].&amp;[Emp1267]","[Indian_Employee_Data].[Insurance tier].&amp;[Gold]"})</f>
        <v>Gold</v>
      </c>
      <c r="L290" s="37" vm="1508">
        <f>CUBEVALUE("ThisWorkbookDataModel",$K290,L$29,Slicer_Department)</f>
        <v>142974</v>
      </c>
      <c r="M290" s="37" vm="1507">
        <f>CUBEVALUE("ThisWorkbookDataModel",$K290,M$29,Slicer_Department)</f>
        <v>6750</v>
      </c>
      <c r="N290" s="37" t="e">
        <f t="shared" si="25"/>
        <v>#N/A</v>
      </c>
      <c r="O290" s="37" t="e">
        <f t="shared" si="26"/>
        <v>#N/A</v>
      </c>
      <c r="P290" s="37" vm="1507">
        <f t="shared" si="27"/>
        <v>6750</v>
      </c>
      <c r="Q290" s="37" t="e">
        <f t="shared" si="28"/>
        <v>#N/A</v>
      </c>
      <c r="R290" s="37" t="e">
        <f t="shared" si="29"/>
        <v>#N/A</v>
      </c>
      <c r="S290" s="37" vm="1508">
        <f t="shared" si="30"/>
        <v>142974</v>
      </c>
    </row>
    <row r="291" spans="10:19" x14ac:dyDescent="0.25">
      <c r="J291" s="36" t="str" vm="462">
        <f>CUBEMEMBER("ThisWorkbookDataModel","[Indian_Employee_Data].[Employee ID].&amp;[Emp1268]")</f>
        <v>Emp1268</v>
      </c>
      <c r="K291" s="36" t="str" vm="461">
        <f>CUBEMEMBER("ThisWorkbookDataModel",{"[Indian_Employee_Data].[Employee ID].&amp;[Emp1268]","[Indian_Employee_Data].[Insurance tier].&amp;[Silver]"})</f>
        <v>Silver</v>
      </c>
      <c r="L291" s="37" vm="1510">
        <f>CUBEVALUE("ThisWorkbookDataModel",$K291,L$29,Slicer_Department)</f>
        <v>92966</v>
      </c>
      <c r="M291" s="37" vm="1509">
        <f>CUBEVALUE("ThisWorkbookDataModel",$K291,M$29,Slicer_Department)</f>
        <v>4200</v>
      </c>
      <c r="N291" s="37" t="e">
        <f t="shared" si="25"/>
        <v>#N/A</v>
      </c>
      <c r="O291" s="37" vm="1509">
        <f t="shared" si="26"/>
        <v>4200</v>
      </c>
      <c r="P291" s="37" t="e">
        <f t="shared" si="27"/>
        <v>#N/A</v>
      </c>
      <c r="Q291" s="37" t="e">
        <f t="shared" si="28"/>
        <v>#N/A</v>
      </c>
      <c r="R291" s="37" vm="1510">
        <f t="shared" si="29"/>
        <v>92966</v>
      </c>
      <c r="S291" s="37" t="e">
        <f t="shared" si="30"/>
        <v>#N/A</v>
      </c>
    </row>
    <row r="292" spans="10:19" x14ac:dyDescent="0.25">
      <c r="J292" s="36" t="str" vm="460">
        <f>CUBEMEMBER("ThisWorkbookDataModel","[Indian_Employee_Data].[Employee ID].&amp;[Emp1269]")</f>
        <v>Emp1269</v>
      </c>
      <c r="K292" s="36" t="str" vm="459">
        <f>CUBEMEMBER("ThisWorkbookDataModel",{"[Indian_Employee_Data].[Employee ID].&amp;[Emp1269]","[Indian_Employee_Data].[Insurance tier].&amp;[Silver]"})</f>
        <v>Silver</v>
      </c>
      <c r="L292" s="37" vm="1512">
        <f>CUBEVALUE("ThisWorkbookDataModel",$K292,L$29,Slicer_Department)</f>
        <v>85085</v>
      </c>
      <c r="M292" s="37" vm="1511">
        <f>CUBEVALUE("ThisWorkbookDataModel",$K292,M$29,Slicer_Department)</f>
        <v>4200</v>
      </c>
      <c r="N292" s="37" t="e">
        <f t="shared" si="25"/>
        <v>#N/A</v>
      </c>
      <c r="O292" s="37" vm="1511">
        <f t="shared" si="26"/>
        <v>4200</v>
      </c>
      <c r="P292" s="37" t="e">
        <f t="shared" si="27"/>
        <v>#N/A</v>
      </c>
      <c r="Q292" s="37" t="e">
        <f t="shared" si="28"/>
        <v>#N/A</v>
      </c>
      <c r="R292" s="37" vm="1512">
        <f t="shared" si="29"/>
        <v>85085</v>
      </c>
      <c r="S292" s="37" t="e">
        <f t="shared" si="30"/>
        <v>#N/A</v>
      </c>
    </row>
    <row r="293" spans="10:19" x14ac:dyDescent="0.25">
      <c r="J293" s="36" t="str" vm="458">
        <f>CUBEMEMBER("ThisWorkbookDataModel","[Indian_Employee_Data].[Employee ID].&amp;[Emp1270]")</f>
        <v>Emp1270</v>
      </c>
      <c r="K293" s="36" t="str" vm="457">
        <f>CUBEMEMBER("ThisWorkbookDataModel",{"[Indian_Employee_Data].[Employee ID].&amp;[Emp1270]","[Indian_Employee_Data].[Insurance tier].&amp;[Gold]"})</f>
        <v>Gold</v>
      </c>
      <c r="L293" s="37" vm="1514">
        <f>CUBEVALUE("ThisWorkbookDataModel",$K293,L$29,Slicer_Department)</f>
        <v>164328</v>
      </c>
      <c r="M293" s="37" vm="1513">
        <f>CUBEVALUE("ThisWorkbookDataModel",$K293,M$29,Slicer_Department)</f>
        <v>9000</v>
      </c>
      <c r="N293" s="37" t="e">
        <f t="shared" si="25"/>
        <v>#N/A</v>
      </c>
      <c r="O293" s="37" t="e">
        <f t="shared" si="26"/>
        <v>#N/A</v>
      </c>
      <c r="P293" s="37" vm="1513">
        <f t="shared" si="27"/>
        <v>9000</v>
      </c>
      <c r="Q293" s="37" t="e">
        <f t="shared" si="28"/>
        <v>#N/A</v>
      </c>
      <c r="R293" s="37" t="e">
        <f t="shared" si="29"/>
        <v>#N/A</v>
      </c>
      <c r="S293" s="37" vm="1514">
        <f t="shared" si="30"/>
        <v>164328</v>
      </c>
    </row>
    <row r="294" spans="10:19" x14ac:dyDescent="0.25">
      <c r="J294" s="36" t="str" vm="456">
        <f>CUBEMEMBER("ThisWorkbookDataModel","[Indian_Employee_Data].[Employee ID].&amp;[Emp1271]")</f>
        <v>Emp1271</v>
      </c>
      <c r="K294" s="36" t="str" vm="455">
        <f>CUBEMEMBER("ThisWorkbookDataModel",{"[Indian_Employee_Data].[Employee ID].&amp;[Emp1271]","[Indian_Employee_Data].[Insurance tier].&amp;[Gold]"})</f>
        <v>Gold</v>
      </c>
      <c r="L294" s="37" vm="1516">
        <f>CUBEVALUE("ThisWorkbookDataModel",$K294,L$29,Slicer_Department)</f>
        <v>164497</v>
      </c>
      <c r="M294" s="37" vm="1515">
        <f>CUBEVALUE("ThisWorkbookDataModel",$K294,M$29,Slicer_Department)</f>
        <v>6750</v>
      </c>
      <c r="N294" s="37" t="e">
        <f t="shared" si="25"/>
        <v>#N/A</v>
      </c>
      <c r="O294" s="37" t="e">
        <f t="shared" si="26"/>
        <v>#N/A</v>
      </c>
      <c r="P294" s="37" vm="1515">
        <f t="shared" si="27"/>
        <v>6750</v>
      </c>
      <c r="Q294" s="37" t="e">
        <f t="shared" si="28"/>
        <v>#N/A</v>
      </c>
      <c r="R294" s="37" t="e">
        <f t="shared" si="29"/>
        <v>#N/A</v>
      </c>
      <c r="S294" s="37" vm="1516">
        <f t="shared" si="30"/>
        <v>164497</v>
      </c>
    </row>
    <row r="295" spans="10:19" x14ac:dyDescent="0.25">
      <c r="J295" s="36" t="str" vm="454">
        <f>CUBEMEMBER("ThisWorkbookDataModel","[Indian_Employee_Data].[Employee ID].&amp;[Emp1272]")</f>
        <v>Emp1272</v>
      </c>
      <c r="K295" s="36" t="str" vm="453">
        <f>CUBEMEMBER("ThisWorkbookDataModel",{"[Indian_Employee_Data].[Employee ID].&amp;[Emp1272]","[Indian_Employee_Data].[Insurance tier].&amp;[Gold]"})</f>
        <v>Gold</v>
      </c>
      <c r="L295" s="37" vm="1518">
        <f>CUBEVALUE("ThisWorkbookDataModel",$K295,L$29,Slicer_Department)</f>
        <v>178461</v>
      </c>
      <c r="M295" s="37" vm="1517">
        <f>CUBEVALUE("ThisWorkbookDataModel",$K295,M$29,Slicer_Department)</f>
        <v>6750</v>
      </c>
      <c r="N295" s="37" t="e">
        <f t="shared" si="25"/>
        <v>#N/A</v>
      </c>
      <c r="O295" s="37" t="e">
        <f t="shared" si="26"/>
        <v>#N/A</v>
      </c>
      <c r="P295" s="37" vm="1517">
        <f t="shared" si="27"/>
        <v>6750</v>
      </c>
      <c r="Q295" s="37" t="e">
        <f t="shared" si="28"/>
        <v>#N/A</v>
      </c>
      <c r="R295" s="37" t="e">
        <f t="shared" si="29"/>
        <v>#N/A</v>
      </c>
      <c r="S295" s="37" vm="1518">
        <f t="shared" si="30"/>
        <v>178461</v>
      </c>
    </row>
    <row r="296" spans="10:19" x14ac:dyDescent="0.25">
      <c r="J296" s="36" t="str" vm="452">
        <f>CUBEMEMBER("ThisWorkbookDataModel","[Indian_Employee_Data].[Employee ID].&amp;[Emp1273]")</f>
        <v>Emp1273</v>
      </c>
      <c r="K296" s="36" t="str" vm="451">
        <f>CUBEMEMBER("ThisWorkbookDataModel",{"[Indian_Employee_Data].[Employee ID].&amp;[Emp1273]","[Indian_Employee_Data].[Insurance tier].&amp;[Gold]"})</f>
        <v>Gold</v>
      </c>
      <c r="L296" s="37" vm="1520">
        <f>CUBEVALUE("ThisWorkbookDataModel",$K296,L$29,Slicer_Department)</f>
        <v>192205</v>
      </c>
      <c r="M296" s="37" vm="1519">
        <f>CUBEVALUE("ThisWorkbookDataModel",$K296,M$29,Slicer_Department)</f>
        <v>9000</v>
      </c>
      <c r="N296" s="37" t="e">
        <f t="shared" si="25"/>
        <v>#N/A</v>
      </c>
      <c r="O296" s="37" t="e">
        <f t="shared" si="26"/>
        <v>#N/A</v>
      </c>
      <c r="P296" s="37" vm="1519">
        <f t="shared" si="27"/>
        <v>9000</v>
      </c>
      <c r="Q296" s="37" t="e">
        <f t="shared" si="28"/>
        <v>#N/A</v>
      </c>
      <c r="R296" s="37" t="e">
        <f t="shared" si="29"/>
        <v>#N/A</v>
      </c>
      <c r="S296" s="37" vm="1520">
        <f t="shared" si="30"/>
        <v>192205</v>
      </c>
    </row>
    <row r="297" spans="10:19" x14ac:dyDescent="0.25">
      <c r="J297" s="36" t="str" vm="450">
        <f>CUBEMEMBER("ThisWorkbookDataModel","[Indian_Employee_Data].[Employee ID].&amp;[Emp1274]")</f>
        <v>Emp1274</v>
      </c>
      <c r="K297" s="36" t="str" vm="449">
        <f>CUBEMEMBER("ThisWorkbookDataModel",{"[Indian_Employee_Data].[Employee ID].&amp;[Emp1274]","[Indian_Employee_Data].[Insurance tier].&amp;[Silver]"})</f>
        <v>Silver</v>
      </c>
      <c r="L297" s="37" vm="1522">
        <f>CUBEVALUE("ThisWorkbookDataModel",$K297,L$29,Slicer_Department)</f>
        <v>112838</v>
      </c>
      <c r="M297" s="37" vm="1521">
        <f>CUBEVALUE("ThisWorkbookDataModel",$K297,M$29,Slicer_Department)</f>
        <v>2800</v>
      </c>
      <c r="N297" s="37" t="e">
        <f t="shared" si="25"/>
        <v>#N/A</v>
      </c>
      <c r="O297" s="37" vm="1521">
        <f t="shared" si="26"/>
        <v>2800</v>
      </c>
      <c r="P297" s="37" t="e">
        <f t="shared" si="27"/>
        <v>#N/A</v>
      </c>
      <c r="Q297" s="37" t="e">
        <f t="shared" si="28"/>
        <v>#N/A</v>
      </c>
      <c r="R297" s="37" vm="1522">
        <f t="shared" si="29"/>
        <v>112838</v>
      </c>
      <c r="S297" s="37" t="e">
        <f t="shared" si="30"/>
        <v>#N/A</v>
      </c>
    </row>
    <row r="298" spans="10:19" x14ac:dyDescent="0.25">
      <c r="J298" s="36" t="str" vm="448">
        <f>CUBEMEMBER("ThisWorkbookDataModel","[Indian_Employee_Data].[Employee ID].&amp;[Emp1275]")</f>
        <v>Emp1275</v>
      </c>
      <c r="K298" s="36" t="str" vm="447">
        <f>CUBEMEMBER("ThisWorkbookDataModel",{"[Indian_Employee_Data].[Employee ID].&amp;[Emp1275]","[Indian_Employee_Data].[Insurance tier].&amp;[Silver]"})</f>
        <v>Silver</v>
      </c>
      <c r="L298" s="37" vm="1524">
        <f>CUBEVALUE("ThisWorkbookDataModel",$K298,L$29,Slicer_Department)</f>
        <v>111466</v>
      </c>
      <c r="M298" s="37" vm="1523">
        <f>CUBEVALUE("ThisWorkbookDataModel",$K298,M$29,Slicer_Department)</f>
        <v>4200</v>
      </c>
      <c r="N298" s="37" t="e">
        <f t="shared" si="25"/>
        <v>#N/A</v>
      </c>
      <c r="O298" s="37" vm="1523">
        <f t="shared" si="26"/>
        <v>4200</v>
      </c>
      <c r="P298" s="37" t="e">
        <f t="shared" si="27"/>
        <v>#N/A</v>
      </c>
      <c r="Q298" s="37" t="e">
        <f t="shared" si="28"/>
        <v>#N/A</v>
      </c>
      <c r="R298" s="37" vm="1524">
        <f t="shared" si="29"/>
        <v>111466</v>
      </c>
      <c r="S298" s="37" t="e">
        <f t="shared" si="30"/>
        <v>#N/A</v>
      </c>
    </row>
    <row r="299" spans="10:19" x14ac:dyDescent="0.25">
      <c r="J299" s="36" t="str" vm="446">
        <f>CUBEMEMBER("ThisWorkbookDataModel","[Indian_Employee_Data].[Employee ID].&amp;[Emp1276]")</f>
        <v>Emp1276</v>
      </c>
      <c r="K299" s="36" t="str" vm="445">
        <f>CUBEMEMBER("ThisWorkbookDataModel",{"[Indian_Employee_Data].[Employee ID].&amp;[Emp1276]","[Indian_Employee_Data].[Insurance tier].&amp;[Gold]"})</f>
        <v>Gold</v>
      </c>
      <c r="L299" s="37" vm="1526">
        <f>CUBEVALUE("ThisWorkbookDataModel",$K299,L$29,Slicer_Department)</f>
        <v>161877</v>
      </c>
      <c r="M299" s="37" vm="1525">
        <f>CUBEVALUE("ThisWorkbookDataModel",$K299,M$29,Slicer_Department)</f>
        <v>9000</v>
      </c>
      <c r="N299" s="37" t="e">
        <f t="shared" si="25"/>
        <v>#N/A</v>
      </c>
      <c r="O299" s="37" t="e">
        <f t="shared" si="26"/>
        <v>#N/A</v>
      </c>
      <c r="P299" s="37" vm="1525">
        <f t="shared" si="27"/>
        <v>9000</v>
      </c>
      <c r="Q299" s="37" t="e">
        <f t="shared" si="28"/>
        <v>#N/A</v>
      </c>
      <c r="R299" s="37" t="e">
        <f t="shared" si="29"/>
        <v>#N/A</v>
      </c>
      <c r="S299" s="37" vm="1526">
        <f t="shared" si="30"/>
        <v>161877</v>
      </c>
    </row>
    <row r="300" spans="10:19" x14ac:dyDescent="0.25">
      <c r="J300" s="36" t="str" vm="444">
        <f>CUBEMEMBER("ThisWorkbookDataModel","[Indian_Employee_Data].[Employee ID].&amp;[Emp1277]")</f>
        <v>Emp1277</v>
      </c>
      <c r="K300" s="36" t="str" vm="443">
        <f>CUBEMEMBER("ThisWorkbookDataModel",{"[Indian_Employee_Data].[Employee ID].&amp;[Emp1277]","[Indian_Employee_Data].[Insurance tier].&amp;[Gold]"})</f>
        <v>Gold</v>
      </c>
      <c r="L300" s="37" vm="1528">
        <f>CUBEVALUE("ThisWorkbookDataModel",$K300,L$29,Slicer_Department)</f>
        <v>133912</v>
      </c>
      <c r="M300" s="37" vm="1527">
        <f>CUBEVALUE("ThisWorkbookDataModel",$K300,M$29,Slicer_Department)</f>
        <v>6750</v>
      </c>
      <c r="N300" s="37" t="e">
        <f t="shared" si="25"/>
        <v>#N/A</v>
      </c>
      <c r="O300" s="37" t="e">
        <f t="shared" si="26"/>
        <v>#N/A</v>
      </c>
      <c r="P300" s="37" vm="1527">
        <f t="shared" si="27"/>
        <v>6750</v>
      </c>
      <c r="Q300" s="37" t="e">
        <f t="shared" si="28"/>
        <v>#N/A</v>
      </c>
      <c r="R300" s="37" t="e">
        <f t="shared" si="29"/>
        <v>#N/A</v>
      </c>
      <c r="S300" s="37" vm="1528">
        <f t="shared" si="30"/>
        <v>133912</v>
      </c>
    </row>
    <row r="301" spans="10:19" x14ac:dyDescent="0.25">
      <c r="J301" s="36" t="str" vm="442">
        <f>CUBEMEMBER("ThisWorkbookDataModel","[Indian_Employee_Data].[Employee ID].&amp;[Emp1278]")</f>
        <v>Emp1278</v>
      </c>
      <c r="K301" s="36" t="str" vm="441">
        <f>CUBEMEMBER("ThisWorkbookDataModel",{"[Indian_Employee_Data].[Employee ID].&amp;[Emp1278]","[Indian_Employee_Data].[Insurance tier].&amp;[Gold]"})</f>
        <v>Gold</v>
      </c>
      <c r="L301" s="37" vm="1530">
        <f>CUBEVALUE("ThisWorkbookDataModel",$K301,L$29,Slicer_Department)</f>
        <v>142881</v>
      </c>
      <c r="M301" s="37" vm="1529">
        <f>CUBEVALUE("ThisWorkbookDataModel",$K301,M$29,Slicer_Department)</f>
        <v>6750</v>
      </c>
      <c r="N301" s="37" t="e">
        <f t="shared" si="25"/>
        <v>#N/A</v>
      </c>
      <c r="O301" s="37" t="e">
        <f t="shared" si="26"/>
        <v>#N/A</v>
      </c>
      <c r="P301" s="37" vm="1529">
        <f t="shared" si="27"/>
        <v>6750</v>
      </c>
      <c r="Q301" s="37" t="e">
        <f t="shared" si="28"/>
        <v>#N/A</v>
      </c>
      <c r="R301" s="37" t="e">
        <f t="shared" si="29"/>
        <v>#N/A</v>
      </c>
      <c r="S301" s="37" vm="1530">
        <f t="shared" si="30"/>
        <v>142881</v>
      </c>
    </row>
    <row r="302" spans="10:19" x14ac:dyDescent="0.25">
      <c r="J302" s="36" t="str" vm="440">
        <f>CUBEMEMBER("ThisWorkbookDataModel","[Indian_Employee_Data].[Employee ID].&amp;[Emp1279]")</f>
        <v>Emp1279</v>
      </c>
      <c r="K302" s="36" t="str" vm="439">
        <f>CUBEMEMBER("ThisWorkbookDataModel",{"[Indian_Employee_Data].[Employee ID].&amp;[Emp1279]","[Indian_Employee_Data].[Insurance tier].&amp;[Gold]"})</f>
        <v>Gold</v>
      </c>
      <c r="L302" s="37" vm="1532">
        <f>CUBEVALUE("ThisWorkbookDataModel",$K302,L$29,Slicer_Department)</f>
        <v>161332</v>
      </c>
      <c r="M302" s="37" vm="1531">
        <f>CUBEVALUE("ThisWorkbookDataModel",$K302,M$29,Slicer_Department)</f>
        <v>9000</v>
      </c>
      <c r="N302" s="37" t="e">
        <f t="shared" si="25"/>
        <v>#N/A</v>
      </c>
      <c r="O302" s="37" t="e">
        <f t="shared" si="26"/>
        <v>#N/A</v>
      </c>
      <c r="P302" s="37" vm="1531">
        <f t="shared" si="27"/>
        <v>9000</v>
      </c>
      <c r="Q302" s="37" t="e">
        <f t="shared" si="28"/>
        <v>#N/A</v>
      </c>
      <c r="R302" s="37" t="e">
        <f t="shared" si="29"/>
        <v>#N/A</v>
      </c>
      <c r="S302" s="37" vm="1532">
        <f t="shared" si="30"/>
        <v>161332</v>
      </c>
    </row>
    <row r="303" spans="10:19" x14ac:dyDescent="0.25">
      <c r="J303" s="36" t="str" vm="438">
        <f>CUBEMEMBER("ThisWorkbookDataModel","[Indian_Employee_Data].[Employee ID].&amp;[Emp1280]")</f>
        <v>Emp1280</v>
      </c>
      <c r="K303" s="36" t="str" vm="437">
        <f>CUBEMEMBER("ThisWorkbookDataModel",{"[Indian_Employee_Data].[Employee ID].&amp;[Emp1280]","[Indian_Employee_Data].[Insurance tier].&amp;[Gold]"})</f>
        <v>Gold</v>
      </c>
      <c r="L303" s="37" vm="1534">
        <f>CUBEVALUE("ThisWorkbookDataModel",$K303,L$29,Slicer_Department)</f>
        <v>184924</v>
      </c>
      <c r="M303" s="37" vm="1533">
        <f>CUBEVALUE("ThisWorkbookDataModel",$K303,M$29,Slicer_Department)</f>
        <v>6750</v>
      </c>
      <c r="N303" s="37" t="e">
        <f t="shared" si="25"/>
        <v>#N/A</v>
      </c>
      <c r="O303" s="37" t="e">
        <f t="shared" si="26"/>
        <v>#N/A</v>
      </c>
      <c r="P303" s="37" vm="1533">
        <f t="shared" si="27"/>
        <v>6750</v>
      </c>
      <c r="Q303" s="37" t="e">
        <f t="shared" si="28"/>
        <v>#N/A</v>
      </c>
      <c r="R303" s="37" t="e">
        <f t="shared" si="29"/>
        <v>#N/A</v>
      </c>
      <c r="S303" s="37" vm="1534">
        <f t="shared" si="30"/>
        <v>184924</v>
      </c>
    </row>
    <row r="304" spans="10:19" x14ac:dyDescent="0.25">
      <c r="J304" s="36" t="str" vm="436">
        <f>CUBEMEMBER("ThisWorkbookDataModel","[Indian_Employee_Data].[Employee ID].&amp;[Emp1281]")</f>
        <v>Emp1281</v>
      </c>
      <c r="K304" s="36" t="str" vm="435">
        <f>CUBEMEMBER("ThisWorkbookDataModel",{"[Indian_Employee_Data].[Employee ID].&amp;[Emp1281]","[Indian_Employee_Data].[Insurance tier].&amp;[Silver]"})</f>
        <v>Silver</v>
      </c>
      <c r="L304" s="37" vm="1536">
        <f>CUBEVALUE("ThisWorkbookDataModel",$K304,L$29,Slicer_Department)</f>
        <v>90352</v>
      </c>
      <c r="M304" s="37" vm="1535">
        <f>CUBEVALUE("ThisWorkbookDataModel",$K304,M$29,Slicer_Department)</f>
        <v>2800</v>
      </c>
      <c r="N304" s="37" t="e">
        <f t="shared" si="25"/>
        <v>#N/A</v>
      </c>
      <c r="O304" s="37" vm="1535">
        <f t="shared" si="26"/>
        <v>2800</v>
      </c>
      <c r="P304" s="37" t="e">
        <f t="shared" si="27"/>
        <v>#N/A</v>
      </c>
      <c r="Q304" s="37" t="e">
        <f t="shared" si="28"/>
        <v>#N/A</v>
      </c>
      <c r="R304" s="37" vm="1536">
        <f t="shared" si="29"/>
        <v>90352</v>
      </c>
      <c r="S304" s="37" t="e">
        <f t="shared" si="30"/>
        <v>#N/A</v>
      </c>
    </row>
    <row r="305" spans="10:19" x14ac:dyDescent="0.25">
      <c r="J305" s="36" t="str" vm="434">
        <f>CUBEMEMBER("ThisWorkbookDataModel","[Indian_Employee_Data].[Employee ID].&amp;[Emp1282]")</f>
        <v>Emp1282</v>
      </c>
      <c r="K305" s="36" t="str" vm="433">
        <f>CUBEMEMBER("ThisWorkbookDataModel",{"[Indian_Employee_Data].[Employee ID].&amp;[Emp1282]","[Indian_Employee_Data].[Insurance tier].&amp;[Silver]"})</f>
        <v>Silver</v>
      </c>
      <c r="L305" s="37" vm="1538">
        <f>CUBEVALUE("ThisWorkbookDataModel",$K305,L$29,Slicer_Department)</f>
        <v>94951</v>
      </c>
      <c r="M305" s="37" vm="1537">
        <f>CUBEVALUE("ThisWorkbookDataModel",$K305,M$29,Slicer_Department)</f>
        <v>2800</v>
      </c>
      <c r="N305" s="37" t="e">
        <f t="shared" si="25"/>
        <v>#N/A</v>
      </c>
      <c r="O305" s="37" vm="1537">
        <f t="shared" si="26"/>
        <v>2800</v>
      </c>
      <c r="P305" s="37" t="e">
        <f t="shared" si="27"/>
        <v>#N/A</v>
      </c>
      <c r="Q305" s="37" t="e">
        <f t="shared" si="28"/>
        <v>#N/A</v>
      </c>
      <c r="R305" s="37" vm="1538">
        <f t="shared" si="29"/>
        <v>94951</v>
      </c>
      <c r="S305" s="37" t="e">
        <f t="shared" si="30"/>
        <v>#N/A</v>
      </c>
    </row>
    <row r="306" spans="10:19" x14ac:dyDescent="0.25">
      <c r="J306" s="36" t="str" vm="432">
        <f>CUBEMEMBER("ThisWorkbookDataModel","[Indian_Employee_Data].[Employee ID].&amp;[Emp1283]")</f>
        <v>Emp1283</v>
      </c>
      <c r="K306" s="36" t="str" vm="431">
        <f>CUBEMEMBER("ThisWorkbookDataModel",{"[Indian_Employee_Data].[Employee ID].&amp;[Emp1283]","[Indian_Employee_Data].[Insurance tier].&amp;[Silver]"})</f>
        <v>Silver</v>
      </c>
      <c r="L306" s="37" vm="1540">
        <f>CUBEVALUE("ThisWorkbookDataModel",$K306,L$29,Slicer_Department)</f>
        <v>60502</v>
      </c>
      <c r="M306" s="37" vm="1539">
        <f>CUBEVALUE("ThisWorkbookDataModel",$K306,M$29,Slicer_Department)</f>
        <v>2800</v>
      </c>
      <c r="N306" s="37" t="e">
        <f t="shared" si="25"/>
        <v>#N/A</v>
      </c>
      <c r="O306" s="37" vm="1539">
        <f t="shared" si="26"/>
        <v>2800</v>
      </c>
      <c r="P306" s="37" t="e">
        <f t="shared" si="27"/>
        <v>#N/A</v>
      </c>
      <c r="Q306" s="37" t="e">
        <f t="shared" si="28"/>
        <v>#N/A</v>
      </c>
      <c r="R306" s="37" vm="1540">
        <f t="shared" si="29"/>
        <v>60502</v>
      </c>
      <c r="S306" s="37" t="e">
        <f t="shared" si="30"/>
        <v>#N/A</v>
      </c>
    </row>
    <row r="307" spans="10:19" x14ac:dyDescent="0.25">
      <c r="J307" s="36" t="str" vm="430">
        <f>CUBEMEMBER("ThisWorkbookDataModel","[Indian_Employee_Data].[Employee ID].&amp;[Emp1284]")</f>
        <v>Emp1284</v>
      </c>
      <c r="K307" s="36" t="str" vm="429">
        <f>CUBEMEMBER("ThisWorkbookDataModel",{"[Indian_Employee_Data].[Employee ID].&amp;[Emp1284]","[Indian_Employee_Data].[Insurance tier].&amp;[Gold]"})</f>
        <v>Gold</v>
      </c>
      <c r="L307" s="37" vm="1542">
        <f>CUBEVALUE("ThisWorkbookDataModel",$K307,L$29,Slicer_Department)</f>
        <v>122578</v>
      </c>
      <c r="M307" s="37" vm="1541">
        <f>CUBEVALUE("ThisWorkbookDataModel",$K307,M$29,Slicer_Department)</f>
        <v>9000</v>
      </c>
      <c r="N307" s="37" t="e">
        <f t="shared" si="25"/>
        <v>#N/A</v>
      </c>
      <c r="O307" s="37" t="e">
        <f t="shared" si="26"/>
        <v>#N/A</v>
      </c>
      <c r="P307" s="37" vm="1541">
        <f t="shared" si="27"/>
        <v>9000</v>
      </c>
      <c r="Q307" s="37" t="e">
        <f t="shared" si="28"/>
        <v>#N/A</v>
      </c>
      <c r="R307" s="37" t="e">
        <f t="shared" si="29"/>
        <v>#N/A</v>
      </c>
      <c r="S307" s="37" vm="1542">
        <f t="shared" si="30"/>
        <v>122578</v>
      </c>
    </row>
    <row r="308" spans="10:19" x14ac:dyDescent="0.25">
      <c r="J308" s="36" t="str" vm="428">
        <f>CUBEMEMBER("ThisWorkbookDataModel","[Indian_Employee_Data].[Employee ID].&amp;[Emp1285]")</f>
        <v>Emp1285</v>
      </c>
      <c r="K308" s="36" t="str" vm="427">
        <f>CUBEMEMBER("ThisWorkbookDataModel",{"[Indian_Employee_Data].[Employee ID].&amp;[Emp1285]","[Indian_Employee_Data].[Insurance tier].&amp;[Bronze]"})</f>
        <v>Bronze</v>
      </c>
      <c r="L308" s="37" vm="1544">
        <f>CUBEVALUE("ThisWorkbookDataModel",$K308,L$29,Slicer_Department)</f>
        <v>48863</v>
      </c>
      <c r="M308" s="37" vm="1543">
        <f>CUBEVALUE("ThisWorkbookDataModel",$K308,M$29,Slicer_Department)</f>
        <v>1500</v>
      </c>
      <c r="N308" s="37" vm="1543">
        <f t="shared" si="25"/>
        <v>1500</v>
      </c>
      <c r="O308" s="37" t="e">
        <f t="shared" si="26"/>
        <v>#N/A</v>
      </c>
      <c r="P308" s="37" t="e">
        <f t="shared" si="27"/>
        <v>#N/A</v>
      </c>
      <c r="Q308" s="37" vm="1544">
        <f t="shared" si="28"/>
        <v>48863</v>
      </c>
      <c r="R308" s="37" t="e">
        <f t="shared" si="29"/>
        <v>#N/A</v>
      </c>
      <c r="S308" s="37" t="e">
        <f t="shared" si="30"/>
        <v>#N/A</v>
      </c>
    </row>
    <row r="309" spans="10:19" x14ac:dyDescent="0.25">
      <c r="J309" s="36" t="str" vm="426">
        <f>CUBEMEMBER("ThisWorkbookDataModel","[Indian_Employee_Data].[Employee ID].&amp;[Emp1286]")</f>
        <v>Emp1286</v>
      </c>
      <c r="K309" s="36" t="str" vm="425">
        <f>CUBEMEMBER("ThisWorkbookDataModel",{"[Indian_Employee_Data].[Employee ID].&amp;[Emp1286]","[Indian_Employee_Data].[Insurance tier].&amp;[Silver]"})</f>
        <v>Silver</v>
      </c>
      <c r="L309" s="37" vm="1546">
        <f>CUBEVALUE("ThisWorkbookDataModel",$K309,L$29,Slicer_Department)</f>
        <v>106561</v>
      </c>
      <c r="M309" s="37" vm="1545">
        <f>CUBEVALUE("ThisWorkbookDataModel",$K309,M$29,Slicer_Department)</f>
        <v>4200</v>
      </c>
      <c r="N309" s="37" t="e">
        <f t="shared" si="25"/>
        <v>#N/A</v>
      </c>
      <c r="O309" s="37" vm="1545">
        <f t="shared" si="26"/>
        <v>4200</v>
      </c>
      <c r="P309" s="37" t="e">
        <f t="shared" si="27"/>
        <v>#N/A</v>
      </c>
      <c r="Q309" s="37" t="e">
        <f t="shared" si="28"/>
        <v>#N/A</v>
      </c>
      <c r="R309" s="37" vm="1546">
        <f t="shared" si="29"/>
        <v>106561</v>
      </c>
      <c r="S309" s="37" t="e">
        <f t="shared" si="30"/>
        <v>#N/A</v>
      </c>
    </row>
    <row r="310" spans="10:19" x14ac:dyDescent="0.25">
      <c r="J310" s="36" t="str" vm="424">
        <f>CUBEMEMBER("ThisWorkbookDataModel","[Indian_Employee_Data].[Employee ID].&amp;[Emp1287]")</f>
        <v>Emp1287</v>
      </c>
      <c r="K310" s="36" t="str" vm="423">
        <f>CUBEMEMBER("ThisWorkbookDataModel",{"[Indian_Employee_Data].[Employee ID].&amp;[Emp1287]","[Indian_Employee_Data].[Insurance tier].&amp;[Silver]"})</f>
        <v>Silver</v>
      </c>
      <c r="L310" s="37" vm="1548">
        <f>CUBEVALUE("ThisWorkbookDataModel",$K310,L$29,Slicer_Department)</f>
        <v>117304</v>
      </c>
      <c r="M310" s="37" vm="1547">
        <f>CUBEVALUE("ThisWorkbookDataModel",$K310,M$29,Slicer_Department)</f>
        <v>2800</v>
      </c>
      <c r="N310" s="37" t="e">
        <f t="shared" si="25"/>
        <v>#N/A</v>
      </c>
      <c r="O310" s="37" vm="1547">
        <f t="shared" si="26"/>
        <v>2800</v>
      </c>
      <c r="P310" s="37" t="e">
        <f t="shared" si="27"/>
        <v>#N/A</v>
      </c>
      <c r="Q310" s="37" t="e">
        <f t="shared" si="28"/>
        <v>#N/A</v>
      </c>
      <c r="R310" s="37" vm="1548">
        <f t="shared" si="29"/>
        <v>117304</v>
      </c>
      <c r="S310" s="37" t="e">
        <f t="shared" si="30"/>
        <v>#N/A</v>
      </c>
    </row>
    <row r="311" spans="10:19" x14ac:dyDescent="0.25">
      <c r="J311" s="36" t="str" vm="422">
        <f>CUBEMEMBER("ThisWorkbookDataModel","[Indian_Employee_Data].[Employee ID].&amp;[Emp1288]")</f>
        <v>Emp1288</v>
      </c>
      <c r="K311" s="36" t="str" vm="421">
        <f>CUBEMEMBER("ThisWorkbookDataModel",{"[Indian_Employee_Data].[Employee ID].&amp;[Emp1288]","[Indian_Employee_Data].[Insurance tier].&amp;[Silver]"})</f>
        <v>Silver</v>
      </c>
      <c r="L311" s="37" vm="1550">
        <f>CUBEVALUE("ThisWorkbookDataModel",$K311,L$29,Slicer_Department)</f>
        <v>84264</v>
      </c>
      <c r="M311" s="37" vm="1549">
        <f>CUBEVALUE("ThisWorkbookDataModel",$K311,M$29,Slicer_Department)</f>
        <v>2800</v>
      </c>
      <c r="N311" s="37" t="e">
        <f t="shared" si="25"/>
        <v>#N/A</v>
      </c>
      <c r="O311" s="37" vm="1549">
        <f t="shared" si="26"/>
        <v>2800</v>
      </c>
      <c r="P311" s="37" t="e">
        <f t="shared" si="27"/>
        <v>#N/A</v>
      </c>
      <c r="Q311" s="37" t="e">
        <f t="shared" si="28"/>
        <v>#N/A</v>
      </c>
      <c r="R311" s="37" vm="1550">
        <f t="shared" si="29"/>
        <v>84264</v>
      </c>
      <c r="S311" s="37" t="e">
        <f t="shared" si="30"/>
        <v>#N/A</v>
      </c>
    </row>
    <row r="312" spans="10:19" x14ac:dyDescent="0.25">
      <c r="J312" s="36" t="str" vm="420">
        <f>CUBEMEMBER("ThisWorkbookDataModel","[Indian_Employee_Data].[Employee ID].&amp;[Emp1289]")</f>
        <v>Emp1289</v>
      </c>
      <c r="K312" s="36" t="str" vm="419">
        <f>CUBEMEMBER("ThisWorkbookDataModel",{"[Indian_Employee_Data].[Employee ID].&amp;[Emp1289]","[Indian_Employee_Data].[Insurance tier].&amp;[Gold]"})</f>
        <v>Gold</v>
      </c>
      <c r="L312" s="37" vm="1552">
        <f>CUBEVALUE("ThisWorkbookDataModel",$K312,L$29,Slicer_Department)</f>
        <v>124489</v>
      </c>
      <c r="M312" s="37" vm="1551">
        <f>CUBEVALUE("ThisWorkbookDataModel",$K312,M$29,Slicer_Department)</f>
        <v>6750</v>
      </c>
      <c r="N312" s="37" t="e">
        <f t="shared" si="25"/>
        <v>#N/A</v>
      </c>
      <c r="O312" s="37" t="e">
        <f t="shared" si="26"/>
        <v>#N/A</v>
      </c>
      <c r="P312" s="37" vm="1551">
        <f t="shared" si="27"/>
        <v>6750</v>
      </c>
      <c r="Q312" s="37" t="e">
        <f t="shared" si="28"/>
        <v>#N/A</v>
      </c>
      <c r="R312" s="37" t="e">
        <f t="shared" si="29"/>
        <v>#N/A</v>
      </c>
      <c r="S312" s="37" vm="1552">
        <f t="shared" si="30"/>
        <v>124489</v>
      </c>
    </row>
    <row r="313" spans="10:19" x14ac:dyDescent="0.25">
      <c r="J313" s="36" t="str" vm="418">
        <f>CUBEMEMBER("ThisWorkbookDataModel","[Indian_Employee_Data].[Employee ID].&amp;[Emp1290]")</f>
        <v>Emp1290</v>
      </c>
      <c r="K313" s="36" t="str" vm="417">
        <f>CUBEMEMBER("ThisWorkbookDataModel",{"[Indian_Employee_Data].[Employee ID].&amp;[Emp1290]","[Indian_Employee_Data].[Insurance tier].&amp;[Bronze]"})</f>
        <v>Bronze</v>
      </c>
      <c r="L313" s="37" vm="1554">
        <f>CUBEVALUE("ThisWorkbookDataModel",$K313,L$29,Slicer_Department)</f>
        <v>47376</v>
      </c>
      <c r="M313" s="37" vm="1553">
        <f>CUBEVALUE("ThisWorkbookDataModel",$K313,M$29,Slicer_Department)</f>
        <v>1500</v>
      </c>
      <c r="N313" s="37" vm="1553">
        <f t="shared" si="25"/>
        <v>1500</v>
      </c>
      <c r="O313" s="37" t="e">
        <f t="shared" si="26"/>
        <v>#N/A</v>
      </c>
      <c r="P313" s="37" t="e">
        <f t="shared" si="27"/>
        <v>#N/A</v>
      </c>
      <c r="Q313" s="37" vm="1554">
        <f t="shared" si="28"/>
        <v>47376</v>
      </c>
      <c r="R313" s="37" t="e">
        <f t="shared" si="29"/>
        <v>#N/A</v>
      </c>
      <c r="S313" s="37" t="e">
        <f t="shared" si="30"/>
        <v>#N/A</v>
      </c>
    </row>
    <row r="314" spans="10:19" x14ac:dyDescent="0.25">
      <c r="J314" s="36" t="str" vm="416">
        <f>CUBEMEMBER("ThisWorkbookDataModel","[Indian_Employee_Data].[Employee ID].&amp;[Emp1291]")</f>
        <v>Emp1291</v>
      </c>
      <c r="K314" s="36" t="str" vm="415">
        <f>CUBEMEMBER("ThisWorkbookDataModel",{"[Indian_Employee_Data].[Employee ID].&amp;[Emp1291]","[Indian_Employee_Data].[Insurance tier].&amp;[Bronze]"})</f>
        <v>Bronze</v>
      </c>
      <c r="L314" s="37" vm="1556">
        <f>CUBEVALUE("ThisWorkbookDataModel",$K314,L$29,Slicer_Department)</f>
        <v>49228</v>
      </c>
      <c r="M314" s="37" vm="1555">
        <f>CUBEVALUE("ThisWorkbookDataModel",$K314,M$29,Slicer_Department)</f>
        <v>1500</v>
      </c>
      <c r="N314" s="37" vm="1555">
        <f t="shared" si="25"/>
        <v>1500</v>
      </c>
      <c r="O314" s="37" t="e">
        <f t="shared" si="26"/>
        <v>#N/A</v>
      </c>
      <c r="P314" s="37" t="e">
        <f t="shared" si="27"/>
        <v>#N/A</v>
      </c>
      <c r="Q314" s="37" vm="1556">
        <f t="shared" si="28"/>
        <v>49228</v>
      </c>
      <c r="R314" s="37" t="e">
        <f t="shared" si="29"/>
        <v>#N/A</v>
      </c>
      <c r="S314" s="37" t="e">
        <f t="shared" si="30"/>
        <v>#N/A</v>
      </c>
    </row>
    <row r="315" spans="10:19" x14ac:dyDescent="0.25">
      <c r="J315" s="36" t="str" vm="414">
        <f>CUBEMEMBER("ThisWorkbookDataModel","[Indian_Employee_Data].[Employee ID].&amp;[Emp1292]")</f>
        <v>Emp1292</v>
      </c>
      <c r="K315" s="36" t="str" vm="413">
        <f>CUBEMEMBER("ThisWorkbookDataModel",{"[Indian_Employee_Data].[Employee ID].&amp;[Emp1292]","[Indian_Employee_Data].[Insurance tier].&amp;[Gold]"})</f>
        <v>Gold</v>
      </c>
      <c r="L315" s="37" vm="1558">
        <f>CUBEVALUE("ThisWorkbookDataModel",$K315,L$29,Slicer_Department)</f>
        <v>167356</v>
      </c>
      <c r="M315" s="37" vm="1557">
        <f>CUBEVALUE("ThisWorkbookDataModel",$K315,M$29,Slicer_Department)</f>
        <v>6750</v>
      </c>
      <c r="N315" s="37" t="e">
        <f t="shared" si="25"/>
        <v>#N/A</v>
      </c>
      <c r="O315" s="37" t="e">
        <f t="shared" si="26"/>
        <v>#N/A</v>
      </c>
      <c r="P315" s="37" vm="1557">
        <f t="shared" si="27"/>
        <v>6750</v>
      </c>
      <c r="Q315" s="37" t="e">
        <f t="shared" si="28"/>
        <v>#N/A</v>
      </c>
      <c r="R315" s="37" t="e">
        <f t="shared" si="29"/>
        <v>#N/A</v>
      </c>
      <c r="S315" s="37" vm="1558">
        <f t="shared" si="30"/>
        <v>167356</v>
      </c>
    </row>
    <row r="316" spans="10:19" x14ac:dyDescent="0.25">
      <c r="J316" s="36" t="str" vm="412">
        <f>CUBEMEMBER("ThisWorkbookDataModel","[Indian_Employee_Data].[Employee ID].&amp;[Emp1293]")</f>
        <v>Emp1293</v>
      </c>
      <c r="K316" s="36" t="str" vm="411">
        <f>CUBEMEMBER("ThisWorkbookDataModel",{"[Indian_Employee_Data].[Employee ID].&amp;[Emp1293]","[Indian_Employee_Data].[Insurance tier].&amp;[Silver]"})</f>
        <v>Silver</v>
      </c>
      <c r="L316" s="37" vm="1560">
        <f>CUBEVALUE("ThisWorkbookDataModel",$K316,L$29,Slicer_Department)</f>
        <v>93052</v>
      </c>
      <c r="M316" s="37" vm="1559">
        <f>CUBEVALUE("ThisWorkbookDataModel",$K316,M$29,Slicer_Department)</f>
        <v>2800</v>
      </c>
      <c r="N316" s="37" t="e">
        <f t="shared" si="25"/>
        <v>#N/A</v>
      </c>
      <c r="O316" s="37" vm="1559">
        <f t="shared" si="26"/>
        <v>2800</v>
      </c>
      <c r="P316" s="37" t="e">
        <f t="shared" si="27"/>
        <v>#N/A</v>
      </c>
      <c r="Q316" s="37" t="e">
        <f t="shared" si="28"/>
        <v>#N/A</v>
      </c>
      <c r="R316" s="37" vm="1560">
        <f t="shared" si="29"/>
        <v>93052</v>
      </c>
      <c r="S316" s="37" t="e">
        <f t="shared" si="30"/>
        <v>#N/A</v>
      </c>
    </row>
    <row r="317" spans="10:19" x14ac:dyDescent="0.25">
      <c r="J317" s="36" t="str" vm="410">
        <f>CUBEMEMBER("ThisWorkbookDataModel","[Indian_Employee_Data].[Employee ID].&amp;[Emp1294]")</f>
        <v>Emp1294</v>
      </c>
      <c r="K317" s="36" t="str" vm="409">
        <f>CUBEMEMBER("ThisWorkbookDataModel",{"[Indian_Employee_Data].[Employee ID].&amp;[Emp1294]","[Indian_Employee_Data].[Insurance tier].&amp;[Silver]"})</f>
        <v>Silver</v>
      </c>
      <c r="L317" s="37" vm="1562">
        <f>CUBEVALUE("ThisWorkbookDataModel",$K317,L$29,Slicer_Department)</f>
        <v>65466</v>
      </c>
      <c r="M317" s="37" vm="1561">
        <f>CUBEVALUE("ThisWorkbookDataModel",$K317,M$29,Slicer_Department)</f>
        <v>4200</v>
      </c>
      <c r="N317" s="37" t="e">
        <f t="shared" si="25"/>
        <v>#N/A</v>
      </c>
      <c r="O317" s="37" vm="1561">
        <f t="shared" si="26"/>
        <v>4200</v>
      </c>
      <c r="P317" s="37" t="e">
        <f t="shared" si="27"/>
        <v>#N/A</v>
      </c>
      <c r="Q317" s="37" t="e">
        <f t="shared" si="28"/>
        <v>#N/A</v>
      </c>
      <c r="R317" s="37" vm="1562">
        <f t="shared" si="29"/>
        <v>65466</v>
      </c>
      <c r="S317" s="37" t="e">
        <f t="shared" si="30"/>
        <v>#N/A</v>
      </c>
    </row>
    <row r="318" spans="10:19" x14ac:dyDescent="0.25">
      <c r="J318" s="36" t="str" vm="408">
        <f>CUBEMEMBER("ThisWorkbookDataModel","[Indian_Employee_Data].[Employee ID].&amp;[Emp1295]")</f>
        <v>Emp1295</v>
      </c>
      <c r="K318" s="36" t="str" vm="407">
        <f>CUBEMEMBER("ThisWorkbookDataModel",{"[Indian_Employee_Data].[Employee ID].&amp;[Emp1295]","[Indian_Employee_Data].[Insurance tier].&amp;[Silver]"})</f>
        <v>Silver</v>
      </c>
      <c r="L318" s="37" vm="1564">
        <f>CUBEVALUE("ThisWorkbookDataModel",$K318,L$29,Slicer_Department)</f>
        <v>114376</v>
      </c>
      <c r="M318" s="37" vm="1563">
        <f>CUBEVALUE("ThisWorkbookDataModel",$K318,M$29,Slicer_Department)</f>
        <v>2800</v>
      </c>
      <c r="N318" s="37" t="e">
        <f t="shared" si="25"/>
        <v>#N/A</v>
      </c>
      <c r="O318" s="37" vm="1563">
        <f t="shared" si="26"/>
        <v>2800</v>
      </c>
      <c r="P318" s="37" t="e">
        <f t="shared" si="27"/>
        <v>#N/A</v>
      </c>
      <c r="Q318" s="37" t="e">
        <f t="shared" si="28"/>
        <v>#N/A</v>
      </c>
      <c r="R318" s="37" vm="1564">
        <f t="shared" si="29"/>
        <v>114376</v>
      </c>
      <c r="S318" s="37" t="e">
        <f t="shared" si="30"/>
        <v>#N/A</v>
      </c>
    </row>
    <row r="319" spans="10:19" x14ac:dyDescent="0.25">
      <c r="J319" s="36" t="str" vm="406">
        <f>CUBEMEMBER("ThisWorkbookDataModel","[Indian_Employee_Data].[Employee ID].&amp;[Emp1296]")</f>
        <v>Emp1296</v>
      </c>
      <c r="K319" s="36" t="str" vm="405">
        <f>CUBEMEMBER("ThisWorkbookDataModel",{"[Indian_Employee_Data].[Employee ID].&amp;[Emp1296]","[Indian_Employee_Data].[Insurance tier].&amp;[Gold]"})</f>
        <v>Gold</v>
      </c>
      <c r="L319" s="37" vm="1566">
        <f>CUBEVALUE("ThisWorkbookDataModel",$K319,L$29,Slicer_Department)</f>
        <v>155897</v>
      </c>
      <c r="M319" s="37" vm="1565">
        <f>CUBEVALUE("ThisWorkbookDataModel",$K319,M$29,Slicer_Department)</f>
        <v>9000</v>
      </c>
      <c r="N319" s="37" t="e">
        <f t="shared" si="25"/>
        <v>#N/A</v>
      </c>
      <c r="O319" s="37" t="e">
        <f t="shared" si="26"/>
        <v>#N/A</v>
      </c>
      <c r="P319" s="37" vm="1565">
        <f t="shared" si="27"/>
        <v>9000</v>
      </c>
      <c r="Q319" s="37" t="e">
        <f t="shared" si="28"/>
        <v>#N/A</v>
      </c>
      <c r="R319" s="37" t="e">
        <f t="shared" si="29"/>
        <v>#N/A</v>
      </c>
      <c r="S319" s="37" vm="1566">
        <f t="shared" si="30"/>
        <v>155897</v>
      </c>
    </row>
    <row r="320" spans="10:19" x14ac:dyDescent="0.25">
      <c r="J320" s="36" t="str" vm="404">
        <f>CUBEMEMBER("ThisWorkbookDataModel","[Indian_Employee_Data].[Employee ID].&amp;[Emp1297]")</f>
        <v>Emp1297</v>
      </c>
      <c r="K320" s="36" t="str" vm="403">
        <f>CUBEMEMBER("ThisWorkbookDataModel",{"[Indian_Employee_Data].[Employee ID].&amp;[Emp1297]","[Indian_Employee_Data].[Insurance tier].&amp;[Silver]"})</f>
        <v>Silver</v>
      </c>
      <c r="L320" s="37" vm="1568">
        <f>CUBEVALUE("ThisWorkbookDataModel",$K320,L$29,Slicer_Department)</f>
        <v>76244</v>
      </c>
      <c r="M320" s="37" vm="1567">
        <f>CUBEVALUE("ThisWorkbookDataModel",$K320,M$29,Slicer_Department)</f>
        <v>4200</v>
      </c>
      <c r="N320" s="37" t="e">
        <f t="shared" si="25"/>
        <v>#N/A</v>
      </c>
      <c r="O320" s="37" vm="1567">
        <f t="shared" si="26"/>
        <v>4200</v>
      </c>
      <c r="P320" s="37" t="e">
        <f t="shared" si="27"/>
        <v>#N/A</v>
      </c>
      <c r="Q320" s="37" t="e">
        <f t="shared" si="28"/>
        <v>#N/A</v>
      </c>
      <c r="R320" s="37" vm="1568">
        <f t="shared" si="29"/>
        <v>76244</v>
      </c>
      <c r="S320" s="37" t="e">
        <f t="shared" si="30"/>
        <v>#N/A</v>
      </c>
    </row>
    <row r="321" spans="10:19" x14ac:dyDescent="0.25">
      <c r="J321" s="36" t="str" vm="402">
        <f>CUBEMEMBER("ThisWorkbookDataModel","[Indian_Employee_Data].[Employee ID].&amp;[Emp1298]")</f>
        <v>Emp1298</v>
      </c>
      <c r="K321" s="36" t="str" vm="401">
        <f>CUBEMEMBER("ThisWorkbookDataModel",{"[Indian_Employee_Data].[Employee ID].&amp;[Emp1298]","[Indian_Employee_Data].[Insurance tier].&amp;[Gold]"})</f>
        <v>Gold</v>
      </c>
      <c r="L321" s="37" vm="1570">
        <f>CUBEVALUE("ThisWorkbookDataModel",$K321,L$29,Slicer_Department)</f>
        <v>129506</v>
      </c>
      <c r="M321" s="37" vm="1569">
        <f>CUBEVALUE("ThisWorkbookDataModel",$K321,M$29,Slicer_Department)</f>
        <v>6750</v>
      </c>
      <c r="N321" s="37" t="e">
        <f t="shared" si="25"/>
        <v>#N/A</v>
      </c>
      <c r="O321" s="37" t="e">
        <f t="shared" si="26"/>
        <v>#N/A</v>
      </c>
      <c r="P321" s="37" vm="1569">
        <f t="shared" si="27"/>
        <v>6750</v>
      </c>
      <c r="Q321" s="37" t="e">
        <f t="shared" si="28"/>
        <v>#N/A</v>
      </c>
      <c r="R321" s="37" t="e">
        <f t="shared" si="29"/>
        <v>#N/A</v>
      </c>
      <c r="S321" s="37" vm="1570">
        <f t="shared" si="30"/>
        <v>129506</v>
      </c>
    </row>
    <row r="322" spans="10:19" x14ac:dyDescent="0.25">
      <c r="J322" s="36" t="str" vm="400">
        <f>CUBEMEMBER("ThisWorkbookDataModel","[Indian_Employee_Data].[Employee ID].&amp;[Emp1299]")</f>
        <v>Emp1299</v>
      </c>
      <c r="K322" s="36" t="str" vm="399">
        <f>CUBEMEMBER("ThisWorkbookDataModel",{"[Indian_Employee_Data].[Employee ID].&amp;[Emp1299]","[Indian_Employee_Data].[Insurance tier].&amp;[Bronze]"})</f>
        <v>Bronze</v>
      </c>
      <c r="L322" s="37" vm="1572">
        <f>CUBEVALUE("ThisWorkbookDataModel",$K322,L$29,Slicer_Department)</f>
        <v>59067</v>
      </c>
      <c r="M322" s="37" vm="1571">
        <f>CUBEVALUE("ThisWorkbookDataModel",$K322,M$29,Slicer_Department)</f>
        <v>1500</v>
      </c>
      <c r="N322" s="37" vm="1571">
        <f t="shared" si="25"/>
        <v>1500</v>
      </c>
      <c r="O322" s="37" t="e">
        <f t="shared" si="26"/>
        <v>#N/A</v>
      </c>
      <c r="P322" s="37" t="e">
        <f t="shared" si="27"/>
        <v>#N/A</v>
      </c>
      <c r="Q322" s="37" vm="1572">
        <f t="shared" si="28"/>
        <v>59067</v>
      </c>
      <c r="R322" s="37" t="e">
        <f t="shared" si="29"/>
        <v>#N/A</v>
      </c>
      <c r="S322" s="37" t="e">
        <f t="shared" si="30"/>
        <v>#N/A</v>
      </c>
    </row>
    <row r="323" spans="10:19" x14ac:dyDescent="0.25">
      <c r="J323" s="36" t="str" vm="398">
        <f>CUBEMEMBER("ThisWorkbookDataModel","[Indian_Employee_Data].[Employee ID].&amp;[Emp1300]")</f>
        <v>Emp1300</v>
      </c>
      <c r="K323" s="36" t="str" vm="397">
        <f>CUBEMEMBER("ThisWorkbookDataModel",{"[Indian_Employee_Data].[Employee ID].&amp;[Emp1300]","[Indian_Employee_Data].[Insurance tier].&amp;[Bronze]"})</f>
        <v>Bronze</v>
      </c>
      <c r="L323" s="37" vm="1574">
        <f>CUBEVALUE("ThisWorkbookDataModel",$K323,L$29,Slicer_Department)</f>
        <v>52619</v>
      </c>
      <c r="M323" s="37" vm="1573">
        <f>CUBEVALUE("ThisWorkbookDataModel",$K323,M$29,Slicer_Department)</f>
        <v>1500</v>
      </c>
      <c r="N323" s="37" vm="1573">
        <f t="shared" si="25"/>
        <v>1500</v>
      </c>
      <c r="O323" s="37" t="e">
        <f t="shared" si="26"/>
        <v>#N/A</v>
      </c>
      <c r="P323" s="37" t="e">
        <f t="shared" si="27"/>
        <v>#N/A</v>
      </c>
      <c r="Q323" s="37" vm="1574">
        <f t="shared" si="28"/>
        <v>52619</v>
      </c>
      <c r="R323" s="37" t="e">
        <f t="shared" si="29"/>
        <v>#N/A</v>
      </c>
      <c r="S323" s="37" t="e">
        <f t="shared" si="30"/>
        <v>#N/A</v>
      </c>
    </row>
    <row r="324" spans="10:19" x14ac:dyDescent="0.25">
      <c r="J324" s="36" t="str" vm="396">
        <f>CUBEMEMBER("ThisWorkbookDataModel","[Indian_Employee_Data].[Employee ID].&amp;[Emp1301]")</f>
        <v>Emp1301</v>
      </c>
      <c r="K324" s="36" t="str" vm="395">
        <f>CUBEMEMBER("ThisWorkbookDataModel",{"[Indian_Employee_Data].[Employee ID].&amp;[Emp1301]","[Indian_Employee_Data].[Insurance tier].&amp;[Silver]"})</f>
        <v>Silver</v>
      </c>
      <c r="L324" s="37" vm="1576">
        <f>CUBEVALUE("ThisWorkbookDataModel",$K324,L$29,Slicer_Department)</f>
        <v>115676</v>
      </c>
      <c r="M324" s="37" vm="1575">
        <f>CUBEVALUE("ThisWorkbookDataModel",$K324,M$29,Slicer_Department)</f>
        <v>2800</v>
      </c>
      <c r="N324" s="37" t="e">
        <f t="shared" si="25"/>
        <v>#N/A</v>
      </c>
      <c r="O324" s="37" vm="1575">
        <f t="shared" si="26"/>
        <v>2800</v>
      </c>
      <c r="P324" s="37" t="e">
        <f t="shared" si="27"/>
        <v>#N/A</v>
      </c>
      <c r="Q324" s="37" t="e">
        <f t="shared" si="28"/>
        <v>#N/A</v>
      </c>
      <c r="R324" s="37" vm="1576">
        <f t="shared" si="29"/>
        <v>115676</v>
      </c>
      <c r="S324" s="37" t="e">
        <f t="shared" si="30"/>
        <v>#N/A</v>
      </c>
    </row>
    <row r="325" spans="10:19" x14ac:dyDescent="0.25">
      <c r="J325" s="36" t="str" vm="394">
        <f>CUBEMEMBER("ThisWorkbookDataModel","[Indian_Employee_Data].[Employee ID].&amp;[Emp1302]")</f>
        <v>Emp1302</v>
      </c>
      <c r="K325" s="36" t="str" vm="393">
        <f>CUBEMEMBER("ThisWorkbookDataModel",{"[Indian_Employee_Data].[Employee ID].&amp;[Emp1302]","[Indian_Employee_Data].[Insurance tier].&amp;[Silver]"})</f>
        <v>Silver</v>
      </c>
      <c r="L325" s="37" vm="1578">
        <f>CUBEVALUE("ThisWorkbookDataModel",$K325,L$29,Slicer_Department)</f>
        <v>117012</v>
      </c>
      <c r="M325" s="37" vm="1577">
        <f>CUBEVALUE("ThisWorkbookDataModel",$K325,M$29,Slicer_Department)</f>
        <v>2800</v>
      </c>
      <c r="N325" s="37" t="e">
        <f t="shared" si="25"/>
        <v>#N/A</v>
      </c>
      <c r="O325" s="37" vm="1577">
        <f t="shared" si="26"/>
        <v>2800</v>
      </c>
      <c r="P325" s="37" t="e">
        <f t="shared" si="27"/>
        <v>#N/A</v>
      </c>
      <c r="Q325" s="37" t="e">
        <f t="shared" si="28"/>
        <v>#N/A</v>
      </c>
      <c r="R325" s="37" vm="1578">
        <f t="shared" si="29"/>
        <v>117012</v>
      </c>
      <c r="S325" s="37" t="e">
        <f t="shared" si="30"/>
        <v>#N/A</v>
      </c>
    </row>
    <row r="326" spans="10:19" x14ac:dyDescent="0.25">
      <c r="J326" s="36" t="str" vm="392">
        <f>CUBEMEMBER("ThisWorkbookDataModel","[Indian_Employee_Data].[Employee ID].&amp;[Emp1303]")</f>
        <v>Emp1303</v>
      </c>
      <c r="K326" s="36" t="str" vm="391">
        <f>CUBEMEMBER("ThisWorkbookDataModel",{"[Indian_Employee_Data].[Employee ID].&amp;[Emp1303]","[Indian_Employee_Data].[Insurance tier].&amp;[Gold]"})</f>
        <v>Gold</v>
      </c>
      <c r="L326" s="37" vm="1580">
        <f>CUBEVALUE("ThisWorkbookDataModel",$K326,L$29,Slicer_Department)</f>
        <v>131852</v>
      </c>
      <c r="M326" s="37" vm="1579">
        <f>CUBEVALUE("ThisWorkbookDataModel",$K326,M$29,Slicer_Department)</f>
        <v>6750</v>
      </c>
      <c r="N326" s="37" t="e">
        <f t="shared" si="25"/>
        <v>#N/A</v>
      </c>
      <c r="O326" s="37" t="e">
        <f t="shared" si="26"/>
        <v>#N/A</v>
      </c>
      <c r="P326" s="37" vm="1579">
        <f t="shared" si="27"/>
        <v>6750</v>
      </c>
      <c r="Q326" s="37" t="e">
        <f t="shared" si="28"/>
        <v>#N/A</v>
      </c>
      <c r="R326" s="37" t="e">
        <f t="shared" si="29"/>
        <v>#N/A</v>
      </c>
      <c r="S326" s="37" vm="1580">
        <f t="shared" si="30"/>
        <v>131852</v>
      </c>
    </row>
    <row r="327" spans="10:19" x14ac:dyDescent="0.25">
      <c r="J327" s="36" t="str" vm="390">
        <f>CUBEMEMBER("ThisWorkbookDataModel","[Indian_Employee_Data].[Employee ID].&amp;[Emp1304]")</f>
        <v>Emp1304</v>
      </c>
      <c r="K327" s="36" t="str" vm="389">
        <f>CUBEMEMBER("ThisWorkbookDataModel",{"[Indian_Employee_Data].[Employee ID].&amp;[Emp1304]","[Indian_Employee_Data].[Insurance tier].&amp;[Gold]"})</f>
        <v>Gold</v>
      </c>
      <c r="L327" s="37" vm="1582">
        <f>CUBEVALUE("ThisWorkbookDataModel",$K327,L$29,Slicer_Department)</f>
        <v>147308</v>
      </c>
      <c r="M327" s="37" vm="1581">
        <f>CUBEVALUE("ThisWorkbookDataModel",$K327,M$29,Slicer_Department)</f>
        <v>6750</v>
      </c>
      <c r="N327" s="37" t="e">
        <f t="shared" si="25"/>
        <v>#N/A</v>
      </c>
      <c r="O327" s="37" t="e">
        <f t="shared" si="26"/>
        <v>#N/A</v>
      </c>
      <c r="P327" s="37" vm="1581">
        <f t="shared" si="27"/>
        <v>6750</v>
      </c>
      <c r="Q327" s="37" t="e">
        <f t="shared" si="28"/>
        <v>#N/A</v>
      </c>
      <c r="R327" s="37" t="e">
        <f t="shared" si="29"/>
        <v>#N/A</v>
      </c>
      <c r="S327" s="37" vm="1582">
        <f t="shared" si="30"/>
        <v>147308</v>
      </c>
    </row>
    <row r="328" spans="10:19" x14ac:dyDescent="0.25">
      <c r="J328" s="36" t="str" vm="388">
        <f>CUBEMEMBER("ThisWorkbookDataModel","[Indian_Employee_Data].[Employee ID].&amp;[Emp1305]")</f>
        <v>Emp1305</v>
      </c>
      <c r="K328" s="36" t="str" vm="387">
        <f>CUBEMEMBER("ThisWorkbookDataModel",{"[Indian_Employee_Data].[Employee ID].&amp;[Emp1305]","[Indian_Employee_Data].[Insurance tier].&amp;[Gold]"})</f>
        <v>Gold</v>
      </c>
      <c r="L328" s="37" vm="1584">
        <f>CUBEVALUE("ThisWorkbookDataModel",$K328,L$29,Slicer_Department)</f>
        <v>219509</v>
      </c>
      <c r="M328" s="37" vm="1583">
        <f>CUBEVALUE("ThisWorkbookDataModel",$K328,M$29,Slicer_Department)</f>
        <v>9000</v>
      </c>
      <c r="N328" s="37" t="e">
        <f t="shared" si="25"/>
        <v>#N/A</v>
      </c>
      <c r="O328" s="37" t="e">
        <f t="shared" si="26"/>
        <v>#N/A</v>
      </c>
      <c r="P328" s="37" vm="1583">
        <f t="shared" si="27"/>
        <v>9000</v>
      </c>
      <c r="Q328" s="37" t="e">
        <f t="shared" si="28"/>
        <v>#N/A</v>
      </c>
      <c r="R328" s="37" t="e">
        <f t="shared" si="29"/>
        <v>#N/A</v>
      </c>
      <c r="S328" s="37" vm="1584">
        <f t="shared" si="30"/>
        <v>219509</v>
      </c>
    </row>
    <row r="329" spans="10:19" x14ac:dyDescent="0.25">
      <c r="J329" s="36" t="str" vm="386">
        <f>CUBEMEMBER("ThisWorkbookDataModel","[Indian_Employee_Data].[Employee ID].&amp;[Emp1306]")</f>
        <v>Emp1306</v>
      </c>
      <c r="K329" s="36" t="str" vm="385">
        <f>CUBEMEMBER("ThisWorkbookDataModel",{"[Indian_Employee_Data].[Employee ID].&amp;[Emp1306]","[Indian_Employee_Data].[Insurance tier].&amp;[Silver]"})</f>
        <v>Silver</v>
      </c>
      <c r="L329" s="37" vm="1586">
        <f>CUBEVALUE("ThisWorkbookDataModel",$K329,L$29,Slicer_Department)</f>
        <v>113535</v>
      </c>
      <c r="M329" s="37" vm="1585">
        <f>CUBEVALUE("ThisWorkbookDataModel",$K329,M$29,Slicer_Department)</f>
        <v>2800</v>
      </c>
      <c r="N329" s="37" t="e">
        <f t="shared" si="25"/>
        <v>#N/A</v>
      </c>
      <c r="O329" s="37" vm="1585">
        <f t="shared" si="26"/>
        <v>2800</v>
      </c>
      <c r="P329" s="37" t="e">
        <f t="shared" si="27"/>
        <v>#N/A</v>
      </c>
      <c r="Q329" s="37" t="e">
        <f t="shared" si="28"/>
        <v>#N/A</v>
      </c>
      <c r="R329" s="37" vm="1586">
        <f t="shared" si="29"/>
        <v>113535</v>
      </c>
      <c r="S329" s="37" t="e">
        <f t="shared" si="30"/>
        <v>#N/A</v>
      </c>
    </row>
    <row r="330" spans="10:19" x14ac:dyDescent="0.25">
      <c r="J330" s="36" t="str" vm="384">
        <f>CUBEMEMBER("ThisWorkbookDataModel","[Indian_Employee_Data].[Employee ID].&amp;[Emp1307]")</f>
        <v>Emp1307</v>
      </c>
      <c r="K330" s="36" t="str" vm="383">
        <f>CUBEMEMBER("ThisWorkbookDataModel",{"[Indian_Employee_Data].[Employee ID].&amp;[Emp1307]","[Indian_Employee_Data].[Insurance tier].&amp;[Silver]"})</f>
        <v>Silver</v>
      </c>
      <c r="L330" s="37" vm="1588">
        <f>CUBEVALUE("ThisWorkbookDataModel",$K330,L$29,Slicer_Department)</f>
        <v>88549</v>
      </c>
      <c r="M330" s="37" vm="1587">
        <f>CUBEVALUE("ThisWorkbookDataModel",$K330,M$29,Slicer_Department)</f>
        <v>2800</v>
      </c>
      <c r="N330" s="37" t="e">
        <f t="shared" si="25"/>
        <v>#N/A</v>
      </c>
      <c r="O330" s="37" vm="1587">
        <f t="shared" si="26"/>
        <v>2800</v>
      </c>
      <c r="P330" s="37" t="e">
        <f t="shared" si="27"/>
        <v>#N/A</v>
      </c>
      <c r="Q330" s="37" t="e">
        <f t="shared" si="28"/>
        <v>#N/A</v>
      </c>
      <c r="R330" s="37" vm="1588">
        <f t="shared" si="29"/>
        <v>88549</v>
      </c>
      <c r="S330" s="37" t="e">
        <f t="shared" si="30"/>
        <v>#N/A</v>
      </c>
    </row>
    <row r="331" spans="10:19" x14ac:dyDescent="0.25">
      <c r="J331" s="36" t="str" vm="382">
        <f>CUBEMEMBER("ThisWorkbookDataModel","[Indian_Employee_Data].[Employee ID].&amp;[Emp1308]")</f>
        <v>Emp1308</v>
      </c>
      <c r="K331" s="36" t="str" vm="381">
        <f>CUBEMEMBER("ThisWorkbookDataModel",{"[Indian_Employee_Data].[Employee ID].&amp;[Emp1308]","[Indian_Employee_Data].[Insurance tier].&amp;[Gold]"})</f>
        <v>Gold</v>
      </c>
      <c r="L331" s="37" vm="1590">
        <f>CUBEVALUE("ThisWorkbookDataModel",$K331,L$29,Slicer_Department)</f>
        <v>161200</v>
      </c>
      <c r="M331" s="37" vm="1589">
        <f>CUBEVALUE("ThisWorkbookDataModel",$K331,M$29,Slicer_Department)</f>
        <v>6750</v>
      </c>
      <c r="N331" s="37" t="e">
        <f t="shared" si="25"/>
        <v>#N/A</v>
      </c>
      <c r="O331" s="37" t="e">
        <f t="shared" si="26"/>
        <v>#N/A</v>
      </c>
      <c r="P331" s="37" vm="1589">
        <f t="shared" si="27"/>
        <v>6750</v>
      </c>
      <c r="Q331" s="37" t="e">
        <f t="shared" si="28"/>
        <v>#N/A</v>
      </c>
      <c r="R331" s="37" t="e">
        <f t="shared" si="29"/>
        <v>#N/A</v>
      </c>
      <c r="S331" s="37" vm="1590">
        <f t="shared" si="30"/>
        <v>161200</v>
      </c>
    </row>
    <row r="332" spans="10:19" x14ac:dyDescent="0.25">
      <c r="J332" s="36" t="str" vm="380">
        <f>CUBEMEMBER("ThisWorkbookDataModel","[Indian_Employee_Data].[Employee ID].&amp;[Emp1309]")</f>
        <v>Emp1309</v>
      </c>
      <c r="K332" s="36" t="str" vm="379">
        <f>CUBEMEMBER("ThisWorkbookDataModel",{"[Indian_Employee_Data].[Employee ID].&amp;[Emp1309]","[Indian_Employee_Data].[Insurance tier].&amp;[Silver]"})</f>
        <v>Silver</v>
      </c>
      <c r="L332" s="37" vm="1592">
        <f>CUBEVALUE("ThisWorkbookDataModel",$K332,L$29,Slicer_Department)</f>
        <v>82450</v>
      </c>
      <c r="M332" s="37" vm="1591">
        <f>CUBEVALUE("ThisWorkbookDataModel",$K332,M$29,Slicer_Department)</f>
        <v>2800</v>
      </c>
      <c r="N332" s="37" t="e">
        <f t="shared" si="25"/>
        <v>#N/A</v>
      </c>
      <c r="O332" s="37" vm="1591">
        <f t="shared" si="26"/>
        <v>2800</v>
      </c>
      <c r="P332" s="37" t="e">
        <f t="shared" si="27"/>
        <v>#N/A</v>
      </c>
      <c r="Q332" s="37" t="e">
        <f t="shared" si="28"/>
        <v>#N/A</v>
      </c>
      <c r="R332" s="37" vm="1592">
        <f t="shared" si="29"/>
        <v>82450</v>
      </c>
      <c r="S332" s="37" t="e">
        <f t="shared" si="30"/>
        <v>#N/A</v>
      </c>
    </row>
    <row r="333" spans="10:19" x14ac:dyDescent="0.25">
      <c r="J333" s="36" t="str" vm="378">
        <f>CUBEMEMBER("ThisWorkbookDataModel","[Indian_Employee_Data].[Employee ID].&amp;[Emp1310]")</f>
        <v>Emp1310</v>
      </c>
      <c r="K333" s="36" t="str" vm="377">
        <f>CUBEMEMBER("ThisWorkbookDataModel",{"[Indian_Employee_Data].[Employee ID].&amp;[Emp1310]","[Indian_Employee_Data].[Insurance tier].&amp;[Silver]"})</f>
        <v>Silver</v>
      </c>
      <c r="L333" s="37" vm="1594">
        <f>CUBEVALUE("ThisWorkbookDataModel",$K333,L$29,Slicer_Department)</f>
        <v>103031</v>
      </c>
      <c r="M333" s="37" vm="1593">
        <f>CUBEVALUE("ThisWorkbookDataModel",$K333,M$29,Slicer_Department)</f>
        <v>4200</v>
      </c>
      <c r="N333" s="37" t="e">
        <f t="shared" si="25"/>
        <v>#N/A</v>
      </c>
      <c r="O333" s="37" vm="1593">
        <f t="shared" si="26"/>
        <v>4200</v>
      </c>
      <c r="P333" s="37" t="e">
        <f t="shared" si="27"/>
        <v>#N/A</v>
      </c>
      <c r="Q333" s="37" t="e">
        <f t="shared" si="28"/>
        <v>#N/A</v>
      </c>
      <c r="R333" s="37" vm="1594">
        <f t="shared" si="29"/>
        <v>103031</v>
      </c>
      <c r="S333" s="37" t="e">
        <f t="shared" si="30"/>
        <v>#N/A</v>
      </c>
    </row>
    <row r="334" spans="10:19" x14ac:dyDescent="0.25">
      <c r="J334" s="36" t="str" vm="376">
        <f>CUBEMEMBER("ThisWorkbookDataModel","[Indian_Employee_Data].[Employee ID].&amp;[Emp1311]")</f>
        <v>Emp1311</v>
      </c>
      <c r="K334" s="36" t="str" vm="375">
        <f>CUBEMEMBER("ThisWorkbookDataModel",{"[Indian_Employee_Data].[Employee ID].&amp;[Emp1311]","[Indian_Employee_Data].[Insurance tier].&amp;[Bronze]"})</f>
        <v>Bronze</v>
      </c>
      <c r="L334" s="37" vm="1596">
        <f>CUBEVALUE("ThisWorkbookDataModel",$K334,L$29,Slicer_Department)</f>
        <v>57869</v>
      </c>
      <c r="M334" s="37" vm="1595">
        <f>CUBEVALUE("ThisWorkbookDataModel",$K334,M$29,Slicer_Department)</f>
        <v>1500</v>
      </c>
      <c r="N334" s="37" vm="1595">
        <f t="shared" si="25"/>
        <v>1500</v>
      </c>
      <c r="O334" s="37" t="e">
        <f t="shared" si="26"/>
        <v>#N/A</v>
      </c>
      <c r="P334" s="37" t="e">
        <f t="shared" si="27"/>
        <v>#N/A</v>
      </c>
      <c r="Q334" s="37" vm="1596">
        <f t="shared" si="28"/>
        <v>57869</v>
      </c>
      <c r="R334" s="37" t="e">
        <f t="shared" si="29"/>
        <v>#N/A</v>
      </c>
      <c r="S334" s="37" t="e">
        <f t="shared" si="30"/>
        <v>#N/A</v>
      </c>
    </row>
    <row r="335" spans="10:19" x14ac:dyDescent="0.25">
      <c r="J335" s="36" t="str" vm="374">
        <f>CUBEMEMBER("ThisWorkbookDataModel","[Indian_Employee_Data].[Employee ID].&amp;[Emp1312]")</f>
        <v>Emp1312</v>
      </c>
      <c r="K335" s="36" t="str" vm="373">
        <f>CUBEMEMBER("ThisWorkbookDataModel",{"[Indian_Employee_Data].[Employee ID].&amp;[Emp1312]","[Indian_Employee_Data].[Insurance tier].&amp;[Bronze]"})</f>
        <v>Bronze</v>
      </c>
      <c r="L335" s="37" vm="1598">
        <f>CUBEVALUE("ThisWorkbookDataModel",$K335,L$29,Slicer_Department)</f>
        <v>45842</v>
      </c>
      <c r="M335" s="37" vm="1597">
        <f>CUBEVALUE("ThisWorkbookDataModel",$K335,M$29,Slicer_Department)</f>
        <v>1500</v>
      </c>
      <c r="N335" s="37" vm="1597">
        <f t="shared" si="25"/>
        <v>1500</v>
      </c>
      <c r="O335" s="37" t="e">
        <f t="shared" si="26"/>
        <v>#N/A</v>
      </c>
      <c r="P335" s="37" t="e">
        <f t="shared" si="27"/>
        <v>#N/A</v>
      </c>
      <c r="Q335" s="37" vm="1598">
        <f t="shared" si="28"/>
        <v>45842</v>
      </c>
      <c r="R335" s="37" t="e">
        <f t="shared" si="29"/>
        <v>#N/A</v>
      </c>
      <c r="S335" s="37" t="e">
        <f t="shared" si="30"/>
        <v>#N/A</v>
      </c>
    </row>
    <row r="336" spans="10:19" x14ac:dyDescent="0.25">
      <c r="J336" s="36" t="str" vm="372">
        <f>CUBEMEMBER("ThisWorkbookDataModel","[Indian_Employee_Data].[Employee ID].&amp;[Emp1313]")</f>
        <v>Emp1313</v>
      </c>
      <c r="K336" s="36" t="str" vm="371">
        <f>CUBEMEMBER("ThisWorkbookDataModel",{"[Indian_Employee_Data].[Employee ID].&amp;[Emp1313]","[Indian_Employee_Data].[Insurance tier].&amp;[Gold]"})</f>
        <v>Gold</v>
      </c>
      <c r="L336" s="37" vm="1600">
        <f>CUBEVALUE("ThisWorkbookDataModel",$K336,L$29,Slicer_Department)</f>
        <v>212078</v>
      </c>
      <c r="M336" s="37" vm="1599">
        <f>CUBEVALUE("ThisWorkbookDataModel",$K336,M$29,Slicer_Department)</f>
        <v>6750</v>
      </c>
      <c r="N336" s="37" t="e">
        <f t="shared" si="25"/>
        <v>#N/A</v>
      </c>
      <c r="O336" s="37" t="e">
        <f t="shared" si="26"/>
        <v>#N/A</v>
      </c>
      <c r="P336" s="37" vm="1599">
        <f t="shared" si="27"/>
        <v>6750</v>
      </c>
      <c r="Q336" s="37" t="e">
        <f t="shared" si="28"/>
        <v>#N/A</v>
      </c>
      <c r="R336" s="37" t="e">
        <f t="shared" si="29"/>
        <v>#N/A</v>
      </c>
      <c r="S336" s="37" vm="1600">
        <f t="shared" si="30"/>
        <v>212078</v>
      </c>
    </row>
    <row r="337" spans="10:19" x14ac:dyDescent="0.25">
      <c r="J337" s="36" t="str" vm="370">
        <f>CUBEMEMBER("ThisWorkbookDataModel","[Indian_Employee_Data].[Employee ID].&amp;[Emp1314]")</f>
        <v>Emp1314</v>
      </c>
      <c r="K337" s="36" t="str" vm="369">
        <f>CUBEMEMBER("ThisWorkbookDataModel",{"[Indian_Employee_Data].[Employee ID].&amp;[Emp1314]","[Indian_Employee_Data].[Insurance tier].&amp;[Gold]"})</f>
        <v>Gold</v>
      </c>
      <c r="L337" s="37" vm="1602">
        <f>CUBEVALUE("ThisWorkbookDataModel",$K337,L$29,Slicer_Department)</f>
        <v>170534</v>
      </c>
      <c r="M337" s="37" vm="1601">
        <f>CUBEVALUE("ThisWorkbookDataModel",$K337,M$29,Slicer_Department)</f>
        <v>6750</v>
      </c>
      <c r="N337" s="37" t="e">
        <f t="shared" si="25"/>
        <v>#N/A</v>
      </c>
      <c r="O337" s="37" t="e">
        <f t="shared" si="26"/>
        <v>#N/A</v>
      </c>
      <c r="P337" s="37" vm="1601">
        <f t="shared" si="27"/>
        <v>6750</v>
      </c>
      <c r="Q337" s="37" t="e">
        <f t="shared" si="28"/>
        <v>#N/A</v>
      </c>
      <c r="R337" s="37" t="e">
        <f t="shared" si="29"/>
        <v>#N/A</v>
      </c>
      <c r="S337" s="37" vm="1602">
        <f t="shared" si="30"/>
        <v>170534</v>
      </c>
    </row>
    <row r="338" spans="10:19" x14ac:dyDescent="0.25">
      <c r="J338" s="36" t="str" vm="368">
        <f>CUBEMEMBER("ThisWorkbookDataModel","[Indian_Employee_Data].[Employee ID].&amp;[Emp1315]")</f>
        <v>Emp1315</v>
      </c>
      <c r="K338" s="36" t="str" vm="367">
        <f>CUBEMEMBER("ThisWorkbookDataModel",{"[Indian_Employee_Data].[Employee ID].&amp;[Emp1315]","[Indian_Employee_Data].[Insurance tier].&amp;[Gold]"})</f>
        <v>Gold</v>
      </c>
      <c r="L338" s="37" vm="1604">
        <f>CUBEVALUE("ThisWorkbookDataModel",$K338,L$29,Slicer_Department)</f>
        <v>141810</v>
      </c>
      <c r="M338" s="37" vm="1603">
        <f>CUBEVALUE("ThisWorkbookDataModel",$K338,M$29,Slicer_Department)</f>
        <v>9000</v>
      </c>
      <c r="N338" s="37" t="e">
        <f t="shared" si="25"/>
        <v>#N/A</v>
      </c>
      <c r="O338" s="37" t="e">
        <f t="shared" si="26"/>
        <v>#N/A</v>
      </c>
      <c r="P338" s="37" vm="1603">
        <f t="shared" si="27"/>
        <v>9000</v>
      </c>
      <c r="Q338" s="37" t="e">
        <f t="shared" si="28"/>
        <v>#N/A</v>
      </c>
      <c r="R338" s="37" t="e">
        <f t="shared" si="29"/>
        <v>#N/A</v>
      </c>
      <c r="S338" s="37" vm="1604">
        <f t="shared" si="30"/>
        <v>141810</v>
      </c>
    </row>
    <row r="339" spans="10:19" x14ac:dyDescent="0.25">
      <c r="J339" s="36" t="str" vm="366">
        <f>CUBEMEMBER("ThisWorkbookDataModel","[Indian_Employee_Data].[Employee ID].&amp;[Emp1316]")</f>
        <v>Emp1316</v>
      </c>
      <c r="K339" s="36" t="str" vm="365">
        <f>CUBEMEMBER("ThisWorkbookDataModel",{"[Indian_Employee_Data].[Employee ID].&amp;[Emp1316]","[Indian_Employee_Data].[Insurance tier].&amp;[Silver]"})</f>
        <v>Silver</v>
      </c>
      <c r="L339" s="37" vm="1606">
        <f>CUBEVALUE("ThisWorkbookDataModel",$K339,L$29,Slicer_Department)</f>
        <v>99151</v>
      </c>
      <c r="M339" s="37" vm="1605">
        <f>CUBEVALUE("ThisWorkbookDataModel",$K339,M$29,Slicer_Department)</f>
        <v>2800</v>
      </c>
      <c r="N339" s="37" t="e">
        <f t="shared" si="25"/>
        <v>#N/A</v>
      </c>
      <c r="O339" s="37" vm="1605">
        <f t="shared" si="26"/>
        <v>2800</v>
      </c>
      <c r="P339" s="37" t="e">
        <f t="shared" si="27"/>
        <v>#N/A</v>
      </c>
      <c r="Q339" s="37" t="e">
        <f t="shared" si="28"/>
        <v>#N/A</v>
      </c>
      <c r="R339" s="37" vm="1606">
        <f t="shared" si="29"/>
        <v>99151</v>
      </c>
      <c r="S339" s="37" t="e">
        <f t="shared" si="30"/>
        <v>#N/A</v>
      </c>
    </row>
    <row r="340" spans="10:19" x14ac:dyDescent="0.25">
      <c r="J340" s="36" t="str" vm="364">
        <f>CUBEMEMBER("ThisWorkbookDataModel","[Indian_Employee_Data].[Employee ID].&amp;[Emp1317]")</f>
        <v>Emp1317</v>
      </c>
      <c r="K340" s="36" t="str" vm="363">
        <f>CUBEMEMBER("ThisWorkbookDataModel",{"[Indian_Employee_Data].[Employee ID].&amp;[Emp1317]","[Indian_Employee_Data].[Insurance tier].&amp;[Silver]"})</f>
        <v>Silver</v>
      </c>
      <c r="L340" s="37" vm="1608">
        <f>CUBEVALUE("ThisWorkbookDataModel",$K340,L$29,Slicer_Department)</f>
        <v>71419</v>
      </c>
      <c r="M340" s="37" vm="1607">
        <f>CUBEVALUE("ThisWorkbookDataModel",$K340,M$29,Slicer_Department)</f>
        <v>4200</v>
      </c>
      <c r="N340" s="37" t="e">
        <f t="shared" si="25"/>
        <v>#N/A</v>
      </c>
      <c r="O340" s="37" vm="1607">
        <f t="shared" si="26"/>
        <v>4200</v>
      </c>
      <c r="P340" s="37" t="e">
        <f t="shared" si="27"/>
        <v>#N/A</v>
      </c>
      <c r="Q340" s="37" t="e">
        <f t="shared" si="28"/>
        <v>#N/A</v>
      </c>
      <c r="R340" s="37" vm="1608">
        <f t="shared" si="29"/>
        <v>71419</v>
      </c>
      <c r="S340" s="37" t="e">
        <f t="shared" si="30"/>
        <v>#N/A</v>
      </c>
    </row>
    <row r="341" spans="10:19" x14ac:dyDescent="0.25">
      <c r="J341" s="36" t="str" vm="362">
        <f>CUBEMEMBER("ThisWorkbookDataModel","[Indian_Employee_Data].[Employee ID].&amp;[Emp1318]")</f>
        <v>Emp1318</v>
      </c>
      <c r="K341" s="36" t="str" vm="361">
        <f>CUBEMEMBER("ThisWorkbookDataModel",{"[Indian_Employee_Data].[Employee ID].&amp;[Emp1318]","[Indian_Employee_Data].[Insurance tier].&amp;[Silver]"})</f>
        <v>Silver</v>
      </c>
      <c r="L341" s="37" vm="1610">
        <f>CUBEVALUE("ThisWorkbookDataModel",$K341,L$29,Slicer_Department)</f>
        <v>69353</v>
      </c>
      <c r="M341" s="37" vm="1609">
        <f>CUBEVALUE("ThisWorkbookDataModel",$K341,M$29,Slicer_Department)</f>
        <v>4200</v>
      </c>
      <c r="N341" s="37" t="e">
        <f t="shared" si="25"/>
        <v>#N/A</v>
      </c>
      <c r="O341" s="37" vm="1609">
        <f t="shared" si="26"/>
        <v>4200</v>
      </c>
      <c r="P341" s="37" t="e">
        <f t="shared" si="27"/>
        <v>#N/A</v>
      </c>
      <c r="Q341" s="37" t="e">
        <f t="shared" si="28"/>
        <v>#N/A</v>
      </c>
      <c r="R341" s="37" vm="1610">
        <f t="shared" si="29"/>
        <v>69353</v>
      </c>
      <c r="S341" s="37" t="e">
        <f t="shared" si="30"/>
        <v>#N/A</v>
      </c>
    </row>
    <row r="342" spans="10:19" x14ac:dyDescent="0.25">
      <c r="J342" s="36" t="str" vm="360">
        <f>CUBEMEMBER("ThisWorkbookDataModel","[Indian_Employee_Data].[Employee ID].&amp;[Emp1319]")</f>
        <v>Emp1319</v>
      </c>
      <c r="K342" s="36" t="str" vm="359">
        <f>CUBEMEMBER("ThisWorkbookDataModel",{"[Indian_Employee_Data].[Employee ID].&amp;[Emp1319]","[Indian_Employee_Data].[Insurance tier].&amp;[Silver]"})</f>
        <v>Silver</v>
      </c>
      <c r="L342" s="37" vm="1612">
        <f>CUBEVALUE("ThisWorkbookDataModel",$K342,L$29,Slicer_Department)</f>
        <v>80101</v>
      </c>
      <c r="M342" s="37" vm="1611">
        <f>CUBEVALUE("ThisWorkbookDataModel",$K342,M$29,Slicer_Department)</f>
        <v>2800</v>
      </c>
      <c r="N342" s="37" t="e">
        <f t="shared" si="25"/>
        <v>#N/A</v>
      </c>
      <c r="O342" s="37" vm="1611">
        <f t="shared" si="26"/>
        <v>2800</v>
      </c>
      <c r="P342" s="37" t="e">
        <f t="shared" si="27"/>
        <v>#N/A</v>
      </c>
      <c r="Q342" s="37" t="e">
        <f t="shared" si="28"/>
        <v>#N/A</v>
      </c>
      <c r="R342" s="37" vm="1612">
        <f t="shared" si="29"/>
        <v>80101</v>
      </c>
      <c r="S342" s="37" t="e">
        <f t="shared" si="30"/>
        <v>#N/A</v>
      </c>
    </row>
    <row r="343" spans="10:19" x14ac:dyDescent="0.25">
      <c r="J343" s="36" t="str" vm="358">
        <f>CUBEMEMBER("ThisWorkbookDataModel","[Indian_Employee_Data].[Employee ID].&amp;[Emp1320]")</f>
        <v>Emp1320</v>
      </c>
      <c r="K343" s="36" t="str" vm="357">
        <f>CUBEMEMBER("ThisWorkbookDataModel",{"[Indian_Employee_Data].[Employee ID].&amp;[Emp1320]","[Indian_Employee_Data].[Insurance tier].&amp;[Silver]"})</f>
        <v>Silver</v>
      </c>
      <c r="L343" s="37" vm="1614">
        <f>CUBEVALUE("ThisWorkbookDataModel",$K343,L$29,Slicer_Department)</f>
        <v>118262</v>
      </c>
      <c r="M343" s="37" vm="1613">
        <f>CUBEVALUE("ThisWorkbookDataModel",$K343,M$29,Slicer_Department)</f>
        <v>2800</v>
      </c>
      <c r="N343" s="37" t="e">
        <f t="shared" si="25"/>
        <v>#N/A</v>
      </c>
      <c r="O343" s="37" vm="1613">
        <f t="shared" si="26"/>
        <v>2800</v>
      </c>
      <c r="P343" s="37" t="e">
        <f t="shared" si="27"/>
        <v>#N/A</v>
      </c>
      <c r="Q343" s="37" t="e">
        <f t="shared" si="28"/>
        <v>#N/A</v>
      </c>
      <c r="R343" s="37" vm="1614">
        <f t="shared" si="29"/>
        <v>118262</v>
      </c>
      <c r="S343" s="37" t="e">
        <f t="shared" si="30"/>
        <v>#N/A</v>
      </c>
    </row>
    <row r="344" spans="10:19" x14ac:dyDescent="0.25">
      <c r="J344" s="36" t="str" vm="356">
        <f>CUBEMEMBER("ThisWorkbookDataModel","[Indian_Employee_Data].[Employee ID].&amp;[Emp1321]")</f>
        <v>Emp1321</v>
      </c>
      <c r="K344" s="36" t="str" vm="355">
        <f>CUBEMEMBER("ThisWorkbookDataModel",{"[Indian_Employee_Data].[Employee ID].&amp;[Emp1321]","[Indian_Employee_Data].[Insurance tier].&amp;[Gold]"})</f>
        <v>Gold</v>
      </c>
      <c r="L344" s="37" vm="1616">
        <f>CUBEVALUE("ThisWorkbookDataModel",$K344,L$29,Slicer_Department)</f>
        <v>145176</v>
      </c>
      <c r="M344" s="37" vm="1615">
        <f>CUBEVALUE("ThisWorkbookDataModel",$K344,M$29,Slicer_Department)</f>
        <v>6750</v>
      </c>
      <c r="N344" s="37" t="e">
        <f t="shared" si="25"/>
        <v>#N/A</v>
      </c>
      <c r="O344" s="37" t="e">
        <f t="shared" si="26"/>
        <v>#N/A</v>
      </c>
      <c r="P344" s="37" vm="1615">
        <f t="shared" si="27"/>
        <v>6750</v>
      </c>
      <c r="Q344" s="37" t="e">
        <f t="shared" si="28"/>
        <v>#N/A</v>
      </c>
      <c r="R344" s="37" t="e">
        <f t="shared" si="29"/>
        <v>#N/A</v>
      </c>
      <c r="S344" s="37" vm="1616">
        <f t="shared" si="30"/>
        <v>145176</v>
      </c>
    </row>
    <row r="345" spans="10:19" x14ac:dyDescent="0.25">
      <c r="J345" s="36" t="str" vm="354">
        <f>CUBEMEMBER("ThisWorkbookDataModel","[Indian_Employee_Data].[Employee ID].&amp;[Emp1322]")</f>
        <v>Emp1322</v>
      </c>
      <c r="K345" s="36" t="str" vm="353">
        <f>CUBEMEMBER("ThisWorkbookDataModel",{"[Indian_Employee_Data].[Employee ID].&amp;[Emp1322]","[Indian_Employee_Data].[Insurance tier].&amp;[Gold]"})</f>
        <v>Gold</v>
      </c>
      <c r="L345" s="37" vm="1618">
        <f>CUBEVALUE("ThisWorkbookDataModel",$K345,L$29,Slicer_Department)</f>
        <v>135621</v>
      </c>
      <c r="M345" s="37" vm="1617">
        <f>CUBEVALUE("ThisWorkbookDataModel",$K345,M$29,Slicer_Department)</f>
        <v>9000</v>
      </c>
      <c r="N345" s="37" t="e">
        <f t="shared" si="25"/>
        <v>#N/A</v>
      </c>
      <c r="O345" s="37" t="e">
        <f t="shared" si="26"/>
        <v>#N/A</v>
      </c>
      <c r="P345" s="37" vm="1617">
        <f t="shared" si="27"/>
        <v>9000</v>
      </c>
      <c r="Q345" s="37" t="e">
        <f t="shared" si="28"/>
        <v>#N/A</v>
      </c>
      <c r="R345" s="37" t="e">
        <f t="shared" si="29"/>
        <v>#N/A</v>
      </c>
      <c r="S345" s="37" vm="1618">
        <f t="shared" si="30"/>
        <v>135621</v>
      </c>
    </row>
    <row r="346" spans="10:19" x14ac:dyDescent="0.25">
      <c r="J346" s="36" t="str" vm="352">
        <f>CUBEMEMBER("ThisWorkbookDataModel","[Indian_Employee_Data].[Employee ID].&amp;[Emp1323]")</f>
        <v>Emp1323</v>
      </c>
      <c r="K346" s="36" t="str" vm="351">
        <f>CUBEMEMBER("ThisWorkbookDataModel",{"[Indian_Employee_Data].[Employee ID].&amp;[Emp1323]","[Indian_Employee_Data].[Insurance tier].&amp;[Silver]"})</f>
        <v>Silver</v>
      </c>
      <c r="L346" s="37" vm="1620">
        <f>CUBEVALUE("ThisWorkbookDataModel",$K346,L$29,Slicer_Department)</f>
        <v>83499</v>
      </c>
      <c r="M346" s="37" vm="1619">
        <f>CUBEVALUE("ThisWorkbookDataModel",$K346,M$29,Slicer_Department)</f>
        <v>2800</v>
      </c>
      <c r="N346" s="37" t="e">
        <f t="shared" si="25"/>
        <v>#N/A</v>
      </c>
      <c r="O346" s="37" vm="1619">
        <f t="shared" si="26"/>
        <v>2800</v>
      </c>
      <c r="P346" s="37" t="e">
        <f t="shared" si="27"/>
        <v>#N/A</v>
      </c>
      <c r="Q346" s="37" t="e">
        <f t="shared" si="28"/>
        <v>#N/A</v>
      </c>
      <c r="R346" s="37" vm="1620">
        <f t="shared" si="29"/>
        <v>83499</v>
      </c>
      <c r="S346" s="37" t="e">
        <f t="shared" si="30"/>
        <v>#N/A</v>
      </c>
    </row>
    <row r="347" spans="10:19" x14ac:dyDescent="0.25">
      <c r="J347" s="36" t="str" vm="350">
        <f>CUBEMEMBER("ThisWorkbookDataModel","[Indian_Employee_Data].[Employee ID].&amp;[Emp1324]")</f>
        <v>Emp1324</v>
      </c>
      <c r="K347" s="36" t="str" vm="349">
        <f>CUBEMEMBER("ThisWorkbookDataModel",{"[Indian_Employee_Data].[Employee ID].&amp;[Emp1324]","[Indian_Employee_Data].[Insurance tier].&amp;[Gold]"})</f>
        <v>Gold</v>
      </c>
      <c r="L347" s="37" vm="1622">
        <f>CUBEVALUE("ThisWorkbookDataModel",$K347,L$29,Slicer_Department)</f>
        <v>208314</v>
      </c>
      <c r="M347" s="37" vm="1621">
        <f>CUBEVALUE("ThisWorkbookDataModel",$K347,M$29,Slicer_Department)</f>
        <v>9000</v>
      </c>
      <c r="N347" s="37" t="e">
        <f t="shared" si="25"/>
        <v>#N/A</v>
      </c>
      <c r="O347" s="37" t="e">
        <f t="shared" si="26"/>
        <v>#N/A</v>
      </c>
      <c r="P347" s="37" vm="1621">
        <f t="shared" si="27"/>
        <v>9000</v>
      </c>
      <c r="Q347" s="37" t="e">
        <f t="shared" si="28"/>
        <v>#N/A</v>
      </c>
      <c r="R347" s="37" t="e">
        <f t="shared" si="29"/>
        <v>#N/A</v>
      </c>
      <c r="S347" s="37" vm="1622">
        <f t="shared" si="30"/>
        <v>208314</v>
      </c>
    </row>
    <row r="348" spans="10:19" x14ac:dyDescent="0.25">
      <c r="J348" s="36" t="str" vm="348">
        <f>CUBEMEMBER("ThisWorkbookDataModel","[Indian_Employee_Data].[Employee ID].&amp;[Emp1325]")</f>
        <v>Emp1325</v>
      </c>
      <c r="K348" s="36" t="str" vm="347">
        <f>CUBEMEMBER("ThisWorkbookDataModel",{"[Indian_Employee_Data].[Employee ID].&amp;[Emp1325]","[Indian_Employee_Data].[Insurance tier].&amp;[Gold]"})</f>
        <v>Gold</v>
      </c>
      <c r="L348" s="37" vm="1624">
        <f>CUBEVALUE("ThisWorkbookDataModel",$K348,L$29,Slicer_Department)</f>
        <v>149546</v>
      </c>
      <c r="M348" s="37" vm="1623">
        <f>CUBEVALUE("ThisWorkbookDataModel",$K348,M$29,Slicer_Department)</f>
        <v>9000</v>
      </c>
      <c r="N348" s="37" t="e">
        <f t="shared" si="25"/>
        <v>#N/A</v>
      </c>
      <c r="O348" s="37" t="e">
        <f t="shared" si="26"/>
        <v>#N/A</v>
      </c>
      <c r="P348" s="37" vm="1623">
        <f t="shared" si="27"/>
        <v>9000</v>
      </c>
      <c r="Q348" s="37" t="e">
        <f t="shared" si="28"/>
        <v>#N/A</v>
      </c>
      <c r="R348" s="37" t="e">
        <f t="shared" si="29"/>
        <v>#N/A</v>
      </c>
      <c r="S348" s="37" vm="1624">
        <f t="shared" si="30"/>
        <v>149546</v>
      </c>
    </row>
    <row r="349" spans="10:19" x14ac:dyDescent="0.25">
      <c r="J349" s="36" t="str" vm="346">
        <f>CUBEMEMBER("ThisWorkbookDataModel","[Indian_Employee_Data].[Employee ID].&amp;[Emp1326]")</f>
        <v>Emp1326</v>
      </c>
      <c r="K349" s="36" t="str" vm="345">
        <f>CUBEMEMBER("ThisWorkbookDataModel",{"[Indian_Employee_Data].[Employee ID].&amp;[Emp1326]","[Indian_Employee_Data].[Insurance tier].&amp;[Silver]"})</f>
        <v>Silver</v>
      </c>
      <c r="L349" s="37" vm="1626">
        <f>CUBEVALUE("ThisWorkbookDataModel",$K349,L$29,Slicer_Department)</f>
        <v>119013</v>
      </c>
      <c r="M349" s="37" vm="1625">
        <f>CUBEVALUE("ThisWorkbookDataModel",$K349,M$29,Slicer_Department)</f>
        <v>4200</v>
      </c>
      <c r="N349" s="37" t="e">
        <f t="shared" si="25"/>
        <v>#N/A</v>
      </c>
      <c r="O349" s="37" vm="1625">
        <f t="shared" si="26"/>
        <v>4200</v>
      </c>
      <c r="P349" s="37" t="e">
        <f t="shared" si="27"/>
        <v>#N/A</v>
      </c>
      <c r="Q349" s="37" t="e">
        <f t="shared" si="28"/>
        <v>#N/A</v>
      </c>
      <c r="R349" s="37" vm="1626">
        <f t="shared" si="29"/>
        <v>119013</v>
      </c>
      <c r="S349" s="37" t="e">
        <f t="shared" si="30"/>
        <v>#N/A</v>
      </c>
    </row>
    <row r="350" spans="10:19" x14ac:dyDescent="0.25">
      <c r="J350" s="36" t="str" vm="344">
        <f>CUBEMEMBER("ThisWorkbookDataModel","[Indian_Employee_Data].[Employee ID].&amp;[Emp1327]")</f>
        <v>Emp1327</v>
      </c>
      <c r="K350" s="36" t="str" vm="343">
        <f>CUBEMEMBER("ThisWorkbookDataModel",{"[Indian_Employee_Data].[Employee ID].&amp;[Emp1327]","[Indian_Employee_Data].[Insurance tier].&amp;[Bronze]"})</f>
        <v>Bronze</v>
      </c>
      <c r="L350" s="37" vm="1628">
        <f>CUBEVALUE("ThisWorkbookDataModel",$K350,L$29,Slicer_Department)</f>
        <v>127734</v>
      </c>
      <c r="M350" s="37" vm="1627">
        <f>CUBEVALUE("ThisWorkbookDataModel",$K350,M$29,Slicer_Department)</f>
        <v>9500</v>
      </c>
      <c r="N350" s="37" vm="1627">
        <f t="shared" ref="N350:N413" si="31">IF(AND($K350="Bronze",ISNUMBER($L350),ISNUMBER($M350)),$M350,NA())</f>
        <v>9500</v>
      </c>
      <c r="O350" s="37" t="e">
        <f t="shared" ref="O350:O413" si="32">IF(AND($K350="Silver",ISNUMBER($L350),ISNUMBER($M350)),$M350,NA())</f>
        <v>#N/A</v>
      </c>
      <c r="P350" s="37" t="e">
        <f t="shared" ref="P350:P413" si="33">IF(AND($K350="Gold",ISNUMBER($L350),ISNUMBER($M350)),$M350,NA())</f>
        <v>#N/A</v>
      </c>
      <c r="Q350" s="37" vm="1628">
        <f t="shared" ref="Q350:Q413" si="34">IF(AND($K350="Bronze",ISNUMBER($L350),ISNUMBER($N350)),$L350,NA())</f>
        <v>127734</v>
      </c>
      <c r="R350" s="37" t="e">
        <f t="shared" ref="R350:R413" si="35">IF(AND($K350="Silver",ISNUMBER($L350),ISNUMBER($O350)),$L350,NA())</f>
        <v>#N/A</v>
      </c>
      <c r="S350" s="37" t="e">
        <f t="shared" ref="S350:S413" si="36">IF(AND($K350="Gold",ISNUMBER($L350),ISNUMBER($P350)),$L350,NA())</f>
        <v>#N/A</v>
      </c>
    </row>
    <row r="351" spans="10:19" x14ac:dyDescent="0.25">
      <c r="J351" s="36" t="str" vm="342">
        <f>CUBEMEMBER("ThisWorkbookDataModel","[Indian_Employee_Data].[Employee ID].&amp;[Emp1328]")</f>
        <v>Emp1328</v>
      </c>
      <c r="K351" s="36" t="str" vm="341">
        <f>CUBEMEMBER("ThisWorkbookDataModel",{"[Indian_Employee_Data].[Employee ID].&amp;[Emp1328]","[Indian_Employee_Data].[Insurance tier].&amp;[Silver]"})</f>
        <v>Silver</v>
      </c>
      <c r="L351" s="37" vm="1630">
        <f>CUBEVALUE("ThisWorkbookDataModel",$K351,L$29,Slicer_Department)</f>
        <v>100516</v>
      </c>
      <c r="M351" s="37" vm="1629">
        <f>CUBEVALUE("ThisWorkbookDataModel",$K351,M$29,Slicer_Department)</f>
        <v>2800</v>
      </c>
      <c r="N351" s="37" t="e">
        <f t="shared" si="31"/>
        <v>#N/A</v>
      </c>
      <c r="O351" s="37" vm="1629">
        <f t="shared" si="32"/>
        <v>2800</v>
      </c>
      <c r="P351" s="37" t="e">
        <f t="shared" si="33"/>
        <v>#N/A</v>
      </c>
      <c r="Q351" s="37" t="e">
        <f t="shared" si="34"/>
        <v>#N/A</v>
      </c>
      <c r="R351" s="37" vm="1630">
        <f t="shared" si="35"/>
        <v>100516</v>
      </c>
      <c r="S351" s="37" t="e">
        <f t="shared" si="36"/>
        <v>#N/A</v>
      </c>
    </row>
    <row r="352" spans="10:19" x14ac:dyDescent="0.25">
      <c r="J352" s="36" t="str" vm="340">
        <f>CUBEMEMBER("ThisWorkbookDataModel","[Indian_Employee_Data].[Employee ID].&amp;[Emp1329]")</f>
        <v>Emp1329</v>
      </c>
      <c r="K352" s="36" t="str" vm="339">
        <f>CUBEMEMBER("ThisWorkbookDataModel",{"[Indian_Employee_Data].[Employee ID].&amp;[Emp1329]","[Indian_Employee_Data].[Insurance tier].&amp;[Silver]"})</f>
        <v>Silver</v>
      </c>
      <c r="L352" s="37" vm="1632">
        <f>CUBEVALUE("ThisWorkbookDataModel",$K352,L$29,Slicer_Department)</f>
        <v>79816</v>
      </c>
      <c r="M352" s="37" vm="1631">
        <f>CUBEVALUE("ThisWorkbookDataModel",$K352,M$29,Slicer_Department)</f>
        <v>4200</v>
      </c>
      <c r="N352" s="37" t="e">
        <f t="shared" si="31"/>
        <v>#N/A</v>
      </c>
      <c r="O352" s="37" vm="1631">
        <f t="shared" si="32"/>
        <v>4200</v>
      </c>
      <c r="P352" s="37" t="e">
        <f t="shared" si="33"/>
        <v>#N/A</v>
      </c>
      <c r="Q352" s="37" t="e">
        <f t="shared" si="34"/>
        <v>#N/A</v>
      </c>
      <c r="R352" s="37" vm="1632">
        <f t="shared" si="35"/>
        <v>79816</v>
      </c>
      <c r="S352" s="37" t="e">
        <f t="shared" si="36"/>
        <v>#N/A</v>
      </c>
    </row>
    <row r="353" spans="10:19" x14ac:dyDescent="0.25">
      <c r="J353" s="36" t="str" vm="338">
        <f>CUBEMEMBER("ThisWorkbookDataModel","[Indian_Employee_Data].[Employee ID].&amp;[Emp1330]")</f>
        <v>Emp1330</v>
      </c>
      <c r="K353" s="36" t="str" vm="337">
        <f>CUBEMEMBER("ThisWorkbookDataModel",{"[Indian_Employee_Data].[Employee ID].&amp;[Emp1330]","[Indian_Employee_Data].[Insurance tier].&amp;[Silver]"})</f>
        <v>Silver</v>
      </c>
      <c r="L353" s="37" vm="1634">
        <f>CUBEVALUE("ThisWorkbookDataModel",$K353,L$29,Slicer_Department)</f>
        <v>92535</v>
      </c>
      <c r="M353" s="37" vm="1633">
        <f>CUBEVALUE("ThisWorkbookDataModel",$K353,M$29,Slicer_Department)</f>
        <v>4200</v>
      </c>
      <c r="N353" s="37" t="e">
        <f t="shared" si="31"/>
        <v>#N/A</v>
      </c>
      <c r="O353" s="37" vm="1633">
        <f t="shared" si="32"/>
        <v>4200</v>
      </c>
      <c r="P353" s="37" t="e">
        <f t="shared" si="33"/>
        <v>#N/A</v>
      </c>
      <c r="Q353" s="37" t="e">
        <f t="shared" si="34"/>
        <v>#N/A</v>
      </c>
      <c r="R353" s="37" vm="1634">
        <f t="shared" si="35"/>
        <v>92535</v>
      </c>
      <c r="S353" s="37" t="e">
        <f t="shared" si="36"/>
        <v>#N/A</v>
      </c>
    </row>
    <row r="354" spans="10:19" x14ac:dyDescent="0.25">
      <c r="J354" s="36" t="str" vm="336">
        <f>CUBEMEMBER("ThisWorkbookDataModel","[Indian_Employee_Data].[Employee ID].&amp;[Emp1331]")</f>
        <v>Emp1331</v>
      </c>
      <c r="K354" s="36" t="str" vm="335">
        <f>CUBEMEMBER("ThisWorkbookDataModel",{"[Indian_Employee_Data].[Employee ID].&amp;[Emp1331]","[Indian_Employee_Data].[Insurance tier].&amp;[Gold]"})</f>
        <v>Gold</v>
      </c>
      <c r="L354" s="37" vm="1636">
        <f>CUBEVALUE("ThisWorkbookDataModel",$K354,L$29,Slicer_Department)</f>
        <v>153444</v>
      </c>
      <c r="M354" s="37" vm="1635">
        <f>CUBEVALUE("ThisWorkbookDataModel",$K354,M$29,Slicer_Department)</f>
        <v>6750</v>
      </c>
      <c r="N354" s="37" t="e">
        <f t="shared" si="31"/>
        <v>#N/A</v>
      </c>
      <c r="O354" s="37" t="e">
        <f t="shared" si="32"/>
        <v>#N/A</v>
      </c>
      <c r="P354" s="37" vm="1635">
        <f t="shared" si="33"/>
        <v>6750</v>
      </c>
      <c r="Q354" s="37" t="e">
        <f t="shared" si="34"/>
        <v>#N/A</v>
      </c>
      <c r="R354" s="37" t="e">
        <f t="shared" si="35"/>
        <v>#N/A</v>
      </c>
      <c r="S354" s="37" vm="1636">
        <f t="shared" si="36"/>
        <v>153444</v>
      </c>
    </row>
    <row r="355" spans="10:19" x14ac:dyDescent="0.25">
      <c r="J355" s="36" t="str" vm="334">
        <f>CUBEMEMBER("ThisWorkbookDataModel","[Indian_Employee_Data].[Employee ID].&amp;[Emp1332]")</f>
        <v>Emp1332</v>
      </c>
      <c r="K355" s="36" t="str" vm="333">
        <f>CUBEMEMBER("ThisWorkbookDataModel",{"[Indian_Employee_Data].[Employee ID].&amp;[Emp1332]","[Indian_Employee_Data].[Insurance tier].&amp;[Bronze]"})</f>
        <v>Bronze</v>
      </c>
      <c r="L355" s="37" vm="1638">
        <f>CUBEVALUE("ThisWorkbookDataModel",$K355,L$29,Slicer_Department)</f>
        <v>41937</v>
      </c>
      <c r="M355" s="37" vm="1637">
        <f>CUBEVALUE("ThisWorkbookDataModel",$K355,M$29,Slicer_Department)</f>
        <v>1500</v>
      </c>
      <c r="N355" s="37" vm="1637">
        <f t="shared" si="31"/>
        <v>1500</v>
      </c>
      <c r="O355" s="37" t="e">
        <f t="shared" si="32"/>
        <v>#N/A</v>
      </c>
      <c r="P355" s="37" t="e">
        <f t="shared" si="33"/>
        <v>#N/A</v>
      </c>
      <c r="Q355" s="37" vm="1638">
        <f t="shared" si="34"/>
        <v>41937</v>
      </c>
      <c r="R355" s="37" t="e">
        <f t="shared" si="35"/>
        <v>#N/A</v>
      </c>
      <c r="S355" s="37" t="e">
        <f t="shared" si="36"/>
        <v>#N/A</v>
      </c>
    </row>
    <row r="356" spans="10:19" x14ac:dyDescent="0.25">
      <c r="J356" s="36" t="str" vm="332">
        <f>CUBEMEMBER("ThisWorkbookDataModel","[Indian_Employee_Data].[Employee ID].&amp;[Emp1333]")</f>
        <v>Emp1333</v>
      </c>
      <c r="K356" s="36" t="str" vm="331">
        <f>CUBEMEMBER("ThisWorkbookDataModel",{"[Indian_Employee_Data].[Employee ID].&amp;[Emp1333]","[Indian_Employee_Data].[Insurance tier].&amp;[Silver]"})</f>
        <v>Silver</v>
      </c>
      <c r="L356" s="37" vm="1640">
        <f>CUBEVALUE("ThisWorkbookDataModel",$K356,L$29,Slicer_Department)</f>
        <v>63898</v>
      </c>
      <c r="M356" s="37" vm="1639">
        <f>CUBEVALUE("ThisWorkbookDataModel",$K356,M$29,Slicer_Department)</f>
        <v>2800</v>
      </c>
      <c r="N356" s="37" t="e">
        <f t="shared" si="31"/>
        <v>#N/A</v>
      </c>
      <c r="O356" s="37" vm="1639">
        <f t="shared" si="32"/>
        <v>2800</v>
      </c>
      <c r="P356" s="37" t="e">
        <f t="shared" si="33"/>
        <v>#N/A</v>
      </c>
      <c r="Q356" s="37" t="e">
        <f t="shared" si="34"/>
        <v>#N/A</v>
      </c>
      <c r="R356" s="37" vm="1640">
        <f t="shared" si="35"/>
        <v>63898</v>
      </c>
      <c r="S356" s="37" t="e">
        <f t="shared" si="36"/>
        <v>#N/A</v>
      </c>
    </row>
    <row r="357" spans="10:19" x14ac:dyDescent="0.25">
      <c r="J357" s="36" t="str" vm="330">
        <f>CUBEMEMBER("ThisWorkbookDataModel","[Indian_Employee_Data].[Employee ID].&amp;[Emp1334]")</f>
        <v>Emp1334</v>
      </c>
      <c r="K357" s="36" t="str" vm="329">
        <f>CUBEMEMBER("ThisWorkbookDataModel",{"[Indian_Employee_Data].[Employee ID].&amp;[Emp1334]","[Indian_Employee_Data].[Insurance tier].&amp;[Bronze]"})</f>
        <v>Bronze</v>
      </c>
      <c r="L357" s="37" vm="1642">
        <f>CUBEVALUE("ThisWorkbookDataModel",$K357,L$29,Slicer_Department)</f>
        <v>51340</v>
      </c>
      <c r="M357" s="37" vm="1641">
        <f>CUBEVALUE("ThisWorkbookDataModel",$K357,M$29,Slicer_Department)</f>
        <v>1500</v>
      </c>
      <c r="N357" s="37" vm="1641">
        <f t="shared" si="31"/>
        <v>1500</v>
      </c>
      <c r="O357" s="37" t="e">
        <f t="shared" si="32"/>
        <v>#N/A</v>
      </c>
      <c r="P357" s="37" t="e">
        <f t="shared" si="33"/>
        <v>#N/A</v>
      </c>
      <c r="Q357" s="37" vm="1642">
        <f t="shared" si="34"/>
        <v>51340</v>
      </c>
      <c r="R357" s="37" t="e">
        <f t="shared" si="35"/>
        <v>#N/A</v>
      </c>
      <c r="S357" s="37" t="e">
        <f t="shared" si="36"/>
        <v>#N/A</v>
      </c>
    </row>
    <row r="358" spans="10:19" x14ac:dyDescent="0.25">
      <c r="J358" s="36" t="str" vm="328">
        <f>CUBEMEMBER("ThisWorkbookDataModel","[Indian_Employee_Data].[Employee ID].&amp;[Emp1335]")</f>
        <v>Emp1335</v>
      </c>
      <c r="K358" s="36" t="str" vm="327">
        <f>CUBEMEMBER("ThisWorkbookDataModel",{"[Indian_Employee_Data].[Employee ID].&amp;[Emp1335]","[Indian_Employee_Data].[Insurance tier].&amp;[Bronze]"})</f>
        <v>Bronze</v>
      </c>
      <c r="L358" s="37" vm="1644">
        <f>CUBEVALUE("ThisWorkbookDataModel",$K358,L$29,Slicer_Department)</f>
        <v>50080</v>
      </c>
      <c r="M358" s="37" vm="1643">
        <f>CUBEVALUE("ThisWorkbookDataModel",$K358,M$29,Slicer_Department)</f>
        <v>1500</v>
      </c>
      <c r="N358" s="37" vm="1643">
        <f t="shared" si="31"/>
        <v>1500</v>
      </c>
      <c r="O358" s="37" t="e">
        <f t="shared" si="32"/>
        <v>#N/A</v>
      </c>
      <c r="P358" s="37" t="e">
        <f t="shared" si="33"/>
        <v>#N/A</v>
      </c>
      <c r="Q358" s="37" vm="1644">
        <f t="shared" si="34"/>
        <v>50080</v>
      </c>
      <c r="R358" s="37" t="e">
        <f t="shared" si="35"/>
        <v>#N/A</v>
      </c>
      <c r="S358" s="37" t="e">
        <f t="shared" si="36"/>
        <v>#N/A</v>
      </c>
    </row>
    <row r="359" spans="10:19" x14ac:dyDescent="0.25">
      <c r="J359" s="36" t="str" vm="326">
        <f>CUBEMEMBER("ThisWorkbookDataModel","[Indian_Employee_Data].[Employee ID].&amp;[Emp1336]")</f>
        <v>Emp1336</v>
      </c>
      <c r="K359" s="36" t="str" vm="325">
        <f>CUBEMEMBER("ThisWorkbookDataModel",{"[Indian_Employee_Data].[Employee ID].&amp;[Emp1336]","[Indian_Employee_Data].[Insurance tier].&amp;[Gold]"})</f>
        <v>Gold</v>
      </c>
      <c r="L359" s="37" vm="1646">
        <f>CUBEVALUE("ThisWorkbookDataModel",$K359,L$29,Slicer_Department)</f>
        <v>175402</v>
      </c>
      <c r="M359" s="37" vm="1645">
        <f>CUBEVALUE("ThisWorkbookDataModel",$K359,M$29,Slicer_Department)</f>
        <v>9000</v>
      </c>
      <c r="N359" s="37" t="e">
        <f t="shared" si="31"/>
        <v>#N/A</v>
      </c>
      <c r="O359" s="37" t="e">
        <f t="shared" si="32"/>
        <v>#N/A</v>
      </c>
      <c r="P359" s="37" vm="1645">
        <f t="shared" si="33"/>
        <v>9000</v>
      </c>
      <c r="Q359" s="37" t="e">
        <f t="shared" si="34"/>
        <v>#N/A</v>
      </c>
      <c r="R359" s="37" t="e">
        <f t="shared" si="35"/>
        <v>#N/A</v>
      </c>
      <c r="S359" s="37" vm="1646">
        <f t="shared" si="36"/>
        <v>175402</v>
      </c>
    </row>
    <row r="360" spans="10:19" x14ac:dyDescent="0.25">
      <c r="J360" s="36" t="str" vm="324">
        <f>CUBEMEMBER("ThisWorkbookDataModel","[Indian_Employee_Data].[Employee ID].&amp;[Emp1337]")</f>
        <v>Emp1337</v>
      </c>
      <c r="K360" s="36" t="str" vm="323">
        <f>CUBEMEMBER("ThisWorkbookDataModel",{"[Indian_Employee_Data].[Employee ID].&amp;[Emp1337]","[Indian_Employee_Data].[Insurance tier].&amp;[Gold]"})</f>
        <v>Gold</v>
      </c>
      <c r="L360" s="37" vm="1648">
        <f>CUBEVALUE("ThisWorkbookDataModel",$K360,L$29,Slicer_Department)</f>
        <v>143186</v>
      </c>
      <c r="M360" s="37" vm="1647">
        <f>CUBEVALUE("ThisWorkbookDataModel",$K360,M$29,Slicer_Department)</f>
        <v>6750</v>
      </c>
      <c r="N360" s="37" t="e">
        <f t="shared" si="31"/>
        <v>#N/A</v>
      </c>
      <c r="O360" s="37" t="e">
        <f t="shared" si="32"/>
        <v>#N/A</v>
      </c>
      <c r="P360" s="37" vm="1647">
        <f t="shared" si="33"/>
        <v>6750</v>
      </c>
      <c r="Q360" s="37" t="e">
        <f t="shared" si="34"/>
        <v>#N/A</v>
      </c>
      <c r="R360" s="37" t="e">
        <f t="shared" si="35"/>
        <v>#N/A</v>
      </c>
      <c r="S360" s="37" vm="1648">
        <f t="shared" si="36"/>
        <v>143186</v>
      </c>
    </row>
    <row r="361" spans="10:19" x14ac:dyDescent="0.25">
      <c r="J361" s="36" t="str" vm="322">
        <f>CUBEMEMBER("ThisWorkbookDataModel","[Indian_Employee_Data].[Employee ID].&amp;[Emp1338]")</f>
        <v>Emp1338</v>
      </c>
      <c r="K361" s="36" t="str" vm="321">
        <f>CUBEMEMBER("ThisWorkbookDataModel",{"[Indian_Employee_Data].[Employee ID].&amp;[Emp1338]","[Indian_Employee_Data].[Insurance tier].&amp;[Silver]"})</f>
        <v>Silver</v>
      </c>
      <c r="L361" s="37" vm="1650">
        <f>CUBEVALUE("ThisWorkbookDataModel",$K361,L$29,Slicer_Department)</f>
        <v>107717</v>
      </c>
      <c r="M361" s="37" vm="1649">
        <f>CUBEVALUE("ThisWorkbookDataModel",$K361,M$29,Slicer_Department)</f>
        <v>2800</v>
      </c>
      <c r="N361" s="37" t="e">
        <f t="shared" si="31"/>
        <v>#N/A</v>
      </c>
      <c r="O361" s="37" vm="1649">
        <f t="shared" si="32"/>
        <v>2800</v>
      </c>
      <c r="P361" s="37" t="e">
        <f t="shared" si="33"/>
        <v>#N/A</v>
      </c>
      <c r="Q361" s="37" t="e">
        <f t="shared" si="34"/>
        <v>#N/A</v>
      </c>
      <c r="R361" s="37" vm="1650">
        <f t="shared" si="35"/>
        <v>107717</v>
      </c>
      <c r="S361" s="37" t="e">
        <f t="shared" si="36"/>
        <v>#N/A</v>
      </c>
    </row>
    <row r="362" spans="10:19" x14ac:dyDescent="0.25">
      <c r="J362" s="36" t="str" vm="320">
        <f>CUBEMEMBER("ThisWorkbookDataModel","[Indian_Employee_Data].[Employee ID].&amp;[Emp1339]")</f>
        <v>Emp1339</v>
      </c>
      <c r="K362" s="36" t="str" vm="319">
        <f>CUBEMEMBER("ThisWorkbookDataModel",{"[Indian_Employee_Data].[Employee ID].&amp;[Emp1339]","[Indian_Employee_Data].[Insurance tier].&amp;[Silver]"})</f>
        <v>Silver</v>
      </c>
      <c r="L362" s="37" vm="1652">
        <f>CUBEVALUE("ThisWorkbookDataModel",$K362,L$29,Slicer_Department)</f>
        <v>61121</v>
      </c>
      <c r="M362" s="37" vm="1651">
        <f>CUBEVALUE("ThisWorkbookDataModel",$K362,M$29,Slicer_Department)</f>
        <v>2800</v>
      </c>
      <c r="N362" s="37" t="e">
        <f t="shared" si="31"/>
        <v>#N/A</v>
      </c>
      <c r="O362" s="37" vm="1651">
        <f t="shared" si="32"/>
        <v>2800</v>
      </c>
      <c r="P362" s="37" t="e">
        <f t="shared" si="33"/>
        <v>#N/A</v>
      </c>
      <c r="Q362" s="37" t="e">
        <f t="shared" si="34"/>
        <v>#N/A</v>
      </c>
      <c r="R362" s="37" vm="1652">
        <f t="shared" si="35"/>
        <v>61121</v>
      </c>
      <c r="S362" s="37" t="e">
        <f t="shared" si="36"/>
        <v>#N/A</v>
      </c>
    </row>
    <row r="363" spans="10:19" x14ac:dyDescent="0.25">
      <c r="J363" s="36" t="str" vm="318">
        <f>CUBEMEMBER("ThisWorkbookDataModel","[Indian_Employee_Data].[Employee ID].&amp;[Emp1340]")</f>
        <v>Emp1340</v>
      </c>
      <c r="K363" s="36" t="str" vm="317">
        <f>CUBEMEMBER("ThisWorkbookDataModel",{"[Indian_Employee_Data].[Employee ID].&amp;[Emp1340]","[Indian_Employee_Data].[Insurance tier].&amp;[Silver]"})</f>
        <v>Silver</v>
      </c>
      <c r="L363" s="37" vm="1654">
        <f>CUBEVALUE("ThisWorkbookDataModel",$K363,L$29,Slicer_Department)</f>
        <v>110097</v>
      </c>
      <c r="M363" s="37" vm="1653">
        <f>CUBEVALUE("ThisWorkbookDataModel",$K363,M$29,Slicer_Department)</f>
        <v>4200</v>
      </c>
      <c r="N363" s="37" t="e">
        <f t="shared" si="31"/>
        <v>#N/A</v>
      </c>
      <c r="O363" s="37" vm="1653">
        <f t="shared" si="32"/>
        <v>4200</v>
      </c>
      <c r="P363" s="37" t="e">
        <f t="shared" si="33"/>
        <v>#N/A</v>
      </c>
      <c r="Q363" s="37" t="e">
        <f t="shared" si="34"/>
        <v>#N/A</v>
      </c>
      <c r="R363" s="37" vm="1654">
        <f t="shared" si="35"/>
        <v>110097</v>
      </c>
      <c r="S363" s="37" t="e">
        <f t="shared" si="36"/>
        <v>#N/A</v>
      </c>
    </row>
    <row r="364" spans="10:19" x14ac:dyDescent="0.25">
      <c r="J364" s="36" t="str" vm="316">
        <f>CUBEMEMBER("ThisWorkbookDataModel","[Indian_Employee_Data].[Employee ID].&amp;[Emp1341]")</f>
        <v>Emp1341</v>
      </c>
      <c r="K364" s="36" t="str" vm="315">
        <f>CUBEMEMBER("ThisWorkbookDataModel",{"[Indian_Employee_Data].[Employee ID].&amp;[Emp1341]","[Indian_Employee_Data].[Insurance tier].&amp;[Silver]"})</f>
        <v>Silver</v>
      </c>
      <c r="L364" s="37" vm="1656">
        <f>CUBEVALUE("ThisWorkbookDataModel",$K364,L$29,Slicer_Department)</f>
        <v>107622</v>
      </c>
      <c r="M364" s="37" vm="1655">
        <f>CUBEVALUE("ThisWorkbookDataModel",$K364,M$29,Slicer_Department)</f>
        <v>2800</v>
      </c>
      <c r="N364" s="37" t="e">
        <f t="shared" si="31"/>
        <v>#N/A</v>
      </c>
      <c r="O364" s="37" vm="1655">
        <f t="shared" si="32"/>
        <v>2800</v>
      </c>
      <c r="P364" s="37" t="e">
        <f t="shared" si="33"/>
        <v>#N/A</v>
      </c>
      <c r="Q364" s="37" t="e">
        <f t="shared" si="34"/>
        <v>#N/A</v>
      </c>
      <c r="R364" s="37" vm="1656">
        <f t="shared" si="35"/>
        <v>107622</v>
      </c>
      <c r="S364" s="37" t="e">
        <f t="shared" si="36"/>
        <v>#N/A</v>
      </c>
    </row>
    <row r="365" spans="10:19" x14ac:dyDescent="0.25">
      <c r="J365" s="36" t="str" vm="314">
        <f>CUBEMEMBER("ThisWorkbookDataModel","[Indian_Employee_Data].[Employee ID].&amp;[Emp1342]")</f>
        <v>Emp1342</v>
      </c>
      <c r="K365" s="36" t="str" vm="313">
        <f>CUBEMEMBER("ThisWorkbookDataModel",{"[Indian_Employee_Data].[Employee ID].&amp;[Emp1342]","[Indian_Employee_Data].[Insurance tier].&amp;[Silver]"})</f>
        <v>Silver</v>
      </c>
      <c r="L365" s="37" vm="1658">
        <f>CUBEVALUE("ThisWorkbookDataModel",$K365,L$29,Slicer_Department)</f>
        <v>71408</v>
      </c>
      <c r="M365" s="37" vm="1657">
        <f>CUBEVALUE("ThisWorkbookDataModel",$K365,M$29,Slicer_Department)</f>
        <v>2800</v>
      </c>
      <c r="N365" s="37" t="e">
        <f t="shared" si="31"/>
        <v>#N/A</v>
      </c>
      <c r="O365" s="37" vm="1657">
        <f t="shared" si="32"/>
        <v>2800</v>
      </c>
      <c r="P365" s="37" t="e">
        <f t="shared" si="33"/>
        <v>#N/A</v>
      </c>
      <c r="Q365" s="37" t="e">
        <f t="shared" si="34"/>
        <v>#N/A</v>
      </c>
      <c r="R365" s="37" vm="1658">
        <f t="shared" si="35"/>
        <v>71408</v>
      </c>
      <c r="S365" s="37" t="e">
        <f t="shared" si="36"/>
        <v>#N/A</v>
      </c>
    </row>
    <row r="366" spans="10:19" x14ac:dyDescent="0.25">
      <c r="J366" s="36" t="str" vm="312">
        <f>CUBEMEMBER("ThisWorkbookDataModel","[Indian_Employee_Data].[Employee ID].&amp;[Emp1343]")</f>
        <v>Emp1343</v>
      </c>
      <c r="K366" s="36" t="str" vm="311">
        <f>CUBEMEMBER("ThisWorkbookDataModel",{"[Indian_Employee_Data].[Employee ID].&amp;[Emp1343]","[Indian_Employee_Data].[Insurance tier].&amp;[Silver]"})</f>
        <v>Silver</v>
      </c>
      <c r="L366" s="37" vm="1660">
        <f>CUBEVALUE("ThisWorkbookDataModel",$K366,L$29,Slicer_Department)</f>
        <v>102362</v>
      </c>
      <c r="M366" s="37" vm="1659">
        <f>CUBEVALUE("ThisWorkbookDataModel",$K366,M$29,Slicer_Department)</f>
        <v>4200</v>
      </c>
      <c r="N366" s="37" t="e">
        <f t="shared" si="31"/>
        <v>#N/A</v>
      </c>
      <c r="O366" s="37" vm="1659">
        <f t="shared" si="32"/>
        <v>4200</v>
      </c>
      <c r="P366" s="37" t="e">
        <f t="shared" si="33"/>
        <v>#N/A</v>
      </c>
      <c r="Q366" s="37" t="e">
        <f t="shared" si="34"/>
        <v>#N/A</v>
      </c>
      <c r="R366" s="37" vm="1660">
        <f t="shared" si="35"/>
        <v>102362</v>
      </c>
      <c r="S366" s="37" t="e">
        <f t="shared" si="36"/>
        <v>#N/A</v>
      </c>
    </row>
    <row r="367" spans="10:19" x14ac:dyDescent="0.25">
      <c r="J367" s="36" t="str" vm="310">
        <f>CUBEMEMBER("ThisWorkbookDataModel","[Indian_Employee_Data].[Employee ID].&amp;[Emp1344]")</f>
        <v>Emp1344</v>
      </c>
      <c r="K367" s="36" t="str" vm="309">
        <f>CUBEMEMBER("ThisWorkbookDataModel",{"[Indian_Employee_Data].[Employee ID].&amp;[Emp1344]","[Indian_Employee_Data].[Insurance tier].&amp;[Silver]"})</f>
        <v>Silver</v>
      </c>
      <c r="L367" s="37" vm="1662">
        <f>CUBEVALUE("ThisWorkbookDataModel",$K367,L$29,Slicer_Department)</f>
        <v>97823</v>
      </c>
      <c r="M367" s="37" vm="1661">
        <f>CUBEVALUE("ThisWorkbookDataModel",$K367,M$29,Slicer_Department)</f>
        <v>4200</v>
      </c>
      <c r="N367" s="37" t="e">
        <f t="shared" si="31"/>
        <v>#N/A</v>
      </c>
      <c r="O367" s="37" vm="1661">
        <f t="shared" si="32"/>
        <v>4200</v>
      </c>
      <c r="P367" s="37" t="e">
        <f t="shared" si="33"/>
        <v>#N/A</v>
      </c>
      <c r="Q367" s="37" t="e">
        <f t="shared" si="34"/>
        <v>#N/A</v>
      </c>
      <c r="R367" s="37" vm="1662">
        <f t="shared" si="35"/>
        <v>97823</v>
      </c>
      <c r="S367" s="37" t="e">
        <f t="shared" si="36"/>
        <v>#N/A</v>
      </c>
    </row>
    <row r="368" spans="10:19" x14ac:dyDescent="0.25">
      <c r="J368" s="36" t="str" vm="308">
        <f>CUBEMEMBER("ThisWorkbookDataModel","[Indian_Employee_Data].[Employee ID].&amp;[Emp1345]")</f>
        <v>Emp1345</v>
      </c>
      <c r="K368" s="36" t="str" vm="307">
        <f>CUBEMEMBER("ThisWorkbookDataModel",{"[Indian_Employee_Data].[Employee ID].&amp;[Emp1345]","[Indian_Employee_Data].[Insurance tier].&amp;[Gold]"})</f>
        <v>Gold</v>
      </c>
      <c r="L368" s="37" vm="1664">
        <f>CUBEVALUE("ThisWorkbookDataModel",$K368,L$29,Slicer_Department)</f>
        <v>128386</v>
      </c>
      <c r="M368" s="37" vm="1663">
        <f>CUBEVALUE("ThisWorkbookDataModel",$K368,M$29,Slicer_Department)</f>
        <v>6750</v>
      </c>
      <c r="N368" s="37" t="e">
        <f t="shared" si="31"/>
        <v>#N/A</v>
      </c>
      <c r="O368" s="37" t="e">
        <f t="shared" si="32"/>
        <v>#N/A</v>
      </c>
      <c r="P368" s="37" vm="1663">
        <f t="shared" si="33"/>
        <v>6750</v>
      </c>
      <c r="Q368" s="37" t="e">
        <f t="shared" si="34"/>
        <v>#N/A</v>
      </c>
      <c r="R368" s="37" t="e">
        <f t="shared" si="35"/>
        <v>#N/A</v>
      </c>
      <c r="S368" s="37" vm="1664">
        <f t="shared" si="36"/>
        <v>128386</v>
      </c>
    </row>
    <row r="369" spans="10:19" x14ac:dyDescent="0.25">
      <c r="J369" s="36" t="str" vm="306">
        <f>CUBEMEMBER("ThisWorkbookDataModel","[Indian_Employee_Data].[Employee ID].&amp;[Emp1346]")</f>
        <v>Emp1346</v>
      </c>
      <c r="K369" s="36" t="str" vm="305">
        <f>CUBEMEMBER("ThisWorkbookDataModel",{"[Indian_Employee_Data].[Employee ID].&amp;[Emp1346]","[Indian_Employee_Data].[Insurance tier].&amp;[Gold]"})</f>
        <v>Gold</v>
      </c>
      <c r="L369" s="37" vm="1666">
        <f>CUBEVALUE("ThisWorkbookDataModel",$K369,L$29,Slicer_Department)</f>
        <v>131471</v>
      </c>
      <c r="M369" s="37" vm="1665">
        <f>CUBEVALUE("ThisWorkbookDataModel",$K369,M$29,Slicer_Department)</f>
        <v>9000</v>
      </c>
      <c r="N369" s="37" t="e">
        <f t="shared" si="31"/>
        <v>#N/A</v>
      </c>
      <c r="O369" s="37" t="e">
        <f t="shared" si="32"/>
        <v>#N/A</v>
      </c>
      <c r="P369" s="37" vm="1665">
        <f t="shared" si="33"/>
        <v>9000</v>
      </c>
      <c r="Q369" s="37" t="e">
        <f t="shared" si="34"/>
        <v>#N/A</v>
      </c>
      <c r="R369" s="37" t="e">
        <f t="shared" si="35"/>
        <v>#N/A</v>
      </c>
      <c r="S369" s="37" vm="1666">
        <f t="shared" si="36"/>
        <v>131471</v>
      </c>
    </row>
    <row r="370" spans="10:19" x14ac:dyDescent="0.25">
      <c r="J370" s="36" t="str" vm="304">
        <f>CUBEMEMBER("ThisWorkbookDataModel","[Indian_Employee_Data].[Employee ID].&amp;[Emp1347]")</f>
        <v>Emp1347</v>
      </c>
      <c r="K370" s="36" t="str" vm="303">
        <f>CUBEMEMBER("ThisWorkbookDataModel",{"[Indian_Employee_Data].[Employee ID].&amp;[Emp1347]","[Indian_Employee_Data].[Insurance tier].&amp;[Bronze]"})</f>
        <v>Bronze</v>
      </c>
      <c r="L370" s="37" vm="1668">
        <f>CUBEVALUE("ThisWorkbookDataModel",$K370,L$29,Slicer_Department)</f>
        <v>51178</v>
      </c>
      <c r="M370" s="37" vm="1667">
        <f>CUBEVALUE("ThisWorkbookDataModel",$K370,M$29,Slicer_Department)</f>
        <v>1500</v>
      </c>
      <c r="N370" s="37" vm="1667">
        <f t="shared" si="31"/>
        <v>1500</v>
      </c>
      <c r="O370" s="37" t="e">
        <f t="shared" si="32"/>
        <v>#N/A</v>
      </c>
      <c r="P370" s="37" t="e">
        <f t="shared" si="33"/>
        <v>#N/A</v>
      </c>
      <c r="Q370" s="37" vm="1668">
        <f t="shared" si="34"/>
        <v>51178</v>
      </c>
      <c r="R370" s="37" t="e">
        <f t="shared" si="35"/>
        <v>#N/A</v>
      </c>
      <c r="S370" s="37" t="e">
        <f t="shared" si="36"/>
        <v>#N/A</v>
      </c>
    </row>
    <row r="371" spans="10:19" x14ac:dyDescent="0.25">
      <c r="J371" s="36" t="str" vm="302">
        <f>CUBEMEMBER("ThisWorkbookDataModel","[Indian_Employee_Data].[Employee ID].&amp;[Emp1348]")</f>
        <v>Emp1348</v>
      </c>
      <c r="K371" s="36" t="str" vm="301">
        <f>CUBEMEMBER("ThisWorkbookDataModel",{"[Indian_Employee_Data].[Employee ID].&amp;[Emp1348]","[Indian_Employee_Data].[Insurance tier].&amp;[Silver]"})</f>
        <v>Silver</v>
      </c>
      <c r="L371" s="37" vm="1670">
        <f>CUBEVALUE("ThisWorkbookDataModel",$K371,L$29,Slicer_Department)</f>
        <v>94831</v>
      </c>
      <c r="M371" s="37" vm="1669">
        <f>CUBEVALUE("ThisWorkbookDataModel",$K371,M$29,Slicer_Department)</f>
        <v>4200</v>
      </c>
      <c r="N371" s="37" t="e">
        <f t="shared" si="31"/>
        <v>#N/A</v>
      </c>
      <c r="O371" s="37" vm="1669">
        <f t="shared" si="32"/>
        <v>4200</v>
      </c>
      <c r="P371" s="37" t="e">
        <f t="shared" si="33"/>
        <v>#N/A</v>
      </c>
      <c r="Q371" s="37" t="e">
        <f t="shared" si="34"/>
        <v>#N/A</v>
      </c>
      <c r="R371" s="37" vm="1670">
        <f t="shared" si="35"/>
        <v>94831</v>
      </c>
      <c r="S371" s="37" t="e">
        <f t="shared" si="36"/>
        <v>#N/A</v>
      </c>
    </row>
    <row r="372" spans="10:19" x14ac:dyDescent="0.25">
      <c r="J372" s="36" t="str" vm="300">
        <f>CUBEMEMBER("ThisWorkbookDataModel","[Indian_Employee_Data].[Employee ID].&amp;[Emp1350]")</f>
        <v>Emp1350</v>
      </c>
      <c r="K372" s="36" t="str" vm="299">
        <f>CUBEMEMBER("ThisWorkbookDataModel",{"[Indian_Employee_Data].[Employee ID].&amp;[Emp1350]","[Indian_Employee_Data].[Insurance tier].&amp;[Silver]"})</f>
        <v>Silver</v>
      </c>
      <c r="L372" s="37" vm="1672">
        <f>CUBEVALUE("ThisWorkbookDataModel",$K372,L$29,Slicer_Department)</f>
        <v>111691</v>
      </c>
      <c r="M372" s="37" vm="1671">
        <f>CUBEVALUE("ThisWorkbookDataModel",$K372,M$29,Slicer_Department)</f>
        <v>2800</v>
      </c>
      <c r="N372" s="37" t="e">
        <f t="shared" si="31"/>
        <v>#N/A</v>
      </c>
      <c r="O372" s="37" vm="1671">
        <f t="shared" si="32"/>
        <v>2800</v>
      </c>
      <c r="P372" s="37" t="e">
        <f t="shared" si="33"/>
        <v>#N/A</v>
      </c>
      <c r="Q372" s="37" t="e">
        <f t="shared" si="34"/>
        <v>#N/A</v>
      </c>
      <c r="R372" s="37" vm="1672">
        <f t="shared" si="35"/>
        <v>111691</v>
      </c>
      <c r="S372" s="37" t="e">
        <f t="shared" si="36"/>
        <v>#N/A</v>
      </c>
    </row>
    <row r="373" spans="10:19" x14ac:dyDescent="0.25">
      <c r="J373" s="36" t="str" vm="298">
        <f>CUBEMEMBER("ThisWorkbookDataModel","[Indian_Employee_Data].[Employee ID].&amp;[Emp1351]")</f>
        <v>Emp1351</v>
      </c>
      <c r="K373" s="36" t="str" vm="297">
        <f>CUBEMEMBER("ThisWorkbookDataModel",{"[Indian_Employee_Data].[Employee ID].&amp;[Emp1351]","[Indian_Employee_Data].[Insurance tier].&amp;[Gold]"})</f>
        <v>Gold</v>
      </c>
      <c r="L373" s="37" vm="1674">
        <f>CUBEVALUE("ThisWorkbookDataModel",$K373,L$29,Slicer_Department)</f>
        <v>175668</v>
      </c>
      <c r="M373" s="37" vm="1673">
        <f>CUBEVALUE("ThisWorkbookDataModel",$K373,M$29,Slicer_Department)</f>
        <v>9000</v>
      </c>
      <c r="N373" s="37" t="e">
        <f t="shared" si="31"/>
        <v>#N/A</v>
      </c>
      <c r="O373" s="37" t="e">
        <f t="shared" si="32"/>
        <v>#N/A</v>
      </c>
      <c r="P373" s="37" vm="1673">
        <f t="shared" si="33"/>
        <v>9000</v>
      </c>
      <c r="Q373" s="37" t="e">
        <f t="shared" si="34"/>
        <v>#N/A</v>
      </c>
      <c r="R373" s="37" t="e">
        <f t="shared" si="35"/>
        <v>#N/A</v>
      </c>
      <c r="S373" s="37" vm="1674">
        <f t="shared" si="36"/>
        <v>175668</v>
      </c>
    </row>
    <row r="374" spans="10:19" x14ac:dyDescent="0.25">
      <c r="J374" s="36" t="str" vm="296">
        <f>CUBEMEMBER("ThisWorkbookDataModel","[Indian_Employee_Data].[Employee ID].&amp;[Emp1352]")</f>
        <v>Emp1352</v>
      </c>
      <c r="K374" s="36" t="str" vm="295">
        <f>CUBEMEMBER("ThisWorkbookDataModel",{"[Indian_Employee_Data].[Employee ID].&amp;[Emp1352]","[Indian_Employee_Data].[Insurance tier].&amp;[Gold]"})</f>
        <v>Gold</v>
      </c>
      <c r="L374" s="37" vm="1676">
        <f>CUBEVALUE("ThisWorkbookDataModel",$K374,L$29,Slicer_Department)</f>
        <v>135368</v>
      </c>
      <c r="M374" s="37" vm="1675">
        <f>CUBEVALUE("ThisWorkbookDataModel",$K374,M$29,Slicer_Department)</f>
        <v>9000</v>
      </c>
      <c r="N374" s="37" t="e">
        <f t="shared" si="31"/>
        <v>#N/A</v>
      </c>
      <c r="O374" s="37" t="e">
        <f t="shared" si="32"/>
        <v>#N/A</v>
      </c>
      <c r="P374" s="37" vm="1675">
        <f t="shared" si="33"/>
        <v>9000</v>
      </c>
      <c r="Q374" s="37" t="e">
        <f t="shared" si="34"/>
        <v>#N/A</v>
      </c>
      <c r="R374" s="37" t="e">
        <f t="shared" si="35"/>
        <v>#N/A</v>
      </c>
      <c r="S374" s="37" vm="1676">
        <f t="shared" si="36"/>
        <v>135368</v>
      </c>
    </row>
    <row r="375" spans="10:19" x14ac:dyDescent="0.25">
      <c r="J375" s="36" t="str" vm="294">
        <f>CUBEMEMBER("ThisWorkbookDataModel","[Indian_Employee_Data].[Employee ID].&amp;[Emp1353]")</f>
        <v>Emp1353</v>
      </c>
      <c r="K375" s="36" t="str" vm="293">
        <f>CUBEMEMBER("ThisWorkbookDataModel",{"[Indian_Employee_Data].[Employee ID].&amp;[Emp1353]","[Indian_Employee_Data].[Insurance tier].&amp;[Silver]"})</f>
        <v>Silver</v>
      </c>
      <c r="L375" s="37" vm="1678">
        <f>CUBEVALUE("ThisWorkbookDataModel",$K375,L$29,Slicer_Department)</f>
        <v>70162</v>
      </c>
      <c r="M375" s="37" vm="1677">
        <f>CUBEVALUE("ThisWorkbookDataModel",$K375,M$29,Slicer_Department)</f>
        <v>4200</v>
      </c>
      <c r="N375" s="37" t="e">
        <f t="shared" si="31"/>
        <v>#N/A</v>
      </c>
      <c r="O375" s="37" vm="1677">
        <f t="shared" si="32"/>
        <v>4200</v>
      </c>
      <c r="P375" s="37" t="e">
        <f t="shared" si="33"/>
        <v>#N/A</v>
      </c>
      <c r="Q375" s="37" t="e">
        <f t="shared" si="34"/>
        <v>#N/A</v>
      </c>
      <c r="R375" s="37" vm="1678">
        <f t="shared" si="35"/>
        <v>70162</v>
      </c>
      <c r="S375" s="37" t="e">
        <f t="shared" si="36"/>
        <v>#N/A</v>
      </c>
    </row>
    <row r="376" spans="10:19" x14ac:dyDescent="0.25">
      <c r="J376" s="36" t="str" vm="292">
        <f>CUBEMEMBER("ThisWorkbookDataModel","[Indian_Employee_Data].[Employee ID].&amp;[Emp1354]")</f>
        <v>Emp1354</v>
      </c>
      <c r="K376" s="36" t="str" vm="291">
        <f>CUBEMEMBER("ThisWorkbookDataModel",{"[Indian_Employee_Data].[Employee ID].&amp;[Emp1354]","[Indian_Employee_Data].[Insurance tier].&amp;[Bronze]"})</f>
        <v>Bronze</v>
      </c>
      <c r="L376" s="37" vm="1680">
        <f>CUBEVALUE("ThisWorkbookDataModel",$K376,L$29,Slicer_Department)</f>
        <v>56431</v>
      </c>
      <c r="M376" s="37" vm="1679">
        <f>CUBEVALUE("ThisWorkbookDataModel",$K376,M$29,Slicer_Department)</f>
        <v>1500</v>
      </c>
      <c r="N376" s="37" vm="1679">
        <f t="shared" si="31"/>
        <v>1500</v>
      </c>
      <c r="O376" s="37" t="e">
        <f t="shared" si="32"/>
        <v>#N/A</v>
      </c>
      <c r="P376" s="37" t="e">
        <f t="shared" si="33"/>
        <v>#N/A</v>
      </c>
      <c r="Q376" s="37" vm="1680">
        <f t="shared" si="34"/>
        <v>56431</v>
      </c>
      <c r="R376" s="37" t="e">
        <f t="shared" si="35"/>
        <v>#N/A</v>
      </c>
      <c r="S376" s="37" t="e">
        <f t="shared" si="36"/>
        <v>#N/A</v>
      </c>
    </row>
    <row r="377" spans="10:19" x14ac:dyDescent="0.25">
      <c r="J377" s="36" t="str" vm="290">
        <f>CUBEMEMBER("ThisWorkbookDataModel","[Indian_Employee_Data].[Employee ID].&amp;[Emp1355]")</f>
        <v>Emp1355</v>
      </c>
      <c r="K377" s="36" t="str" vm="289">
        <f>CUBEMEMBER("ThisWorkbookDataModel",{"[Indian_Employee_Data].[Employee ID].&amp;[Emp1355]","[Indian_Employee_Data].[Insurance tier].&amp;[Gold]"})</f>
        <v>Gold</v>
      </c>
      <c r="L377" s="37" vm="1682">
        <f>CUBEVALUE("ThisWorkbookDataModel",$K377,L$29,Slicer_Department)</f>
        <v>132667</v>
      </c>
      <c r="M377" s="37" vm="1681">
        <f>CUBEVALUE("ThisWorkbookDataModel",$K377,M$29,Slicer_Department)</f>
        <v>6750</v>
      </c>
      <c r="N377" s="37" t="e">
        <f t="shared" si="31"/>
        <v>#N/A</v>
      </c>
      <c r="O377" s="37" t="e">
        <f t="shared" si="32"/>
        <v>#N/A</v>
      </c>
      <c r="P377" s="37" vm="1681">
        <f t="shared" si="33"/>
        <v>6750</v>
      </c>
      <c r="Q377" s="37" t="e">
        <f t="shared" si="34"/>
        <v>#N/A</v>
      </c>
      <c r="R377" s="37" t="e">
        <f t="shared" si="35"/>
        <v>#N/A</v>
      </c>
      <c r="S377" s="37" vm="1682">
        <f t="shared" si="36"/>
        <v>132667</v>
      </c>
    </row>
    <row r="378" spans="10:19" x14ac:dyDescent="0.25">
      <c r="J378" s="36" t="str" vm="288">
        <f>CUBEMEMBER("ThisWorkbookDataModel","[Indian_Employee_Data].[Employee ID].&amp;[Emp1356]")</f>
        <v>Emp1356</v>
      </c>
      <c r="K378" s="36" t="str" vm="287">
        <f>CUBEMEMBER("ThisWorkbookDataModel",{"[Indian_Employee_Data].[Employee ID].&amp;[Emp1356]","[Indian_Employee_Data].[Insurance tier].&amp;[Bronze]"})</f>
        <v>Bronze</v>
      </c>
      <c r="L378" s="37" vm="1684">
        <f>CUBEVALUE("ThisWorkbookDataModel",$K378,L$29,Slicer_Department)</f>
        <v>46200</v>
      </c>
      <c r="M378" s="37" vm="1683">
        <f>CUBEVALUE("ThisWorkbookDataModel",$K378,M$29,Slicer_Department)</f>
        <v>1500</v>
      </c>
      <c r="N378" s="37" vm="1683">
        <f t="shared" si="31"/>
        <v>1500</v>
      </c>
      <c r="O378" s="37" t="e">
        <f t="shared" si="32"/>
        <v>#N/A</v>
      </c>
      <c r="P378" s="37" t="e">
        <f t="shared" si="33"/>
        <v>#N/A</v>
      </c>
      <c r="Q378" s="37" vm="1684">
        <f t="shared" si="34"/>
        <v>46200</v>
      </c>
      <c r="R378" s="37" t="e">
        <f t="shared" si="35"/>
        <v>#N/A</v>
      </c>
      <c r="S378" s="37" t="e">
        <f t="shared" si="36"/>
        <v>#N/A</v>
      </c>
    </row>
    <row r="379" spans="10:19" x14ac:dyDescent="0.25">
      <c r="J379" s="36" t="str" vm="286">
        <f>CUBEMEMBER("ThisWorkbookDataModel","[Indian_Employee_Data].[Employee ID].&amp;[Emp1357]")</f>
        <v>Emp1357</v>
      </c>
      <c r="K379" s="36" t="str" vm="285">
        <f>CUBEMEMBER("ThisWorkbookDataModel",{"[Indian_Employee_Data].[Employee ID].&amp;[Emp1357]","[Indian_Employee_Data].[Insurance tier].&amp;[Gold]"})</f>
        <v>Gold</v>
      </c>
      <c r="L379" s="37" vm="1686">
        <f>CUBEVALUE("ThisWorkbookDataModel",$K379,L$29,Slicer_Department)</f>
        <v>123716</v>
      </c>
      <c r="M379" s="37" vm="1685">
        <f>CUBEVALUE("ThisWorkbookDataModel",$K379,M$29,Slicer_Department)</f>
        <v>6750</v>
      </c>
      <c r="N379" s="37" t="e">
        <f t="shared" si="31"/>
        <v>#N/A</v>
      </c>
      <c r="O379" s="37" t="e">
        <f t="shared" si="32"/>
        <v>#N/A</v>
      </c>
      <c r="P379" s="37" vm="1685">
        <f t="shared" si="33"/>
        <v>6750</v>
      </c>
      <c r="Q379" s="37" t="e">
        <f t="shared" si="34"/>
        <v>#N/A</v>
      </c>
      <c r="R379" s="37" t="e">
        <f t="shared" si="35"/>
        <v>#N/A</v>
      </c>
      <c r="S379" s="37" vm="1686">
        <f t="shared" si="36"/>
        <v>123716</v>
      </c>
    </row>
    <row r="380" spans="10:19" x14ac:dyDescent="0.25">
      <c r="J380" s="36" t="str" vm="284">
        <f>CUBEMEMBER("ThisWorkbookDataModel","[Indian_Employee_Data].[Employee ID].&amp;[Emp1358]")</f>
        <v>Emp1358</v>
      </c>
      <c r="K380" s="36" t="str" vm="283">
        <f>CUBEMEMBER("ThisWorkbookDataModel",{"[Indian_Employee_Data].[Employee ID].&amp;[Emp1358]","[Indian_Employee_Data].[Insurance tier].&amp;[Gold]"})</f>
        <v>Gold</v>
      </c>
      <c r="L380" s="37" vm="1688">
        <f>CUBEVALUE("ThisWorkbookDataModel",$K380,L$29,Slicer_Department)</f>
        <v>202029</v>
      </c>
      <c r="M380" s="37" vm="1687">
        <f>CUBEVALUE("ThisWorkbookDataModel",$K380,M$29,Slicer_Department)</f>
        <v>9000</v>
      </c>
      <c r="N380" s="37" t="e">
        <f t="shared" si="31"/>
        <v>#N/A</v>
      </c>
      <c r="O380" s="37" t="e">
        <f t="shared" si="32"/>
        <v>#N/A</v>
      </c>
      <c r="P380" s="37" vm="1687">
        <f t="shared" si="33"/>
        <v>9000</v>
      </c>
      <c r="Q380" s="37" t="e">
        <f t="shared" si="34"/>
        <v>#N/A</v>
      </c>
      <c r="R380" s="37" t="e">
        <f t="shared" si="35"/>
        <v>#N/A</v>
      </c>
      <c r="S380" s="37" vm="1688">
        <f t="shared" si="36"/>
        <v>202029</v>
      </c>
    </row>
    <row r="381" spans="10:19" x14ac:dyDescent="0.25">
      <c r="J381" s="36" t="str" vm="282">
        <f>CUBEMEMBER("ThisWorkbookDataModel","[Indian_Employee_Data].[Employee ID].&amp;[Emp1359]")</f>
        <v>Emp1359</v>
      </c>
      <c r="K381" s="36" t="str" vm="281">
        <f>CUBEMEMBER("ThisWorkbookDataModel",{"[Indian_Employee_Data].[Employee ID].&amp;[Emp1359]","[Indian_Employee_Data].[Insurance tier].&amp;[Gold]"})</f>
        <v>Gold</v>
      </c>
      <c r="L381" s="37" vm="1690">
        <f>CUBEVALUE("ThisWorkbookDataModel",$K381,L$29,Slicer_Department)</f>
        <v>122155</v>
      </c>
      <c r="M381" s="37" vm="1689">
        <f>CUBEVALUE("ThisWorkbookDataModel",$K381,M$29,Slicer_Department)</f>
        <v>9000</v>
      </c>
      <c r="N381" s="37" t="e">
        <f t="shared" si="31"/>
        <v>#N/A</v>
      </c>
      <c r="O381" s="37" t="e">
        <f t="shared" si="32"/>
        <v>#N/A</v>
      </c>
      <c r="P381" s="37" vm="1689">
        <f t="shared" si="33"/>
        <v>9000</v>
      </c>
      <c r="Q381" s="37" t="e">
        <f t="shared" si="34"/>
        <v>#N/A</v>
      </c>
      <c r="R381" s="37" t="e">
        <f t="shared" si="35"/>
        <v>#N/A</v>
      </c>
      <c r="S381" s="37" vm="1690">
        <f t="shared" si="36"/>
        <v>122155</v>
      </c>
    </row>
    <row r="382" spans="10:19" x14ac:dyDescent="0.25">
      <c r="J382" s="36" t="str" vm="280">
        <f>CUBEMEMBER("ThisWorkbookDataModel","[Indian_Employee_Data].[Employee ID].&amp;[Emp1360]")</f>
        <v>Emp1360</v>
      </c>
      <c r="K382" s="36" t="str" vm="279">
        <f>CUBEMEMBER("ThisWorkbookDataModel",{"[Indian_Employee_Data].[Employee ID].&amp;[Emp1360]","[Indian_Employee_Data].[Insurance tier].&amp;[Silver]"})</f>
        <v>Silver</v>
      </c>
      <c r="L382" s="37" vm="1692">
        <f>CUBEVALUE("ThisWorkbookDataModel",$K382,L$29,Slicer_Department)</f>
        <v>96522</v>
      </c>
      <c r="M382" s="37" vm="1691">
        <f>CUBEVALUE("ThisWorkbookDataModel",$K382,M$29,Slicer_Department)</f>
        <v>4200</v>
      </c>
      <c r="N382" s="37" t="e">
        <f t="shared" si="31"/>
        <v>#N/A</v>
      </c>
      <c r="O382" s="37" vm="1691">
        <f t="shared" si="32"/>
        <v>4200</v>
      </c>
      <c r="P382" s="37" t="e">
        <f t="shared" si="33"/>
        <v>#N/A</v>
      </c>
      <c r="Q382" s="37" t="e">
        <f t="shared" si="34"/>
        <v>#N/A</v>
      </c>
      <c r="R382" s="37" vm="1692">
        <f t="shared" si="35"/>
        <v>96522</v>
      </c>
      <c r="S382" s="37" t="e">
        <f t="shared" si="36"/>
        <v>#N/A</v>
      </c>
    </row>
    <row r="383" spans="10:19" x14ac:dyDescent="0.25">
      <c r="J383" s="36" t="str" vm="278">
        <f>CUBEMEMBER("ThisWorkbookDataModel","[Indian_Employee_Data].[Employee ID].&amp;[Emp1361]")</f>
        <v>Emp1361</v>
      </c>
      <c r="K383" s="36" t="str" vm="277">
        <f>CUBEMEMBER("ThisWorkbookDataModel",{"[Indian_Employee_Data].[Employee ID].&amp;[Emp1361]","[Indian_Employee_Data].[Insurance tier].&amp;[Gold]"})</f>
        <v>Gold</v>
      </c>
      <c r="L383" s="37" vm="1694">
        <f>CUBEVALUE("ThisWorkbookDataModel",$K383,L$29,Slicer_Department)</f>
        <v>132810</v>
      </c>
      <c r="M383" s="37" vm="1693">
        <f>CUBEVALUE("ThisWorkbookDataModel",$K383,M$29,Slicer_Department)</f>
        <v>6750</v>
      </c>
      <c r="N383" s="37" t="e">
        <f t="shared" si="31"/>
        <v>#N/A</v>
      </c>
      <c r="O383" s="37" t="e">
        <f t="shared" si="32"/>
        <v>#N/A</v>
      </c>
      <c r="P383" s="37" vm="1693">
        <f t="shared" si="33"/>
        <v>6750</v>
      </c>
      <c r="Q383" s="37" t="e">
        <f t="shared" si="34"/>
        <v>#N/A</v>
      </c>
      <c r="R383" s="37" t="e">
        <f t="shared" si="35"/>
        <v>#N/A</v>
      </c>
      <c r="S383" s="37" vm="1694">
        <f t="shared" si="36"/>
        <v>132810</v>
      </c>
    </row>
    <row r="384" spans="10:19" x14ac:dyDescent="0.25">
      <c r="J384" s="36" t="str" vm="276">
        <f>CUBEMEMBER("ThisWorkbookDataModel","[Indian_Employee_Data].[Employee ID].&amp;[Emp1362]")</f>
        <v>Emp1362</v>
      </c>
      <c r="K384" s="36" t="str" vm="275">
        <f>CUBEMEMBER("ThisWorkbookDataModel",{"[Indian_Employee_Data].[Employee ID].&amp;[Emp1362]","[Indian_Employee_Data].[Insurance tier].&amp;[Silver]"})</f>
        <v>Silver</v>
      </c>
      <c r="L384" s="37" vm="1696">
        <f>CUBEVALUE("ThisWorkbookDataModel",$K384,L$29,Slicer_Department)</f>
        <v>105579</v>
      </c>
      <c r="M384" s="37" vm="1695">
        <f>CUBEVALUE("ThisWorkbookDataModel",$K384,M$29,Slicer_Department)</f>
        <v>4200</v>
      </c>
      <c r="N384" s="37" t="e">
        <f t="shared" si="31"/>
        <v>#N/A</v>
      </c>
      <c r="O384" s="37" vm="1695">
        <f t="shared" si="32"/>
        <v>4200</v>
      </c>
      <c r="P384" s="37" t="e">
        <f t="shared" si="33"/>
        <v>#N/A</v>
      </c>
      <c r="Q384" s="37" t="e">
        <f t="shared" si="34"/>
        <v>#N/A</v>
      </c>
      <c r="R384" s="37" vm="1696">
        <f t="shared" si="35"/>
        <v>105579</v>
      </c>
      <c r="S384" s="37" t="e">
        <f t="shared" si="36"/>
        <v>#N/A</v>
      </c>
    </row>
    <row r="385" spans="10:19" x14ac:dyDescent="0.25">
      <c r="J385" s="36" t="str" vm="274">
        <f>CUBEMEMBER("ThisWorkbookDataModel","[Indian_Employee_Data].[Employee ID].&amp;[Emp1363]")</f>
        <v>Emp1363</v>
      </c>
      <c r="K385" s="36" t="str" vm="273">
        <f>CUBEMEMBER("ThisWorkbookDataModel",{"[Indian_Employee_Data].[Employee ID].&amp;[Emp1363]","[Indian_Employee_Data].[Insurance tier].&amp;[Silver]"})</f>
        <v>Silver</v>
      </c>
      <c r="L385" s="37" vm="1698">
        <f>CUBEVALUE("ThisWorkbookDataModel",$K385,L$29,Slicer_Department)</f>
        <v>117736</v>
      </c>
      <c r="M385" s="37" vm="1697">
        <f>CUBEVALUE("ThisWorkbookDataModel",$K385,M$29,Slicer_Department)</f>
        <v>4200</v>
      </c>
      <c r="N385" s="37" t="e">
        <f t="shared" si="31"/>
        <v>#N/A</v>
      </c>
      <c r="O385" s="37" vm="1697">
        <f t="shared" si="32"/>
        <v>4200</v>
      </c>
      <c r="P385" s="37" t="e">
        <f t="shared" si="33"/>
        <v>#N/A</v>
      </c>
      <c r="Q385" s="37" t="e">
        <f t="shared" si="34"/>
        <v>#N/A</v>
      </c>
      <c r="R385" s="37" vm="1698">
        <f t="shared" si="35"/>
        <v>117736</v>
      </c>
      <c r="S385" s="37" t="e">
        <f t="shared" si="36"/>
        <v>#N/A</v>
      </c>
    </row>
    <row r="386" spans="10:19" x14ac:dyDescent="0.25">
      <c r="J386" s="36" t="str" vm="272">
        <f>CUBEMEMBER("ThisWorkbookDataModel","[Indian_Employee_Data].[Employee ID].&amp;[Emp1364]")</f>
        <v>Emp1364</v>
      </c>
      <c r="K386" s="36" t="str" vm="271">
        <f>CUBEMEMBER("ThisWorkbookDataModel",{"[Indian_Employee_Data].[Employee ID].&amp;[Emp1364]","[Indian_Employee_Data].[Insurance tier].&amp;[Gold]"})</f>
        <v>Gold</v>
      </c>
      <c r="L386" s="37" vm="1700">
        <f>CUBEVALUE("ThisWorkbookDataModel",$K386,L$29,Slicer_Department)</f>
        <v>202527</v>
      </c>
      <c r="M386" s="37" vm="1699">
        <f>CUBEVALUE("ThisWorkbookDataModel",$K386,M$29,Slicer_Department)</f>
        <v>6750</v>
      </c>
      <c r="N386" s="37" t="e">
        <f t="shared" si="31"/>
        <v>#N/A</v>
      </c>
      <c r="O386" s="37" t="e">
        <f t="shared" si="32"/>
        <v>#N/A</v>
      </c>
      <c r="P386" s="37" vm="1699">
        <f t="shared" si="33"/>
        <v>6750</v>
      </c>
      <c r="Q386" s="37" t="e">
        <f t="shared" si="34"/>
        <v>#N/A</v>
      </c>
      <c r="R386" s="37" t="e">
        <f t="shared" si="35"/>
        <v>#N/A</v>
      </c>
      <c r="S386" s="37" vm="1700">
        <f t="shared" si="36"/>
        <v>202527</v>
      </c>
    </row>
    <row r="387" spans="10:19" x14ac:dyDescent="0.25">
      <c r="J387" s="36" t="str" vm="270">
        <f>CUBEMEMBER("ThisWorkbookDataModel","[Indian_Employee_Data].[Employee ID].&amp;[Emp1365]")</f>
        <v>Emp1365</v>
      </c>
      <c r="K387" s="36" t="str" vm="269">
        <f>CUBEMEMBER("ThisWorkbookDataModel",{"[Indian_Employee_Data].[Employee ID].&amp;[Emp1365]","[Indian_Employee_Data].[Insurance tier].&amp;[Silver]"})</f>
        <v>Silver</v>
      </c>
      <c r="L387" s="37" vm="1702">
        <f>CUBEVALUE("ThisWorkbookDataModel",$K387,L$29,Slicer_Department)</f>
        <v>96263</v>
      </c>
      <c r="M387" s="37" vm="1701">
        <f>CUBEVALUE("ThisWorkbookDataModel",$K387,M$29,Slicer_Department)</f>
        <v>4200</v>
      </c>
      <c r="N387" s="37" t="e">
        <f t="shared" si="31"/>
        <v>#N/A</v>
      </c>
      <c r="O387" s="37" vm="1701">
        <f t="shared" si="32"/>
        <v>4200</v>
      </c>
      <c r="P387" s="37" t="e">
        <f t="shared" si="33"/>
        <v>#N/A</v>
      </c>
      <c r="Q387" s="37" t="e">
        <f t="shared" si="34"/>
        <v>#N/A</v>
      </c>
      <c r="R387" s="37" vm="1702">
        <f t="shared" si="35"/>
        <v>96263</v>
      </c>
      <c r="S387" s="37" t="e">
        <f t="shared" si="36"/>
        <v>#N/A</v>
      </c>
    </row>
    <row r="388" spans="10:19" x14ac:dyDescent="0.25">
      <c r="J388" s="36" t="str" vm="268">
        <f>CUBEMEMBER("ThisWorkbookDataModel","[Indian_Employee_Data].[Employee ID].&amp;[Emp1366]")</f>
        <v>Emp1366</v>
      </c>
      <c r="K388" s="36" t="str" vm="267">
        <f>CUBEMEMBER("ThisWorkbookDataModel",{"[Indian_Employee_Data].[Employee ID].&amp;[Emp1366]","[Indian_Employee_Data].[Insurance tier].&amp;[Gold]"})</f>
        <v>Gold</v>
      </c>
      <c r="L388" s="37" vm="1704">
        <f>CUBEVALUE("ThisWorkbookDataModel",$K388,L$29,Slicer_Department)</f>
        <v>211345</v>
      </c>
      <c r="M388" s="37" vm="1703">
        <f>CUBEVALUE("ThisWorkbookDataModel",$K388,M$29,Slicer_Department)</f>
        <v>9000</v>
      </c>
      <c r="N388" s="37" t="e">
        <f t="shared" si="31"/>
        <v>#N/A</v>
      </c>
      <c r="O388" s="37" t="e">
        <f t="shared" si="32"/>
        <v>#N/A</v>
      </c>
      <c r="P388" s="37" vm="1703">
        <f t="shared" si="33"/>
        <v>9000</v>
      </c>
      <c r="Q388" s="37" t="e">
        <f t="shared" si="34"/>
        <v>#N/A</v>
      </c>
      <c r="R388" s="37" t="e">
        <f t="shared" si="35"/>
        <v>#N/A</v>
      </c>
      <c r="S388" s="37" vm="1704">
        <f t="shared" si="36"/>
        <v>211345</v>
      </c>
    </row>
    <row r="389" spans="10:19" x14ac:dyDescent="0.25">
      <c r="J389" s="36" t="str" vm="266">
        <f>CUBEMEMBER("ThisWorkbookDataModel","[Indian_Employee_Data].[Employee ID].&amp;[Emp1367]")</f>
        <v>Emp1367</v>
      </c>
      <c r="K389" s="36" t="str" vm="265">
        <f>CUBEMEMBER("ThisWorkbookDataModel",{"[Indian_Employee_Data].[Employee ID].&amp;[Emp1367]","[Indian_Employee_Data].[Insurance tier].&amp;[Gold]"})</f>
        <v>Gold</v>
      </c>
      <c r="L389" s="37" vm="1706">
        <f>CUBEVALUE("ThisWorkbookDataModel",$K389,L$29,Slicer_Department)</f>
        <v>189634</v>
      </c>
      <c r="M389" s="37" vm="1705">
        <f>CUBEVALUE("ThisWorkbookDataModel",$K389,M$29,Slicer_Department)</f>
        <v>9000</v>
      </c>
      <c r="N389" s="37" t="e">
        <f t="shared" si="31"/>
        <v>#N/A</v>
      </c>
      <c r="O389" s="37" t="e">
        <f t="shared" si="32"/>
        <v>#N/A</v>
      </c>
      <c r="P389" s="37" vm="1705">
        <f t="shared" si="33"/>
        <v>9000</v>
      </c>
      <c r="Q389" s="37" t="e">
        <f t="shared" si="34"/>
        <v>#N/A</v>
      </c>
      <c r="R389" s="37" t="e">
        <f t="shared" si="35"/>
        <v>#N/A</v>
      </c>
      <c r="S389" s="37" vm="1706">
        <f t="shared" si="36"/>
        <v>189634</v>
      </c>
    </row>
    <row r="390" spans="10:19" x14ac:dyDescent="0.25">
      <c r="J390" s="36" t="str" vm="264">
        <f>CUBEMEMBER("ThisWorkbookDataModel","[Indian_Employee_Data].[Employee ID].&amp;[Emp1368]")</f>
        <v>Emp1368</v>
      </c>
      <c r="K390" s="36" t="str" vm="263">
        <f>CUBEMEMBER("ThisWorkbookDataModel",{"[Indian_Employee_Data].[Employee ID].&amp;[Emp1368]","[Indian_Employee_Data].[Insurance tier].&amp;[Silver]"})</f>
        <v>Silver</v>
      </c>
      <c r="L390" s="37" vm="1708">
        <f>CUBEVALUE("ThisWorkbookDataModel",$K390,L$29,Slicer_Department)</f>
        <v>74026</v>
      </c>
      <c r="M390" s="37" vm="1707">
        <f>CUBEVALUE("ThisWorkbookDataModel",$K390,M$29,Slicer_Department)</f>
        <v>4200</v>
      </c>
      <c r="N390" s="37" t="e">
        <f t="shared" si="31"/>
        <v>#N/A</v>
      </c>
      <c r="O390" s="37" vm="1707">
        <f t="shared" si="32"/>
        <v>4200</v>
      </c>
      <c r="P390" s="37" t="e">
        <f t="shared" si="33"/>
        <v>#N/A</v>
      </c>
      <c r="Q390" s="37" t="e">
        <f t="shared" si="34"/>
        <v>#N/A</v>
      </c>
      <c r="R390" s="37" vm="1708">
        <f t="shared" si="35"/>
        <v>74026</v>
      </c>
      <c r="S390" s="37" t="e">
        <f t="shared" si="36"/>
        <v>#N/A</v>
      </c>
    </row>
    <row r="391" spans="10:19" x14ac:dyDescent="0.25">
      <c r="J391" s="36" t="str" vm="262">
        <f>CUBEMEMBER("ThisWorkbookDataModel","[Indian_Employee_Data].[Employee ID].&amp;[Emp1369]")</f>
        <v>Emp1369</v>
      </c>
      <c r="K391" s="36" t="str" vm="261">
        <f>CUBEMEMBER("ThisWorkbookDataModel",{"[Indian_Employee_Data].[Employee ID].&amp;[Emp1369]","[Indian_Employee_Data].[Insurance tier].&amp;[Bronze]"})</f>
        <v>Bronze</v>
      </c>
      <c r="L391" s="37" vm="1710">
        <f>CUBEVALUE("ThisWorkbookDataModel",$K391,L$29,Slicer_Department)</f>
        <v>56204</v>
      </c>
      <c r="M391" s="37" vm="1709">
        <f>CUBEVALUE("ThisWorkbookDataModel",$K391,M$29,Slicer_Department)</f>
        <v>1500</v>
      </c>
      <c r="N391" s="37" vm="1709">
        <f t="shared" si="31"/>
        <v>1500</v>
      </c>
      <c r="O391" s="37" t="e">
        <f t="shared" si="32"/>
        <v>#N/A</v>
      </c>
      <c r="P391" s="37" t="e">
        <f t="shared" si="33"/>
        <v>#N/A</v>
      </c>
      <c r="Q391" s="37" vm="1710">
        <f t="shared" si="34"/>
        <v>56204</v>
      </c>
      <c r="R391" s="37" t="e">
        <f t="shared" si="35"/>
        <v>#N/A</v>
      </c>
      <c r="S391" s="37" t="e">
        <f t="shared" si="36"/>
        <v>#N/A</v>
      </c>
    </row>
    <row r="392" spans="10:19" x14ac:dyDescent="0.25">
      <c r="J392" s="36" t="str" vm="260">
        <f>CUBEMEMBER("ThisWorkbookDataModel","[Indian_Employee_Data].[Employee ID].&amp;[Emp1370]")</f>
        <v>Emp1370</v>
      </c>
      <c r="K392" s="36" t="str" vm="259">
        <f>CUBEMEMBER("ThisWorkbookDataModel",{"[Indian_Employee_Data].[Employee ID].&amp;[Emp1370]","[Indian_Employee_Data].[Insurance tier].&amp;[Silver]"})</f>
        <v>Silver</v>
      </c>
      <c r="L392" s="37" vm="1712">
        <f>CUBEVALUE("ThisWorkbookDataModel",$K392,L$29,Slicer_Department)</f>
        <v>61586</v>
      </c>
      <c r="M392" s="37" vm="1711">
        <f>CUBEVALUE("ThisWorkbookDataModel",$K392,M$29,Slicer_Department)</f>
        <v>4200</v>
      </c>
      <c r="N392" s="37" t="e">
        <f t="shared" si="31"/>
        <v>#N/A</v>
      </c>
      <c r="O392" s="37" vm="1711">
        <f t="shared" si="32"/>
        <v>4200</v>
      </c>
      <c r="P392" s="37" t="e">
        <f t="shared" si="33"/>
        <v>#N/A</v>
      </c>
      <c r="Q392" s="37" t="e">
        <f t="shared" si="34"/>
        <v>#N/A</v>
      </c>
      <c r="R392" s="37" vm="1712">
        <f t="shared" si="35"/>
        <v>61586</v>
      </c>
      <c r="S392" s="37" t="e">
        <f t="shared" si="36"/>
        <v>#N/A</v>
      </c>
    </row>
    <row r="393" spans="10:19" x14ac:dyDescent="0.25">
      <c r="J393" s="36" t="str" vm="258">
        <f>CUBEMEMBER("ThisWorkbookDataModel","[Indian_Employee_Data].[Employee ID].&amp;[Emp1371]")</f>
        <v>Emp1371</v>
      </c>
      <c r="K393" s="36" t="str" vm="257">
        <f>CUBEMEMBER("ThisWorkbookDataModel",{"[Indian_Employee_Data].[Employee ID].&amp;[Emp1371]","[Indian_Employee_Data].[Insurance tier].&amp;[Bronze]"})</f>
        <v>Bronze</v>
      </c>
      <c r="L393" s="37" vm="1714">
        <f>CUBEVALUE("ThisWorkbookDataModel",$K393,L$29,Slicer_Department)</f>
        <v>43431</v>
      </c>
      <c r="M393" s="37" vm="1713">
        <f>CUBEVALUE("ThisWorkbookDataModel",$K393,M$29,Slicer_Department)</f>
        <v>1500</v>
      </c>
      <c r="N393" s="37" vm="1713">
        <f t="shared" si="31"/>
        <v>1500</v>
      </c>
      <c r="O393" s="37" t="e">
        <f t="shared" si="32"/>
        <v>#N/A</v>
      </c>
      <c r="P393" s="37" t="e">
        <f t="shared" si="33"/>
        <v>#N/A</v>
      </c>
      <c r="Q393" s="37" vm="1714">
        <f t="shared" si="34"/>
        <v>43431</v>
      </c>
      <c r="R393" s="37" t="e">
        <f t="shared" si="35"/>
        <v>#N/A</v>
      </c>
      <c r="S393" s="37" t="e">
        <f t="shared" si="36"/>
        <v>#N/A</v>
      </c>
    </row>
    <row r="394" spans="10:19" x14ac:dyDescent="0.25">
      <c r="J394" s="36" t="str" vm="256">
        <f>CUBEMEMBER("ThisWorkbookDataModel","[Indian_Employee_Data].[Employee ID].&amp;[Emp1372]")</f>
        <v>Emp1372</v>
      </c>
      <c r="K394" s="36" t="str" vm="255">
        <f>CUBEMEMBER("ThisWorkbookDataModel",{"[Indian_Employee_Data].[Employee ID].&amp;[Emp1372]","[Indian_Employee_Data].[Insurance tier].&amp;[Silver]"})</f>
        <v>Silver</v>
      </c>
      <c r="L394" s="37" vm="1716">
        <f>CUBEVALUE("ThisWorkbookDataModel",$K394,L$29,Slicer_Department)</f>
        <v>60577</v>
      </c>
      <c r="M394" s="37" vm="1715">
        <f>CUBEVALUE("ThisWorkbookDataModel",$K394,M$29,Slicer_Department)</f>
        <v>2800</v>
      </c>
      <c r="N394" s="37" t="e">
        <f t="shared" si="31"/>
        <v>#N/A</v>
      </c>
      <c r="O394" s="37" vm="1715">
        <f t="shared" si="32"/>
        <v>2800</v>
      </c>
      <c r="P394" s="37" t="e">
        <f t="shared" si="33"/>
        <v>#N/A</v>
      </c>
      <c r="Q394" s="37" t="e">
        <f t="shared" si="34"/>
        <v>#N/A</v>
      </c>
      <c r="R394" s="37" vm="1716">
        <f t="shared" si="35"/>
        <v>60577</v>
      </c>
      <c r="S394" s="37" t="e">
        <f t="shared" si="36"/>
        <v>#N/A</v>
      </c>
    </row>
    <row r="395" spans="10:19" x14ac:dyDescent="0.25">
      <c r="J395" s="36" t="str" vm="254">
        <f>CUBEMEMBER("ThisWorkbookDataModel","[Indian_Employee_Data].[Employee ID].&amp;[Emp1373]")</f>
        <v>Emp1373</v>
      </c>
      <c r="K395" s="36" t="str" vm="253">
        <f>CUBEMEMBER("ThisWorkbookDataModel",{"[Indian_Employee_Data].[Employee ID].&amp;[Emp1373]","[Indian_Employee_Data].[Insurance tier].&amp;[Gold]"})</f>
        <v>Gold</v>
      </c>
      <c r="L395" s="37" vm="1718">
        <f>CUBEVALUE("ThisWorkbookDataModel",$K395,L$29,Slicer_Department)</f>
        <v>139527</v>
      </c>
      <c r="M395" s="37" vm="1717">
        <f>CUBEVALUE("ThisWorkbookDataModel",$K395,M$29,Slicer_Department)</f>
        <v>6750</v>
      </c>
      <c r="N395" s="37" t="e">
        <f t="shared" si="31"/>
        <v>#N/A</v>
      </c>
      <c r="O395" s="37" t="e">
        <f t="shared" si="32"/>
        <v>#N/A</v>
      </c>
      <c r="P395" s="37" vm="1717">
        <f t="shared" si="33"/>
        <v>6750</v>
      </c>
      <c r="Q395" s="37" t="e">
        <f t="shared" si="34"/>
        <v>#N/A</v>
      </c>
      <c r="R395" s="37" t="e">
        <f t="shared" si="35"/>
        <v>#N/A</v>
      </c>
      <c r="S395" s="37" vm="1718">
        <f t="shared" si="36"/>
        <v>139527</v>
      </c>
    </row>
    <row r="396" spans="10:19" x14ac:dyDescent="0.25">
      <c r="J396" s="36" t="str" vm="252">
        <f>CUBEMEMBER("ThisWorkbookDataModel","[Indian_Employee_Data].[Employee ID].&amp;[Emp1374]")</f>
        <v>Emp1374</v>
      </c>
      <c r="K396" s="36" t="str" vm="251">
        <f>CUBEMEMBER("ThisWorkbookDataModel",{"[Indian_Employee_Data].[Employee ID].&amp;[Emp1374]","[Indian_Employee_Data].[Insurance tier].&amp;[Bronze]"})</f>
        <v>Bronze</v>
      </c>
      <c r="L396" s="37" vm="1720">
        <f>CUBEVALUE("ThisWorkbookDataModel",$K396,L$29,Slicer_Department)</f>
        <v>56547</v>
      </c>
      <c r="M396" s="37" vm="1719">
        <f>CUBEVALUE("ThisWorkbookDataModel",$K396,M$29,Slicer_Department)</f>
        <v>1500</v>
      </c>
      <c r="N396" s="37" vm="1719">
        <f t="shared" si="31"/>
        <v>1500</v>
      </c>
      <c r="O396" s="37" t="e">
        <f t="shared" si="32"/>
        <v>#N/A</v>
      </c>
      <c r="P396" s="37" t="e">
        <f t="shared" si="33"/>
        <v>#N/A</v>
      </c>
      <c r="Q396" s="37" vm="1720">
        <f t="shared" si="34"/>
        <v>56547</v>
      </c>
      <c r="R396" s="37" t="e">
        <f t="shared" si="35"/>
        <v>#N/A</v>
      </c>
      <c r="S396" s="37" t="e">
        <f t="shared" si="36"/>
        <v>#N/A</v>
      </c>
    </row>
    <row r="397" spans="10:19" x14ac:dyDescent="0.25">
      <c r="J397" s="36" t="str" vm="250">
        <f>CUBEMEMBER("ThisWorkbookDataModel","[Indian_Employee_Data].[Employee ID].&amp;[Emp1375]")</f>
        <v>Emp1375</v>
      </c>
      <c r="K397" s="36" t="str" vm="249">
        <f>CUBEMEMBER("ThisWorkbookDataModel",{"[Indian_Employee_Data].[Employee ID].&amp;[Emp1375]","[Indian_Employee_Data].[Insurance tier].&amp;[Silver]"})</f>
        <v>Silver</v>
      </c>
      <c r="L397" s="37" vm="1722">
        <f>CUBEVALUE("ThisWorkbookDataModel",$K397,L$29,Slicer_Department)</f>
        <v>88075</v>
      </c>
      <c r="M397" s="37" vm="1721">
        <f>CUBEVALUE("ThisWorkbookDataModel",$K397,M$29,Slicer_Department)</f>
        <v>2800</v>
      </c>
      <c r="N397" s="37" t="e">
        <f t="shared" si="31"/>
        <v>#N/A</v>
      </c>
      <c r="O397" s="37" vm="1721">
        <f t="shared" si="32"/>
        <v>2800</v>
      </c>
      <c r="P397" s="37" t="e">
        <f t="shared" si="33"/>
        <v>#N/A</v>
      </c>
      <c r="Q397" s="37" t="e">
        <f t="shared" si="34"/>
        <v>#N/A</v>
      </c>
      <c r="R397" s="37" vm="1722">
        <f t="shared" si="35"/>
        <v>88075</v>
      </c>
      <c r="S397" s="37" t="e">
        <f t="shared" si="36"/>
        <v>#N/A</v>
      </c>
    </row>
    <row r="398" spans="10:19" x14ac:dyDescent="0.25">
      <c r="J398" s="36" t="str" vm="248">
        <f>CUBEMEMBER("ThisWorkbookDataModel","[Indian_Employee_Data].[Employee ID].&amp;[Emp1376]")</f>
        <v>Emp1376</v>
      </c>
      <c r="K398" s="36" t="str" vm="247">
        <f>CUBEMEMBER("ThisWorkbookDataModel",{"[Indian_Employee_Data].[Employee ID].&amp;[Emp1376]","[Indian_Employee_Data].[Insurance tier].&amp;[Gold]"})</f>
        <v>Gold</v>
      </c>
      <c r="L398" s="37" vm="1724">
        <f>CUBEVALUE("ThisWorkbookDataModel",$K398,L$29,Slicer_Department)</f>
        <v>172719</v>
      </c>
      <c r="M398" s="37" vm="1723">
        <f>CUBEVALUE("ThisWorkbookDataModel",$K398,M$29,Slicer_Department)</f>
        <v>6750</v>
      </c>
      <c r="N398" s="37" t="e">
        <f t="shared" si="31"/>
        <v>#N/A</v>
      </c>
      <c r="O398" s="37" t="e">
        <f t="shared" si="32"/>
        <v>#N/A</v>
      </c>
      <c r="P398" s="37" vm="1723">
        <f t="shared" si="33"/>
        <v>6750</v>
      </c>
      <c r="Q398" s="37" t="e">
        <f t="shared" si="34"/>
        <v>#N/A</v>
      </c>
      <c r="R398" s="37" t="e">
        <f t="shared" si="35"/>
        <v>#N/A</v>
      </c>
      <c r="S398" s="37" vm="1724">
        <f t="shared" si="36"/>
        <v>172719</v>
      </c>
    </row>
    <row r="399" spans="10:19" x14ac:dyDescent="0.25">
      <c r="J399" s="36" t="str" vm="246">
        <f>CUBEMEMBER("ThisWorkbookDataModel","[Indian_Employee_Data].[Employee ID].&amp;[Emp1377]")</f>
        <v>Emp1377</v>
      </c>
      <c r="K399" s="36" t="str" vm="245">
        <f>CUBEMEMBER("ThisWorkbookDataModel",{"[Indian_Employee_Data].[Employee ID].&amp;[Emp1377]","[Indian_Employee_Data].[Insurance tier].&amp;[Bronze]"})</f>
        <v>Bronze</v>
      </c>
      <c r="L399" s="37" vm="1726">
        <f>CUBEVALUE("ThisWorkbookDataModel",$K399,L$29,Slicer_Department)</f>
        <v>45178</v>
      </c>
      <c r="M399" s="37" vm="1725">
        <f>CUBEVALUE("ThisWorkbookDataModel",$K399,M$29,Slicer_Department)</f>
        <v>1500</v>
      </c>
      <c r="N399" s="37" vm="1725">
        <f t="shared" si="31"/>
        <v>1500</v>
      </c>
      <c r="O399" s="37" t="e">
        <f t="shared" si="32"/>
        <v>#N/A</v>
      </c>
      <c r="P399" s="37" t="e">
        <f t="shared" si="33"/>
        <v>#N/A</v>
      </c>
      <c r="Q399" s="37" vm="1726">
        <f t="shared" si="34"/>
        <v>45178</v>
      </c>
      <c r="R399" s="37" t="e">
        <f t="shared" si="35"/>
        <v>#N/A</v>
      </c>
      <c r="S399" s="37" t="e">
        <f t="shared" si="36"/>
        <v>#N/A</v>
      </c>
    </row>
    <row r="400" spans="10:19" x14ac:dyDescent="0.25">
      <c r="J400" s="36" t="str" vm="244">
        <f>CUBEMEMBER("ThisWorkbookDataModel","[Indian_Employee_Data].[Employee ID].&amp;[Emp1378]")</f>
        <v>Emp1378</v>
      </c>
      <c r="K400" s="36" t="str" vm="243">
        <f>CUBEMEMBER("ThisWorkbookDataModel",{"[Indian_Employee_Data].[Employee ID].&amp;[Emp1378]","[Indian_Employee_Data].[Insurance tier].&amp;[Gold]"})</f>
        <v>Gold</v>
      </c>
      <c r="L400" s="37" vm="1728">
        <f>CUBEVALUE("ThisWorkbookDataModel",$K400,L$29,Slicer_Department)</f>
        <v>165483</v>
      </c>
      <c r="M400" s="37" vm="1727">
        <f>CUBEVALUE("ThisWorkbookDataModel",$K400,M$29,Slicer_Department)</f>
        <v>9000</v>
      </c>
      <c r="N400" s="37" t="e">
        <f t="shared" si="31"/>
        <v>#N/A</v>
      </c>
      <c r="O400" s="37" t="e">
        <f t="shared" si="32"/>
        <v>#N/A</v>
      </c>
      <c r="P400" s="37" vm="1727">
        <f t="shared" si="33"/>
        <v>9000</v>
      </c>
      <c r="Q400" s="37" t="e">
        <f t="shared" si="34"/>
        <v>#N/A</v>
      </c>
      <c r="R400" s="37" t="e">
        <f t="shared" si="35"/>
        <v>#N/A</v>
      </c>
      <c r="S400" s="37" vm="1728">
        <f t="shared" si="36"/>
        <v>165483</v>
      </c>
    </row>
    <row r="401" spans="10:19" x14ac:dyDescent="0.25">
      <c r="J401" s="36" t="str" vm="242">
        <f>CUBEMEMBER("ThisWorkbookDataModel","[Indian_Employee_Data].[Employee ID].&amp;[Emp1379]")</f>
        <v>Emp1379</v>
      </c>
      <c r="K401" s="36" t="str" vm="241">
        <f>CUBEMEMBER("ThisWorkbookDataModel",{"[Indian_Employee_Data].[Employee ID].&amp;[Emp1379]","[Indian_Employee_Data].[Insurance tier].&amp;[Silver]"})</f>
        <v>Silver</v>
      </c>
      <c r="L401" s="37" vm="1730">
        <f>CUBEVALUE("ThisWorkbookDataModel",$K401,L$29,Slicer_Department)</f>
        <v>83721</v>
      </c>
      <c r="M401" s="37" vm="1729">
        <f>CUBEVALUE("ThisWorkbookDataModel",$K401,M$29,Slicer_Department)</f>
        <v>4200</v>
      </c>
      <c r="N401" s="37" t="e">
        <f t="shared" si="31"/>
        <v>#N/A</v>
      </c>
      <c r="O401" s="37" vm="1729">
        <f t="shared" si="32"/>
        <v>4200</v>
      </c>
      <c r="P401" s="37" t="e">
        <f t="shared" si="33"/>
        <v>#N/A</v>
      </c>
      <c r="Q401" s="37" t="e">
        <f t="shared" si="34"/>
        <v>#N/A</v>
      </c>
      <c r="R401" s="37" vm="1730">
        <f t="shared" si="35"/>
        <v>83721</v>
      </c>
      <c r="S401" s="37" t="e">
        <f t="shared" si="36"/>
        <v>#N/A</v>
      </c>
    </row>
    <row r="402" spans="10:19" x14ac:dyDescent="0.25">
      <c r="J402" s="36" t="str" vm="240">
        <f>CUBEMEMBER("ThisWorkbookDataModel","[Indian_Employee_Data].[Employee ID].&amp;[Emp1380]")</f>
        <v>Emp1380</v>
      </c>
      <c r="K402" s="36" t="str" vm="239">
        <f>CUBEMEMBER("ThisWorkbookDataModel",{"[Indian_Employee_Data].[Employee ID].&amp;[Emp1380]","[Indian_Employee_Data].[Insurance tier].&amp;[Silver]"})</f>
        <v>Silver</v>
      </c>
      <c r="L402" s="37" vm="1732">
        <f>CUBEVALUE("ThisWorkbookDataModel",$K402,L$29,Slicer_Department)</f>
        <v>64202</v>
      </c>
      <c r="M402" s="37" vm="1731">
        <f>CUBEVALUE("ThisWorkbookDataModel",$K402,M$29,Slicer_Department)</f>
        <v>2800</v>
      </c>
      <c r="N402" s="37" t="e">
        <f t="shared" si="31"/>
        <v>#N/A</v>
      </c>
      <c r="O402" s="37" vm="1731">
        <f t="shared" si="32"/>
        <v>2800</v>
      </c>
      <c r="P402" s="37" t="e">
        <f t="shared" si="33"/>
        <v>#N/A</v>
      </c>
      <c r="Q402" s="37" t="e">
        <f t="shared" si="34"/>
        <v>#N/A</v>
      </c>
      <c r="R402" s="37" vm="1732">
        <f t="shared" si="35"/>
        <v>64202</v>
      </c>
      <c r="S402" s="37" t="e">
        <f t="shared" si="36"/>
        <v>#N/A</v>
      </c>
    </row>
    <row r="403" spans="10:19" x14ac:dyDescent="0.25">
      <c r="J403" s="36" t="str" vm="238">
        <f>CUBEMEMBER("ThisWorkbookDataModel","[Indian_Employee_Data].[Employee ID].&amp;[Emp1381]")</f>
        <v>Emp1381</v>
      </c>
      <c r="K403" s="36" t="str" vm="237">
        <f>CUBEMEMBER("ThisWorkbookDataModel",{"[Indian_Employee_Data].[Employee ID].&amp;[Emp1381]","[Indian_Employee_Data].[Insurance tier].&amp;[Gold]"})</f>
        <v>Gold</v>
      </c>
      <c r="L403" s="37" vm="1734">
        <f>CUBEVALUE("ThisWorkbookDataModel",$K403,L$29,Slicer_Department)</f>
        <v>141946</v>
      </c>
      <c r="M403" s="37" vm="1733">
        <f>CUBEVALUE("ThisWorkbookDataModel",$K403,M$29,Slicer_Department)</f>
        <v>9000</v>
      </c>
      <c r="N403" s="37" t="e">
        <f t="shared" si="31"/>
        <v>#N/A</v>
      </c>
      <c r="O403" s="37" t="e">
        <f t="shared" si="32"/>
        <v>#N/A</v>
      </c>
      <c r="P403" s="37" vm="1733">
        <f t="shared" si="33"/>
        <v>9000</v>
      </c>
      <c r="Q403" s="37" t="e">
        <f t="shared" si="34"/>
        <v>#N/A</v>
      </c>
      <c r="R403" s="37" t="e">
        <f t="shared" si="35"/>
        <v>#N/A</v>
      </c>
      <c r="S403" s="37" vm="1734">
        <f t="shared" si="36"/>
        <v>141946</v>
      </c>
    </row>
    <row r="404" spans="10:19" x14ac:dyDescent="0.25">
      <c r="J404" s="36" t="str" vm="236">
        <f>CUBEMEMBER("ThisWorkbookDataModel","[Indian_Employee_Data].[Employee ID].&amp;[Emp1382]")</f>
        <v>Emp1382</v>
      </c>
      <c r="K404" s="36" t="str" vm="235">
        <f>CUBEMEMBER("ThisWorkbookDataModel",{"[Indian_Employee_Data].[Employee ID].&amp;[Emp1382]","[Indian_Employee_Data].[Insurance tier].&amp;[Gold]"})</f>
        <v>Gold</v>
      </c>
      <c r="L404" s="37" vm="1736">
        <f>CUBEVALUE("ThisWorkbookDataModel",$K404,L$29,Slicer_Department)</f>
        <v>130477</v>
      </c>
      <c r="M404" s="37" vm="1735">
        <f>CUBEVALUE("ThisWorkbookDataModel",$K404,M$29,Slicer_Department)</f>
        <v>6750</v>
      </c>
      <c r="N404" s="37" t="e">
        <f t="shared" si="31"/>
        <v>#N/A</v>
      </c>
      <c r="O404" s="37" t="e">
        <f t="shared" si="32"/>
        <v>#N/A</v>
      </c>
      <c r="P404" s="37" vm="1735">
        <f t="shared" si="33"/>
        <v>6750</v>
      </c>
      <c r="Q404" s="37" t="e">
        <f t="shared" si="34"/>
        <v>#N/A</v>
      </c>
      <c r="R404" s="37" t="e">
        <f t="shared" si="35"/>
        <v>#N/A</v>
      </c>
      <c r="S404" s="37" vm="1736">
        <f t="shared" si="36"/>
        <v>130477</v>
      </c>
    </row>
    <row r="405" spans="10:19" x14ac:dyDescent="0.25">
      <c r="J405" s="36" t="str" vm="234">
        <f>CUBEMEMBER("ThisWorkbookDataModel","[Indian_Employee_Data].[Employee ID].&amp;[Emp1383]")</f>
        <v>Emp1383</v>
      </c>
      <c r="K405" s="36" t="str" vm="233">
        <f>CUBEMEMBER("ThisWorkbookDataModel",{"[Indian_Employee_Data].[Employee ID].&amp;[Emp1383]","[Indian_Employee_Data].[Insurance tier].&amp;[Gold]"})</f>
        <v>Gold</v>
      </c>
      <c r="L405" s="37" vm="1738">
        <f>CUBEVALUE("ThisWorkbookDataModel",$K405,L$29,Slicer_Department)</f>
        <v>181317</v>
      </c>
      <c r="M405" s="37" vm="1737">
        <f>CUBEVALUE("ThisWorkbookDataModel",$K405,M$29,Slicer_Department)</f>
        <v>9000</v>
      </c>
      <c r="N405" s="37" t="e">
        <f t="shared" si="31"/>
        <v>#N/A</v>
      </c>
      <c r="O405" s="37" t="e">
        <f t="shared" si="32"/>
        <v>#N/A</v>
      </c>
      <c r="P405" s="37" vm="1737">
        <f t="shared" si="33"/>
        <v>9000</v>
      </c>
      <c r="Q405" s="37" t="e">
        <f t="shared" si="34"/>
        <v>#N/A</v>
      </c>
      <c r="R405" s="37" t="e">
        <f t="shared" si="35"/>
        <v>#N/A</v>
      </c>
      <c r="S405" s="37" vm="1738">
        <f t="shared" si="36"/>
        <v>181317</v>
      </c>
    </row>
    <row r="406" spans="10:19" x14ac:dyDescent="0.25">
      <c r="J406" s="36" t="str" vm="232">
        <f>CUBEMEMBER("ThisWorkbookDataModel","[Indian_Employee_Data].[Employee ID].&amp;[Emp1384]")</f>
        <v>Emp1384</v>
      </c>
      <c r="K406" s="36" t="str" vm="231">
        <f>CUBEMEMBER("ThisWorkbookDataModel",{"[Indian_Employee_Data].[Employee ID].&amp;[Emp1384]","[Indian_Employee_Data].[Insurance tier].&amp;[Gold]"})</f>
        <v>Gold</v>
      </c>
      <c r="L406" s="37" vm="1740">
        <f>CUBEVALUE("ThisWorkbookDataModel",$K406,L$29,Slicer_Department)</f>
        <v>149006</v>
      </c>
      <c r="M406" s="37" vm="1739">
        <f>CUBEVALUE("ThisWorkbookDataModel",$K406,M$29,Slicer_Department)</f>
        <v>9000</v>
      </c>
      <c r="N406" s="37" t="e">
        <f t="shared" si="31"/>
        <v>#N/A</v>
      </c>
      <c r="O406" s="37" t="e">
        <f t="shared" si="32"/>
        <v>#N/A</v>
      </c>
      <c r="P406" s="37" vm="1739">
        <f t="shared" si="33"/>
        <v>9000</v>
      </c>
      <c r="Q406" s="37" t="e">
        <f t="shared" si="34"/>
        <v>#N/A</v>
      </c>
      <c r="R406" s="37" t="e">
        <f t="shared" si="35"/>
        <v>#N/A</v>
      </c>
      <c r="S406" s="37" vm="1740">
        <f t="shared" si="36"/>
        <v>149006</v>
      </c>
    </row>
    <row r="407" spans="10:19" x14ac:dyDescent="0.25">
      <c r="J407" s="36" t="str" vm="230">
        <f>CUBEMEMBER("ThisWorkbookDataModel","[Indian_Employee_Data].[Employee ID].&amp;[Emp1385]")</f>
        <v>Emp1385</v>
      </c>
      <c r="K407" s="36" t="str" vm="229">
        <f>CUBEMEMBER("ThisWorkbookDataModel",{"[Indian_Employee_Data].[Employee ID].&amp;[Emp1385]","[Indian_Employee_Data].[Insurance tier].&amp;[Gold]"})</f>
        <v>Gold</v>
      </c>
      <c r="L407" s="37" vm="1742">
        <f>CUBEVALUE("ThisWorkbookDataModel",$K407,L$29,Slicer_Department)</f>
        <v>163017</v>
      </c>
      <c r="M407" s="37" vm="1741">
        <f>CUBEVALUE("ThisWorkbookDataModel",$K407,M$29,Slicer_Department)</f>
        <v>6750</v>
      </c>
      <c r="N407" s="37" t="e">
        <f t="shared" si="31"/>
        <v>#N/A</v>
      </c>
      <c r="O407" s="37" t="e">
        <f t="shared" si="32"/>
        <v>#N/A</v>
      </c>
      <c r="P407" s="37" vm="1741">
        <f t="shared" si="33"/>
        <v>6750</v>
      </c>
      <c r="Q407" s="37" t="e">
        <f t="shared" si="34"/>
        <v>#N/A</v>
      </c>
      <c r="R407" s="37" t="e">
        <f t="shared" si="35"/>
        <v>#N/A</v>
      </c>
      <c r="S407" s="37" vm="1742">
        <f t="shared" si="36"/>
        <v>163017</v>
      </c>
    </row>
    <row r="408" spans="10:19" x14ac:dyDescent="0.25">
      <c r="J408" s="36" t="str" vm="228">
        <f>CUBEMEMBER("ThisWorkbookDataModel","[Indian_Employee_Data].[Employee ID].&amp;[Emp1386]")</f>
        <v>Emp1386</v>
      </c>
      <c r="K408" s="36" t="str" vm="227">
        <f>CUBEMEMBER("ThisWorkbookDataModel",{"[Indian_Employee_Data].[Employee ID].&amp;[Emp1386]","[Indian_Employee_Data].[Insurance tier].&amp;[Silver]"})</f>
        <v>Silver</v>
      </c>
      <c r="L408" s="37" vm="1744">
        <f>CUBEVALUE("ThisWorkbookDataModel",$K408,L$29,Slicer_Department)</f>
        <v>83742</v>
      </c>
      <c r="M408" s="37" vm="1743">
        <f>CUBEVALUE("ThisWorkbookDataModel",$K408,M$29,Slicer_Department)</f>
        <v>2800</v>
      </c>
      <c r="N408" s="37" t="e">
        <f t="shared" si="31"/>
        <v>#N/A</v>
      </c>
      <c r="O408" s="37" vm="1743">
        <f t="shared" si="32"/>
        <v>2800</v>
      </c>
      <c r="P408" s="37" t="e">
        <f t="shared" si="33"/>
        <v>#N/A</v>
      </c>
      <c r="Q408" s="37" t="e">
        <f t="shared" si="34"/>
        <v>#N/A</v>
      </c>
      <c r="R408" s="37" vm="1744">
        <f t="shared" si="35"/>
        <v>83742</v>
      </c>
      <c r="S408" s="37" t="e">
        <f t="shared" si="36"/>
        <v>#N/A</v>
      </c>
    </row>
    <row r="409" spans="10:19" x14ac:dyDescent="0.25">
      <c r="J409" s="36" t="str" vm="226">
        <f>CUBEMEMBER("ThisWorkbookDataModel","[Indian_Employee_Data].[Employee ID].&amp;[Emp1387]")</f>
        <v>Emp1387</v>
      </c>
      <c r="K409" s="36" t="str" vm="225">
        <f>CUBEMEMBER("ThisWorkbookDataModel",{"[Indian_Employee_Data].[Employee ID].&amp;[Emp1387]","[Indian_Employee_Data].[Insurance tier].&amp;[Silver]"})</f>
        <v>Silver</v>
      </c>
      <c r="L409" s="37" vm="1746">
        <f>CUBEVALUE("ThisWorkbookDataModel",$K409,L$29,Slicer_Department)</f>
        <v>71912</v>
      </c>
      <c r="M409" s="37" vm="1745">
        <f>CUBEVALUE("ThisWorkbookDataModel",$K409,M$29,Slicer_Department)</f>
        <v>2800</v>
      </c>
      <c r="N409" s="37" t="e">
        <f t="shared" si="31"/>
        <v>#N/A</v>
      </c>
      <c r="O409" s="37" vm="1745">
        <f t="shared" si="32"/>
        <v>2800</v>
      </c>
      <c r="P409" s="37" t="e">
        <f t="shared" si="33"/>
        <v>#N/A</v>
      </c>
      <c r="Q409" s="37" t="e">
        <f t="shared" si="34"/>
        <v>#N/A</v>
      </c>
      <c r="R409" s="37" vm="1746">
        <f t="shared" si="35"/>
        <v>71912</v>
      </c>
      <c r="S409" s="37" t="e">
        <f t="shared" si="36"/>
        <v>#N/A</v>
      </c>
    </row>
    <row r="410" spans="10:19" x14ac:dyDescent="0.25">
      <c r="J410" s="36" t="str" vm="224">
        <f>CUBEMEMBER("ThisWorkbookDataModel","[Indian_Employee_Data].[Employee ID].&amp;[Emp1388]")</f>
        <v>Emp1388</v>
      </c>
      <c r="K410" s="36" t="str" vm="223">
        <f>CUBEMEMBER("ThisWorkbookDataModel",{"[Indian_Employee_Data].[Employee ID].&amp;[Emp1388]","[Indian_Employee_Data].[Insurance tier].&amp;[Gold]"})</f>
        <v>Gold</v>
      </c>
      <c r="L410" s="37" vm="1748">
        <f>CUBEVALUE("ThisWorkbookDataModel",$K410,L$29,Slicer_Department)</f>
        <v>152013</v>
      </c>
      <c r="M410" s="37" vm="1747">
        <f>CUBEVALUE("ThisWorkbookDataModel",$K410,M$29,Slicer_Department)</f>
        <v>6750</v>
      </c>
      <c r="N410" s="37" t="e">
        <f t="shared" si="31"/>
        <v>#N/A</v>
      </c>
      <c r="O410" s="37" t="e">
        <f t="shared" si="32"/>
        <v>#N/A</v>
      </c>
      <c r="P410" s="37" vm="1747">
        <f t="shared" si="33"/>
        <v>6750</v>
      </c>
      <c r="Q410" s="37" t="e">
        <f t="shared" si="34"/>
        <v>#N/A</v>
      </c>
      <c r="R410" s="37" t="e">
        <f t="shared" si="35"/>
        <v>#N/A</v>
      </c>
      <c r="S410" s="37" vm="1748">
        <f t="shared" si="36"/>
        <v>152013</v>
      </c>
    </row>
    <row r="411" spans="10:19" x14ac:dyDescent="0.25">
      <c r="J411" s="36" t="str" vm="222">
        <f>CUBEMEMBER("ThisWorkbookDataModel","[Indian_Employee_Data].[Employee ID].&amp;[Emp1389]")</f>
        <v>Emp1389</v>
      </c>
      <c r="K411" s="36" t="str" vm="221">
        <f>CUBEMEMBER("ThisWorkbookDataModel",{"[Indian_Employee_Data].[Employee ID].&amp;[Emp1389]","[Indian_Employee_Data].[Insurance tier].&amp;[Gold]"})</f>
        <v>Gold</v>
      </c>
      <c r="L411" s="37" vm="1750">
        <f>CUBEVALUE("ThisWorkbookDataModel",$K411,L$29,Slicer_Department)</f>
        <v>163762</v>
      </c>
      <c r="M411" s="37" vm="1749">
        <f>CUBEVALUE("ThisWorkbookDataModel",$K411,M$29,Slicer_Department)</f>
        <v>6750</v>
      </c>
      <c r="N411" s="37" t="e">
        <f t="shared" si="31"/>
        <v>#N/A</v>
      </c>
      <c r="O411" s="37" t="e">
        <f t="shared" si="32"/>
        <v>#N/A</v>
      </c>
      <c r="P411" s="37" vm="1749">
        <f t="shared" si="33"/>
        <v>6750</v>
      </c>
      <c r="Q411" s="37" t="e">
        <f t="shared" si="34"/>
        <v>#N/A</v>
      </c>
      <c r="R411" s="37" t="e">
        <f t="shared" si="35"/>
        <v>#N/A</v>
      </c>
      <c r="S411" s="37" vm="1750">
        <f t="shared" si="36"/>
        <v>163762</v>
      </c>
    </row>
    <row r="412" spans="10:19" x14ac:dyDescent="0.25">
      <c r="J412" s="36" t="str" vm="220">
        <f>CUBEMEMBER("ThisWorkbookDataModel","[Indian_Employee_Data].[Employee ID].&amp;[Emp1390]")</f>
        <v>Emp1390</v>
      </c>
      <c r="K412" s="36" t="str" vm="219">
        <f>CUBEMEMBER("ThisWorkbookDataModel",{"[Indian_Employee_Data].[Employee ID].&amp;[Emp1390]","[Indian_Employee_Data].[Insurance tier].&amp;[Gold]"})</f>
        <v>Gold</v>
      </c>
      <c r="L412" s="37" vm="1752">
        <f>CUBEVALUE("ThisWorkbookDataModel",$K412,L$29,Slicer_Department)</f>
        <v>230880</v>
      </c>
      <c r="M412" s="37" vm="1751">
        <f>CUBEVALUE("ThisWorkbookDataModel",$K412,M$29,Slicer_Department)</f>
        <v>6750</v>
      </c>
      <c r="N412" s="37" t="e">
        <f t="shared" si="31"/>
        <v>#N/A</v>
      </c>
      <c r="O412" s="37" t="e">
        <f t="shared" si="32"/>
        <v>#N/A</v>
      </c>
      <c r="P412" s="37" vm="1751">
        <f t="shared" si="33"/>
        <v>6750</v>
      </c>
      <c r="Q412" s="37" t="e">
        <f t="shared" si="34"/>
        <v>#N/A</v>
      </c>
      <c r="R412" s="37" t="e">
        <f t="shared" si="35"/>
        <v>#N/A</v>
      </c>
      <c r="S412" s="37" vm="1752">
        <f t="shared" si="36"/>
        <v>230880</v>
      </c>
    </row>
    <row r="413" spans="10:19" x14ac:dyDescent="0.25">
      <c r="J413" s="36" t="str" vm="218">
        <f>CUBEMEMBER("ThisWorkbookDataModel","[Indian_Employee_Data].[Employee ID].&amp;[Emp1391]")</f>
        <v>Emp1391</v>
      </c>
      <c r="K413" s="36" t="str" vm="217">
        <f>CUBEMEMBER("ThisWorkbookDataModel",{"[Indian_Employee_Data].[Employee ID].&amp;[Emp1391]","[Indian_Employee_Data].[Insurance tier].&amp;[Silver]"})</f>
        <v>Silver</v>
      </c>
      <c r="L413" s="37" vm="1754">
        <f>CUBEVALUE("ThisWorkbookDataModel",$K413,L$29,Slicer_Department)</f>
        <v>99619</v>
      </c>
      <c r="M413" s="37" vm="1753">
        <f>CUBEVALUE("ThisWorkbookDataModel",$K413,M$29,Slicer_Department)</f>
        <v>4200</v>
      </c>
      <c r="N413" s="37" t="e">
        <f t="shared" si="31"/>
        <v>#N/A</v>
      </c>
      <c r="O413" s="37" vm="1753">
        <f t="shared" si="32"/>
        <v>4200</v>
      </c>
      <c r="P413" s="37" t="e">
        <f t="shared" si="33"/>
        <v>#N/A</v>
      </c>
      <c r="Q413" s="37" t="e">
        <f t="shared" si="34"/>
        <v>#N/A</v>
      </c>
      <c r="R413" s="37" vm="1754">
        <f t="shared" si="35"/>
        <v>99619</v>
      </c>
      <c r="S413" s="37" t="e">
        <f t="shared" si="36"/>
        <v>#N/A</v>
      </c>
    </row>
    <row r="414" spans="10:19" x14ac:dyDescent="0.25">
      <c r="J414" s="36" t="str" vm="216">
        <f>CUBEMEMBER("ThisWorkbookDataModel","[Indian_Employee_Data].[Employee ID].&amp;[Emp1392]")</f>
        <v>Emp1392</v>
      </c>
      <c r="K414" s="36" t="str" vm="215">
        <f>CUBEMEMBER("ThisWorkbookDataModel",{"[Indian_Employee_Data].[Employee ID].&amp;[Emp1392]","[Indian_Employee_Data].[Insurance tier].&amp;[Silver]"})</f>
        <v>Silver</v>
      </c>
      <c r="L414" s="37" vm="1756">
        <f>CUBEVALUE("ThisWorkbookDataModel",$K414,L$29,Slicer_Department)</f>
        <v>94509</v>
      </c>
      <c r="M414" s="37" vm="1755">
        <f>CUBEVALUE("ThisWorkbookDataModel",$K414,M$29,Slicer_Department)</f>
        <v>2800</v>
      </c>
      <c r="N414" s="37" t="e">
        <f t="shared" ref="N414:N477" si="37">IF(AND($K414="Bronze",ISNUMBER($L414),ISNUMBER($M414)),$M414,NA())</f>
        <v>#N/A</v>
      </c>
      <c r="O414" s="37" vm="1755">
        <f t="shared" ref="O414:O477" si="38">IF(AND($K414="Silver",ISNUMBER($L414),ISNUMBER($M414)),$M414,NA())</f>
        <v>2800</v>
      </c>
      <c r="P414" s="37" t="e">
        <f t="shared" ref="P414:P477" si="39">IF(AND($K414="Gold",ISNUMBER($L414),ISNUMBER($M414)),$M414,NA())</f>
        <v>#N/A</v>
      </c>
      <c r="Q414" s="37" t="e">
        <f t="shared" ref="Q414:Q477" si="40">IF(AND($K414="Bronze",ISNUMBER($L414),ISNUMBER($N414)),$L414,NA())</f>
        <v>#N/A</v>
      </c>
      <c r="R414" s="37" vm="1756">
        <f t="shared" ref="R414:R477" si="41">IF(AND($K414="Silver",ISNUMBER($L414),ISNUMBER($O414)),$L414,NA())</f>
        <v>94509</v>
      </c>
      <c r="S414" s="37" t="e">
        <f t="shared" ref="S414:S477" si="42">IF(AND($K414="Gold",ISNUMBER($L414),ISNUMBER($P414)),$L414,NA())</f>
        <v>#N/A</v>
      </c>
    </row>
    <row r="415" spans="10:19" x14ac:dyDescent="0.25">
      <c r="J415" s="36" t="str" vm="214">
        <f>CUBEMEMBER("ThisWorkbookDataModel","[Indian_Employee_Data].[Employee ID].&amp;[Emp1393]")</f>
        <v>Emp1393</v>
      </c>
      <c r="K415" s="36" t="str" vm="213">
        <f>CUBEMEMBER("ThisWorkbookDataModel",{"[Indian_Employee_Data].[Employee ID].&amp;[Emp1393]","[Indian_Employee_Data].[Insurance tier].&amp;[Gold]"})</f>
        <v>Gold</v>
      </c>
      <c r="L415" s="37" vm="1758">
        <f>CUBEVALUE("ThisWorkbookDataModel",$K415,L$29,Slicer_Department)</f>
        <v>157220</v>
      </c>
      <c r="M415" s="37" vm="1757">
        <f>CUBEVALUE("ThisWorkbookDataModel",$K415,M$29,Slicer_Department)</f>
        <v>9000</v>
      </c>
      <c r="N415" s="37" t="e">
        <f t="shared" si="37"/>
        <v>#N/A</v>
      </c>
      <c r="O415" s="37" t="e">
        <f t="shared" si="38"/>
        <v>#N/A</v>
      </c>
      <c r="P415" s="37" vm="1757">
        <f t="shared" si="39"/>
        <v>9000</v>
      </c>
      <c r="Q415" s="37" t="e">
        <f t="shared" si="40"/>
        <v>#N/A</v>
      </c>
      <c r="R415" s="37" t="e">
        <f t="shared" si="41"/>
        <v>#N/A</v>
      </c>
      <c r="S415" s="37" vm="1758">
        <f t="shared" si="42"/>
        <v>157220</v>
      </c>
    </row>
    <row r="416" spans="10:19" x14ac:dyDescent="0.25">
      <c r="J416" s="36" t="str" vm="212">
        <f>CUBEMEMBER("ThisWorkbookDataModel","[Indian_Employee_Data].[Employee ID].&amp;[Emp1394]")</f>
        <v>Emp1394</v>
      </c>
      <c r="K416" s="36" t="str" vm="211">
        <f>CUBEMEMBER("ThisWorkbookDataModel",{"[Indian_Employee_Data].[Employee ID].&amp;[Emp1394]","[Indian_Employee_Data].[Insurance tier].&amp;[Silver]"})</f>
        <v>Silver</v>
      </c>
      <c r="L416" s="37" vm="1760">
        <f>CUBEVALUE("ThisWorkbookDataModel",$K416,L$29,Slicer_Department)</f>
        <v>90691</v>
      </c>
      <c r="M416" s="37" vm="1759">
        <f>CUBEVALUE("ThisWorkbookDataModel",$K416,M$29,Slicer_Department)</f>
        <v>4200</v>
      </c>
      <c r="N416" s="37" t="e">
        <f t="shared" si="37"/>
        <v>#N/A</v>
      </c>
      <c r="O416" s="37" vm="1759">
        <f t="shared" si="38"/>
        <v>4200</v>
      </c>
      <c r="P416" s="37" t="e">
        <f t="shared" si="39"/>
        <v>#N/A</v>
      </c>
      <c r="Q416" s="37" t="e">
        <f t="shared" si="40"/>
        <v>#N/A</v>
      </c>
      <c r="R416" s="37" vm="1760">
        <f t="shared" si="41"/>
        <v>90691</v>
      </c>
      <c r="S416" s="37" t="e">
        <f t="shared" si="42"/>
        <v>#N/A</v>
      </c>
    </row>
    <row r="417" spans="10:19" x14ac:dyDescent="0.25">
      <c r="J417" s="36" t="str" vm="210">
        <f>CUBEMEMBER("ThisWorkbookDataModel","[Indian_Employee_Data].[Employee ID].&amp;[Emp1395]")</f>
        <v>Emp1395</v>
      </c>
      <c r="K417" s="36" t="str" vm="209">
        <f>CUBEMEMBER("ThisWorkbookDataModel",{"[Indian_Employee_Data].[Employee ID].&amp;[Emp1395]","[Indian_Employee_Data].[Insurance tier].&amp;[Gold]"})</f>
        <v>Gold</v>
      </c>
      <c r="L417" s="37" vm="1762">
        <f>CUBEVALUE("ThisWorkbookDataModel",$K417,L$29,Slicer_Department)</f>
        <v>198368</v>
      </c>
      <c r="M417" s="37" vm="1761">
        <f>CUBEVALUE("ThisWorkbookDataModel",$K417,M$29,Slicer_Department)</f>
        <v>6750</v>
      </c>
      <c r="N417" s="37" t="e">
        <f t="shared" si="37"/>
        <v>#N/A</v>
      </c>
      <c r="O417" s="37" t="e">
        <f t="shared" si="38"/>
        <v>#N/A</v>
      </c>
      <c r="P417" s="37" vm="1761">
        <f t="shared" si="39"/>
        <v>6750</v>
      </c>
      <c r="Q417" s="37" t="e">
        <f t="shared" si="40"/>
        <v>#N/A</v>
      </c>
      <c r="R417" s="37" t="e">
        <f t="shared" si="41"/>
        <v>#N/A</v>
      </c>
      <c r="S417" s="37" vm="1762">
        <f t="shared" si="42"/>
        <v>198368</v>
      </c>
    </row>
    <row r="418" spans="10:19" x14ac:dyDescent="0.25">
      <c r="J418" s="36" t="str" vm="208">
        <f>CUBEMEMBER("ThisWorkbookDataModel","[Indian_Employee_Data].[Employee ID].&amp;[Emp1396]")</f>
        <v>Emp1396</v>
      </c>
      <c r="K418" s="36" t="str" vm="207">
        <f>CUBEMEMBER("ThisWorkbookDataModel",{"[Indian_Employee_Data].[Employee ID].&amp;[Emp1396]","[Indian_Employee_Data].[Insurance tier].&amp;[Gold]"})</f>
        <v>Gold</v>
      </c>
      <c r="L418" s="37" vm="1764">
        <f>CUBEVALUE("ThisWorkbookDataModel",$K418,L$29,Slicer_Department)</f>
        <v>176168</v>
      </c>
      <c r="M418" s="37" vm="1763">
        <f>CUBEVALUE("ThisWorkbookDataModel",$K418,M$29,Slicer_Department)</f>
        <v>6750</v>
      </c>
      <c r="N418" s="37" t="e">
        <f t="shared" si="37"/>
        <v>#N/A</v>
      </c>
      <c r="O418" s="37" t="e">
        <f t="shared" si="38"/>
        <v>#N/A</v>
      </c>
      <c r="P418" s="37" vm="1763">
        <f t="shared" si="39"/>
        <v>6750</v>
      </c>
      <c r="Q418" s="37" t="e">
        <f t="shared" si="40"/>
        <v>#N/A</v>
      </c>
      <c r="R418" s="37" t="e">
        <f t="shared" si="41"/>
        <v>#N/A</v>
      </c>
      <c r="S418" s="37" vm="1764">
        <f t="shared" si="42"/>
        <v>176168</v>
      </c>
    </row>
    <row r="419" spans="10:19" x14ac:dyDescent="0.25">
      <c r="J419" s="36" t="str" vm="206">
        <f>CUBEMEMBER("ThisWorkbookDataModel","[Indian_Employee_Data].[Employee ID].&amp;[Emp1397]")</f>
        <v>Emp1397</v>
      </c>
      <c r="K419" s="36" t="str" vm="205">
        <f>CUBEMEMBER("ThisWorkbookDataModel",{"[Indian_Employee_Data].[Employee ID].&amp;[Emp1397]","[Indian_Employee_Data].[Insurance tier].&amp;[Silver]"})</f>
        <v>Silver</v>
      </c>
      <c r="L419" s="37" vm="1766">
        <f>CUBEVALUE("ThisWorkbookDataModel",$K419,L$29,Slicer_Department)</f>
        <v>101730</v>
      </c>
      <c r="M419" s="37" vm="1765">
        <f>CUBEVALUE("ThisWorkbookDataModel",$K419,M$29,Slicer_Department)</f>
        <v>2800</v>
      </c>
      <c r="N419" s="37" t="e">
        <f t="shared" si="37"/>
        <v>#N/A</v>
      </c>
      <c r="O419" s="37" vm="1765">
        <f t="shared" si="38"/>
        <v>2800</v>
      </c>
      <c r="P419" s="37" t="e">
        <f t="shared" si="39"/>
        <v>#N/A</v>
      </c>
      <c r="Q419" s="37" t="e">
        <f t="shared" si="40"/>
        <v>#N/A</v>
      </c>
      <c r="R419" s="37" vm="1766">
        <f t="shared" si="41"/>
        <v>101730</v>
      </c>
      <c r="S419" s="37" t="e">
        <f t="shared" si="42"/>
        <v>#N/A</v>
      </c>
    </row>
    <row r="420" spans="10:19" x14ac:dyDescent="0.25">
      <c r="J420" s="36" t="str" vm="204">
        <f>CUBEMEMBER("ThisWorkbookDataModel","[Indian_Employee_Data].[Employee ID].&amp;[Emp1398]")</f>
        <v>Emp1398</v>
      </c>
      <c r="K420" s="36" t="str" vm="203">
        <f>CUBEMEMBER("ThisWorkbookDataModel",{"[Indian_Employee_Data].[Employee ID].&amp;[Emp1398]","[Indian_Employee_Data].[Insurance tier].&amp;[Gold]"})</f>
        <v>Gold</v>
      </c>
      <c r="L420" s="37" vm="1768">
        <f>CUBEVALUE("ThisWorkbookDataModel",$K420,L$29,Slicer_Department)</f>
        <v>152063</v>
      </c>
      <c r="M420" s="37" vm="1767">
        <f>CUBEVALUE("ThisWorkbookDataModel",$K420,M$29,Slicer_Department)</f>
        <v>6750</v>
      </c>
      <c r="N420" s="37" t="e">
        <f t="shared" si="37"/>
        <v>#N/A</v>
      </c>
      <c r="O420" s="37" t="e">
        <f t="shared" si="38"/>
        <v>#N/A</v>
      </c>
      <c r="P420" s="37" vm="1767">
        <f t="shared" si="39"/>
        <v>6750</v>
      </c>
      <c r="Q420" s="37" t="e">
        <f t="shared" si="40"/>
        <v>#N/A</v>
      </c>
      <c r="R420" s="37" t="e">
        <f t="shared" si="41"/>
        <v>#N/A</v>
      </c>
      <c r="S420" s="37" vm="1768">
        <f t="shared" si="42"/>
        <v>152063</v>
      </c>
    </row>
    <row r="421" spans="10:19" x14ac:dyDescent="0.25">
      <c r="J421" s="36" t="str" vm="202">
        <f>CUBEMEMBER("ThisWorkbookDataModel","[Indian_Employee_Data].[Employee ID].&amp;[Emp1399]")</f>
        <v>Emp1399</v>
      </c>
      <c r="K421" s="36" t="str" vm="201">
        <f>CUBEMEMBER("ThisWorkbookDataModel",{"[Indian_Employee_Data].[Employee ID].&amp;[Emp1399]","[Indian_Employee_Data].[Insurance tier].&amp;[Gold]"})</f>
        <v>Gold</v>
      </c>
      <c r="L421" s="37" vm="1770">
        <f>CUBEVALUE("ThisWorkbookDataModel",$K421,L$29,Slicer_Department)</f>
        <v>152788</v>
      </c>
      <c r="M421" s="37" vm="1769">
        <f>CUBEVALUE("ThisWorkbookDataModel",$K421,M$29,Slicer_Department)</f>
        <v>9000</v>
      </c>
      <c r="N421" s="37" t="e">
        <f t="shared" si="37"/>
        <v>#N/A</v>
      </c>
      <c r="O421" s="37" t="e">
        <f t="shared" si="38"/>
        <v>#N/A</v>
      </c>
      <c r="P421" s="37" vm="1769">
        <f t="shared" si="39"/>
        <v>9000</v>
      </c>
      <c r="Q421" s="37" t="e">
        <f t="shared" si="40"/>
        <v>#N/A</v>
      </c>
      <c r="R421" s="37" t="e">
        <f t="shared" si="41"/>
        <v>#N/A</v>
      </c>
      <c r="S421" s="37" vm="1770">
        <f t="shared" si="42"/>
        <v>152788</v>
      </c>
    </row>
    <row r="422" spans="10:19" x14ac:dyDescent="0.25">
      <c r="J422" s="36" t="str" vm="200">
        <f>CUBEMEMBER("ThisWorkbookDataModel","[Indian_Employee_Data].[Employee ID].&amp;[Emp1400]")</f>
        <v>Emp1400</v>
      </c>
      <c r="K422" s="36" t="str" vm="199">
        <f>CUBEMEMBER("ThisWorkbookDataModel",{"[Indian_Employee_Data].[Employee ID].&amp;[Emp1400]","[Indian_Employee_Data].[Insurance tier].&amp;[Silver]"})</f>
        <v>Silver</v>
      </c>
      <c r="L422" s="37" vm="1772">
        <f>CUBEVALUE("ThisWorkbookDataModel",$K422,L$29,Slicer_Department)</f>
        <v>61951</v>
      </c>
      <c r="M422" s="37" vm="1771">
        <f>CUBEVALUE("ThisWorkbookDataModel",$K422,M$29,Slicer_Department)</f>
        <v>2800</v>
      </c>
      <c r="N422" s="37" t="e">
        <f t="shared" si="37"/>
        <v>#N/A</v>
      </c>
      <c r="O422" s="37" vm="1771">
        <f t="shared" si="38"/>
        <v>2800</v>
      </c>
      <c r="P422" s="37" t="e">
        <f t="shared" si="39"/>
        <v>#N/A</v>
      </c>
      <c r="Q422" s="37" t="e">
        <f t="shared" si="40"/>
        <v>#N/A</v>
      </c>
      <c r="R422" s="37" vm="1772">
        <f t="shared" si="41"/>
        <v>61951</v>
      </c>
      <c r="S422" s="37" t="e">
        <f t="shared" si="42"/>
        <v>#N/A</v>
      </c>
    </row>
    <row r="423" spans="10:19" x14ac:dyDescent="0.25">
      <c r="J423" s="36" t="str" vm="198">
        <f>CUBEMEMBER("ThisWorkbookDataModel","[Indian_Employee_Data].[Employee ID].&amp;[Emp1401]")</f>
        <v>Emp1401</v>
      </c>
      <c r="K423" s="36" t="str" vm="197">
        <f>CUBEMEMBER("ThisWorkbookDataModel",{"[Indian_Employee_Data].[Employee ID].&amp;[Emp1401]","[Indian_Employee_Data].[Insurance tier].&amp;[Gold]"})</f>
        <v>Gold</v>
      </c>
      <c r="L423" s="37" vm="1774">
        <f>CUBEVALUE("ThisWorkbookDataModel",$K423,L$29,Slicer_Department)</f>
        <v>188748</v>
      </c>
      <c r="M423" s="37" vm="1773">
        <f>CUBEVALUE("ThisWorkbookDataModel",$K423,M$29,Slicer_Department)</f>
        <v>6750</v>
      </c>
      <c r="N423" s="37" t="e">
        <f t="shared" si="37"/>
        <v>#N/A</v>
      </c>
      <c r="O423" s="37" t="e">
        <f t="shared" si="38"/>
        <v>#N/A</v>
      </c>
      <c r="P423" s="37" vm="1773">
        <f t="shared" si="39"/>
        <v>6750</v>
      </c>
      <c r="Q423" s="37" t="e">
        <f t="shared" si="40"/>
        <v>#N/A</v>
      </c>
      <c r="R423" s="37" t="e">
        <f t="shared" si="41"/>
        <v>#N/A</v>
      </c>
      <c r="S423" s="37" vm="1774">
        <f t="shared" si="42"/>
        <v>188748</v>
      </c>
    </row>
    <row r="424" spans="10:19" x14ac:dyDescent="0.25">
      <c r="J424" s="36" t="str" vm="196">
        <f>CUBEMEMBER("ThisWorkbookDataModel","[Indian_Employee_Data].[Employee ID].&amp;[Emp1402]")</f>
        <v>Emp1402</v>
      </c>
      <c r="K424" s="36" t="str" vm="195">
        <f>CUBEMEMBER("ThisWorkbookDataModel",{"[Indian_Employee_Data].[Employee ID].&amp;[Emp1402]","[Indian_Employee_Data].[Insurance tier].&amp;[Silver]"})</f>
        <v>Silver</v>
      </c>
      <c r="L424" s="37" vm="1776">
        <f>CUBEVALUE("ThisWorkbookDataModel",$K424,L$29,Slicer_Department)</f>
        <v>111986</v>
      </c>
      <c r="M424" s="37" vm="1775">
        <f>CUBEVALUE("ThisWorkbookDataModel",$K424,M$29,Slicer_Department)</f>
        <v>4200</v>
      </c>
      <c r="N424" s="37" t="e">
        <f t="shared" si="37"/>
        <v>#N/A</v>
      </c>
      <c r="O424" s="37" vm="1775">
        <f t="shared" si="38"/>
        <v>4200</v>
      </c>
      <c r="P424" s="37" t="e">
        <f t="shared" si="39"/>
        <v>#N/A</v>
      </c>
      <c r="Q424" s="37" t="e">
        <f t="shared" si="40"/>
        <v>#N/A</v>
      </c>
      <c r="R424" s="37" vm="1776">
        <f t="shared" si="41"/>
        <v>111986</v>
      </c>
      <c r="S424" s="37" t="e">
        <f t="shared" si="42"/>
        <v>#N/A</v>
      </c>
    </row>
    <row r="425" spans="10:19" x14ac:dyDescent="0.25">
      <c r="J425" s="36" t="str" vm="194">
        <f>CUBEMEMBER("ThisWorkbookDataModel","[Indian_Employee_Data].[Employee ID].&amp;[Emp1403]")</f>
        <v>Emp1403</v>
      </c>
      <c r="K425" s="36" t="str" vm="193">
        <f>CUBEMEMBER("ThisWorkbookDataModel",{"[Indian_Employee_Data].[Employee ID].&amp;[Emp1403]","[Indian_Employee_Data].[Insurance tier].&amp;[Gold]"})</f>
        <v>Gold</v>
      </c>
      <c r="L425" s="37" vm="1778">
        <f>CUBEVALUE("ThisWorkbookDataModel",$K425,L$29,Slicer_Department)</f>
        <v>168260</v>
      </c>
      <c r="M425" s="37" vm="1777">
        <f>CUBEVALUE("ThisWorkbookDataModel",$K425,M$29,Slicer_Department)</f>
        <v>9000</v>
      </c>
      <c r="N425" s="37" t="e">
        <f t="shared" si="37"/>
        <v>#N/A</v>
      </c>
      <c r="O425" s="37" t="e">
        <f t="shared" si="38"/>
        <v>#N/A</v>
      </c>
      <c r="P425" s="37" vm="1777">
        <f t="shared" si="39"/>
        <v>9000</v>
      </c>
      <c r="Q425" s="37" t="e">
        <f t="shared" si="40"/>
        <v>#N/A</v>
      </c>
      <c r="R425" s="37" t="e">
        <f t="shared" si="41"/>
        <v>#N/A</v>
      </c>
      <c r="S425" s="37" vm="1778">
        <f t="shared" si="42"/>
        <v>168260</v>
      </c>
    </row>
    <row r="426" spans="10:19" x14ac:dyDescent="0.25">
      <c r="J426" s="36" t="str" vm="192">
        <f>CUBEMEMBER("ThisWorkbookDataModel","[Indian_Employee_Data].[Employee ID].&amp;[Emp1404]")</f>
        <v>Emp1404</v>
      </c>
      <c r="K426" s="36" t="str" vm="191">
        <f>CUBEMEMBER("ThisWorkbookDataModel",{"[Indian_Employee_Data].[Employee ID].&amp;[Emp1404]","[Indian_Employee_Data].[Insurance tier].&amp;[Silver]"})</f>
        <v>Silver</v>
      </c>
      <c r="L426" s="37" vm="1780">
        <f>CUBEVALUE("ThisWorkbookDataModel",$K426,L$29,Slicer_Department)</f>
        <v>88203</v>
      </c>
      <c r="M426" s="37" vm="1779">
        <f>CUBEVALUE("ThisWorkbookDataModel",$K426,M$29,Slicer_Department)</f>
        <v>2800</v>
      </c>
      <c r="N426" s="37" t="e">
        <f t="shared" si="37"/>
        <v>#N/A</v>
      </c>
      <c r="O426" s="37" vm="1779">
        <f t="shared" si="38"/>
        <v>2800</v>
      </c>
      <c r="P426" s="37" t="e">
        <f t="shared" si="39"/>
        <v>#N/A</v>
      </c>
      <c r="Q426" s="37" t="e">
        <f t="shared" si="40"/>
        <v>#N/A</v>
      </c>
      <c r="R426" s="37" vm="1780">
        <f t="shared" si="41"/>
        <v>88203</v>
      </c>
      <c r="S426" s="37" t="e">
        <f t="shared" si="42"/>
        <v>#N/A</v>
      </c>
    </row>
    <row r="427" spans="10:19" x14ac:dyDescent="0.25">
      <c r="J427" s="36" t="str" vm="190">
        <f>CUBEMEMBER("ThisWorkbookDataModel","[Indian_Employee_Data].[Employee ID].&amp;[Emp1405]")</f>
        <v>Emp1405</v>
      </c>
      <c r="K427" s="36" t="str" vm="189">
        <f>CUBEMEMBER("ThisWorkbookDataModel",{"[Indian_Employee_Data].[Employee ID].&amp;[Emp1405]","[Indian_Employee_Data].[Insurance tier].&amp;[Gold]"})</f>
        <v>Gold</v>
      </c>
      <c r="L427" s="37" vm="1782">
        <f>CUBEVALUE("ThisWorkbookDataModel",$K427,L$29,Slicer_Department)</f>
        <v>186577</v>
      </c>
      <c r="M427" s="37" vm="1781">
        <f>CUBEVALUE("ThisWorkbookDataModel",$K427,M$29,Slicer_Department)</f>
        <v>9000</v>
      </c>
      <c r="N427" s="37" t="e">
        <f t="shared" si="37"/>
        <v>#N/A</v>
      </c>
      <c r="O427" s="37" t="e">
        <f t="shared" si="38"/>
        <v>#N/A</v>
      </c>
      <c r="P427" s="37" vm="1781">
        <f t="shared" si="39"/>
        <v>9000</v>
      </c>
      <c r="Q427" s="37" t="e">
        <f t="shared" si="40"/>
        <v>#N/A</v>
      </c>
      <c r="R427" s="37" t="e">
        <f t="shared" si="41"/>
        <v>#N/A</v>
      </c>
      <c r="S427" s="37" vm="1782">
        <f t="shared" si="42"/>
        <v>186577</v>
      </c>
    </row>
    <row r="428" spans="10:19" x14ac:dyDescent="0.25">
      <c r="J428" s="36" t="str" vm="188">
        <f>CUBEMEMBER("ThisWorkbookDataModel","[Indian_Employee_Data].[Employee ID].&amp;[Emp1406]")</f>
        <v>Emp1406</v>
      </c>
      <c r="K428" s="36" t="str" vm="187">
        <f>CUBEMEMBER("ThisWorkbookDataModel",{"[Indian_Employee_Data].[Employee ID].&amp;[Emp1406]","[Indian_Employee_Data].[Insurance tier].&amp;[Silver]"})</f>
        <v>Silver</v>
      </c>
      <c r="L428" s="37" vm="1784">
        <f>CUBEVALUE("ThisWorkbookDataModel",$K428,L$29,Slicer_Department)</f>
        <v>96651</v>
      </c>
      <c r="M428" s="37" vm="1783">
        <f>CUBEVALUE("ThisWorkbookDataModel",$K428,M$29,Slicer_Department)</f>
        <v>2800</v>
      </c>
      <c r="N428" s="37" t="e">
        <f t="shared" si="37"/>
        <v>#N/A</v>
      </c>
      <c r="O428" s="37" vm="1783">
        <f t="shared" si="38"/>
        <v>2800</v>
      </c>
      <c r="P428" s="37" t="e">
        <f t="shared" si="39"/>
        <v>#N/A</v>
      </c>
      <c r="Q428" s="37" t="e">
        <f t="shared" si="40"/>
        <v>#N/A</v>
      </c>
      <c r="R428" s="37" vm="1784">
        <f t="shared" si="41"/>
        <v>96651</v>
      </c>
      <c r="S428" s="37" t="e">
        <f t="shared" si="42"/>
        <v>#N/A</v>
      </c>
    </row>
    <row r="429" spans="10:19" x14ac:dyDescent="0.25">
      <c r="J429" s="36" t="str" vm="186">
        <f>CUBEMEMBER("ThisWorkbookDataModel","[Indian_Employee_Data].[Employee ID].&amp;[Emp1407]")</f>
        <v>Emp1407</v>
      </c>
      <c r="K429" s="36" t="str" vm="185">
        <f>CUBEMEMBER("ThisWorkbookDataModel",{"[Indian_Employee_Data].[Employee ID].&amp;[Emp1407]","[Indian_Employee_Data].[Insurance tier].&amp;[Bronze]"})</f>
        <v>Bronze</v>
      </c>
      <c r="L429" s="37" vm="1786">
        <f>CUBEVALUE("ThisWorkbookDataModel",$K429,L$29,Slicer_Department)</f>
        <v>40358</v>
      </c>
      <c r="M429" s="37" vm="1785">
        <f>CUBEVALUE("ThisWorkbookDataModel",$K429,M$29,Slicer_Department)</f>
        <v>1500</v>
      </c>
      <c r="N429" s="37" vm="1785">
        <f t="shared" si="37"/>
        <v>1500</v>
      </c>
      <c r="O429" s="37" t="e">
        <f t="shared" si="38"/>
        <v>#N/A</v>
      </c>
      <c r="P429" s="37" t="e">
        <f t="shared" si="39"/>
        <v>#N/A</v>
      </c>
      <c r="Q429" s="37" vm="1786">
        <f t="shared" si="40"/>
        <v>40358</v>
      </c>
      <c r="R429" s="37" t="e">
        <f t="shared" si="41"/>
        <v>#N/A</v>
      </c>
      <c r="S429" s="37" t="e">
        <f t="shared" si="42"/>
        <v>#N/A</v>
      </c>
    </row>
    <row r="430" spans="10:19" x14ac:dyDescent="0.25">
      <c r="J430" s="36" t="str" vm="184">
        <f>CUBEMEMBER("ThisWorkbookDataModel","[Indian_Employee_Data].[Employee ID].&amp;[Emp1408]")</f>
        <v>Emp1408</v>
      </c>
      <c r="K430" s="36" t="str" vm="183">
        <f>CUBEMEMBER("ThisWorkbookDataModel",{"[Indian_Employee_Data].[Employee ID].&amp;[Emp1408]","[Indian_Employee_Data].[Insurance tier].&amp;[Gold]"})</f>
        <v>Gold</v>
      </c>
      <c r="L430" s="37" vm="1788">
        <f>CUBEVALUE("ThisWorkbookDataModel",$K430,L$29,Slicer_Department)</f>
        <v>189644</v>
      </c>
      <c r="M430" s="37" vm="1787">
        <f>CUBEVALUE("ThisWorkbookDataModel",$K430,M$29,Slicer_Department)</f>
        <v>9000</v>
      </c>
      <c r="N430" s="37" t="e">
        <f t="shared" si="37"/>
        <v>#N/A</v>
      </c>
      <c r="O430" s="37" t="e">
        <f t="shared" si="38"/>
        <v>#N/A</v>
      </c>
      <c r="P430" s="37" vm="1787">
        <f t="shared" si="39"/>
        <v>9000</v>
      </c>
      <c r="Q430" s="37" t="e">
        <f t="shared" si="40"/>
        <v>#N/A</v>
      </c>
      <c r="R430" s="37" t="e">
        <f t="shared" si="41"/>
        <v>#N/A</v>
      </c>
      <c r="S430" s="37" vm="1788">
        <f t="shared" si="42"/>
        <v>189644</v>
      </c>
    </row>
    <row r="431" spans="10:19" x14ac:dyDescent="0.25">
      <c r="J431" s="36" t="str" vm="182">
        <f>CUBEMEMBER("ThisWorkbookDataModel","[Indian_Employee_Data].[Employee ID].&amp;[Emp1409]")</f>
        <v>Emp1409</v>
      </c>
      <c r="K431" s="36" t="str" vm="181">
        <f>CUBEMEMBER("ThisWorkbookDataModel",{"[Indian_Employee_Data].[Employee ID].&amp;[Emp1409]","[Indian_Employee_Data].[Insurance tier].&amp;[Silver]"})</f>
        <v>Silver</v>
      </c>
      <c r="L431" s="37" vm="1790">
        <f>CUBEVALUE("ThisWorkbookDataModel",$K431,L$29,Slicer_Department)</f>
        <v>60062</v>
      </c>
      <c r="M431" s="37" vm="1789">
        <f>CUBEVALUE("ThisWorkbookDataModel",$K431,M$29,Slicer_Department)</f>
        <v>2800</v>
      </c>
      <c r="N431" s="37" t="e">
        <f t="shared" si="37"/>
        <v>#N/A</v>
      </c>
      <c r="O431" s="37" vm="1789">
        <f t="shared" si="38"/>
        <v>2800</v>
      </c>
      <c r="P431" s="37" t="e">
        <f t="shared" si="39"/>
        <v>#N/A</v>
      </c>
      <c r="Q431" s="37" t="e">
        <f t="shared" si="40"/>
        <v>#N/A</v>
      </c>
      <c r="R431" s="37" vm="1790">
        <f t="shared" si="41"/>
        <v>60062</v>
      </c>
      <c r="S431" s="37" t="e">
        <f t="shared" si="42"/>
        <v>#N/A</v>
      </c>
    </row>
    <row r="432" spans="10:19" x14ac:dyDescent="0.25">
      <c r="J432" s="36" t="str" vm="180">
        <f>CUBEMEMBER("ThisWorkbookDataModel","[Indian_Employee_Data].[Employee ID].&amp;[Emp1410]")</f>
        <v>Emp1410</v>
      </c>
      <c r="K432" s="36" t="str" vm="179">
        <f>CUBEMEMBER("ThisWorkbookDataModel",{"[Indian_Employee_Data].[Employee ID].&amp;[Emp1410]","[Indian_Employee_Data].[Insurance tier].&amp;[Silver]"})</f>
        <v>Silver</v>
      </c>
      <c r="L432" s="37" vm="1792">
        <f>CUBEVALUE("ThisWorkbookDataModel",$K432,L$29,Slicer_Department)</f>
        <v>88116</v>
      </c>
      <c r="M432" s="37" vm="1791">
        <f>CUBEVALUE("ThisWorkbookDataModel",$K432,M$29,Slicer_Department)</f>
        <v>4200</v>
      </c>
      <c r="N432" s="37" t="e">
        <f t="shared" si="37"/>
        <v>#N/A</v>
      </c>
      <c r="O432" s="37" vm="1791">
        <f t="shared" si="38"/>
        <v>4200</v>
      </c>
      <c r="P432" s="37" t="e">
        <f t="shared" si="39"/>
        <v>#N/A</v>
      </c>
      <c r="Q432" s="37" t="e">
        <f t="shared" si="40"/>
        <v>#N/A</v>
      </c>
      <c r="R432" s="37" vm="1792">
        <f t="shared" si="41"/>
        <v>88116</v>
      </c>
      <c r="S432" s="37" t="e">
        <f t="shared" si="42"/>
        <v>#N/A</v>
      </c>
    </row>
    <row r="433" spans="10:19" x14ac:dyDescent="0.25">
      <c r="J433" s="36" t="str" vm="178">
        <f>CUBEMEMBER("ThisWorkbookDataModel","[Indian_Employee_Data].[Employee ID].&amp;[Emp1411]")</f>
        <v>Emp1411</v>
      </c>
      <c r="K433" s="36" t="str" vm="177">
        <f>CUBEMEMBER("ThisWorkbookDataModel",{"[Indian_Employee_Data].[Employee ID].&amp;[Emp1411]","[Indian_Employee_Data].[Insurance tier].&amp;[Gold]"})</f>
        <v>Gold</v>
      </c>
      <c r="L433" s="37" vm="1794">
        <f>CUBEVALUE("ThisWorkbookDataModel",$K433,L$29,Slicer_Department)</f>
        <v>206152</v>
      </c>
      <c r="M433" s="37" vm="1793">
        <f>CUBEVALUE("ThisWorkbookDataModel",$K433,M$29,Slicer_Department)</f>
        <v>6750</v>
      </c>
      <c r="N433" s="37" t="e">
        <f t="shared" si="37"/>
        <v>#N/A</v>
      </c>
      <c r="O433" s="37" t="e">
        <f t="shared" si="38"/>
        <v>#N/A</v>
      </c>
      <c r="P433" s="37" vm="1793">
        <f t="shared" si="39"/>
        <v>6750</v>
      </c>
      <c r="Q433" s="37" t="e">
        <f t="shared" si="40"/>
        <v>#N/A</v>
      </c>
      <c r="R433" s="37" t="e">
        <f t="shared" si="41"/>
        <v>#N/A</v>
      </c>
      <c r="S433" s="37" vm="1794">
        <f t="shared" si="42"/>
        <v>206152</v>
      </c>
    </row>
    <row r="434" spans="10:19" x14ac:dyDescent="0.25">
      <c r="J434" s="36" t="str" vm="176">
        <f>CUBEMEMBER("ThisWorkbookDataModel","[Indian_Employee_Data].[Employee ID].&amp;[Emp1412]")</f>
        <v>Emp1412</v>
      </c>
      <c r="K434" s="36" t="str" vm="175">
        <f>CUBEMEMBER("ThisWorkbookDataModel",{"[Indian_Employee_Data].[Employee ID].&amp;[Emp1412]","[Indian_Employee_Data].[Insurance tier].&amp;[Gold]"})</f>
        <v>Gold</v>
      </c>
      <c r="L434" s="37" vm="1796">
        <f>CUBEVALUE("ThisWorkbookDataModel",$K434,L$29,Slicer_Department)</f>
        <v>206392</v>
      </c>
      <c r="M434" s="37" vm="1795">
        <f>CUBEVALUE("ThisWorkbookDataModel",$K434,M$29,Slicer_Department)</f>
        <v>9000</v>
      </c>
      <c r="N434" s="37" t="e">
        <f t="shared" si="37"/>
        <v>#N/A</v>
      </c>
      <c r="O434" s="37" t="e">
        <f t="shared" si="38"/>
        <v>#N/A</v>
      </c>
      <c r="P434" s="37" vm="1795">
        <f t="shared" si="39"/>
        <v>9000</v>
      </c>
      <c r="Q434" s="37" t="e">
        <f t="shared" si="40"/>
        <v>#N/A</v>
      </c>
      <c r="R434" s="37" t="e">
        <f t="shared" si="41"/>
        <v>#N/A</v>
      </c>
      <c r="S434" s="37" vm="1796">
        <f t="shared" si="42"/>
        <v>206392</v>
      </c>
    </row>
    <row r="435" spans="10:19" x14ac:dyDescent="0.25">
      <c r="J435" s="36" t="str" vm="174">
        <f>CUBEMEMBER("ThisWorkbookDataModel","[Indian_Employee_Data].[Employee ID].&amp;[Emp1413]")</f>
        <v>Emp1413</v>
      </c>
      <c r="K435" s="36" t="str" vm="173">
        <f>CUBEMEMBER("ThisWorkbookDataModel",{"[Indian_Employee_Data].[Employee ID].&amp;[Emp1413]","[Indian_Employee_Data].[Insurance tier].&amp;[Gold]"})</f>
        <v>Gold</v>
      </c>
      <c r="L435" s="37" vm="1798">
        <f>CUBEVALUE("ThisWorkbookDataModel",$K435,L$29,Slicer_Department)</f>
        <v>121849</v>
      </c>
      <c r="M435" s="37" vm="1797">
        <f>CUBEVALUE("ThisWorkbookDataModel",$K435,M$29,Slicer_Department)</f>
        <v>6750</v>
      </c>
      <c r="N435" s="37" t="e">
        <f t="shared" si="37"/>
        <v>#N/A</v>
      </c>
      <c r="O435" s="37" t="e">
        <f t="shared" si="38"/>
        <v>#N/A</v>
      </c>
      <c r="P435" s="37" vm="1797">
        <f t="shared" si="39"/>
        <v>6750</v>
      </c>
      <c r="Q435" s="37" t="e">
        <f t="shared" si="40"/>
        <v>#N/A</v>
      </c>
      <c r="R435" s="37" t="e">
        <f t="shared" si="41"/>
        <v>#N/A</v>
      </c>
      <c r="S435" s="37" vm="1798">
        <f t="shared" si="42"/>
        <v>121849</v>
      </c>
    </row>
    <row r="436" spans="10:19" x14ac:dyDescent="0.25">
      <c r="J436" s="36" t="str" vm="172">
        <f>CUBEMEMBER("ThisWorkbookDataModel","[Indian_Employee_Data].[Employee ID].&amp;[Emp1414]")</f>
        <v>Emp1414</v>
      </c>
      <c r="K436" s="36" t="str" vm="171">
        <f>CUBEMEMBER("ThisWorkbookDataModel",{"[Indian_Employee_Data].[Employee ID].&amp;[Emp1414]","[Indian_Employee_Data].[Insurance tier].&amp;[Gold]"})</f>
        <v>Gold</v>
      </c>
      <c r="L436" s="37" vm="1800">
        <f>CUBEVALUE("ThisWorkbookDataModel",$K436,L$29,Slicer_Department)</f>
        <v>130944</v>
      </c>
      <c r="M436" s="37" vm="1799">
        <f>CUBEVALUE("ThisWorkbookDataModel",$K436,M$29,Slicer_Department)</f>
        <v>6750</v>
      </c>
      <c r="N436" s="37" t="e">
        <f t="shared" si="37"/>
        <v>#N/A</v>
      </c>
      <c r="O436" s="37" t="e">
        <f t="shared" si="38"/>
        <v>#N/A</v>
      </c>
      <c r="P436" s="37" vm="1799">
        <f t="shared" si="39"/>
        <v>6750</v>
      </c>
      <c r="Q436" s="37" t="e">
        <f t="shared" si="40"/>
        <v>#N/A</v>
      </c>
      <c r="R436" s="37" t="e">
        <f t="shared" si="41"/>
        <v>#N/A</v>
      </c>
      <c r="S436" s="37" vm="1800">
        <f t="shared" si="42"/>
        <v>130944</v>
      </c>
    </row>
    <row r="437" spans="10:19" x14ac:dyDescent="0.25">
      <c r="J437" s="36" t="str" vm="170">
        <f>CUBEMEMBER("ThisWorkbookDataModel","[Indian_Employee_Data].[Employee ID].&amp;[Emp1415]")</f>
        <v>Emp1415</v>
      </c>
      <c r="K437" s="36" t="str" vm="169">
        <f>CUBEMEMBER("ThisWorkbookDataModel",{"[Indian_Employee_Data].[Employee ID].&amp;[Emp1415]","[Indian_Employee_Data].[Insurance tier].&amp;[Silver]"})</f>
        <v>Silver</v>
      </c>
      <c r="L437" s="37" vm="1802">
        <f>CUBEVALUE("ThisWorkbookDataModel",$K437,L$29,Slicer_Department)</f>
        <v>104278</v>
      </c>
      <c r="M437" s="37" vm="1801">
        <f>CUBEVALUE("ThisWorkbookDataModel",$K437,M$29,Slicer_Department)</f>
        <v>2800</v>
      </c>
      <c r="N437" s="37" t="e">
        <f t="shared" si="37"/>
        <v>#N/A</v>
      </c>
      <c r="O437" s="37" vm="1801">
        <f t="shared" si="38"/>
        <v>2800</v>
      </c>
      <c r="P437" s="37" t="e">
        <f t="shared" si="39"/>
        <v>#N/A</v>
      </c>
      <c r="Q437" s="37" t="e">
        <f t="shared" si="40"/>
        <v>#N/A</v>
      </c>
      <c r="R437" s="37" vm="1802">
        <f t="shared" si="41"/>
        <v>104278</v>
      </c>
      <c r="S437" s="37" t="e">
        <f t="shared" si="42"/>
        <v>#N/A</v>
      </c>
    </row>
    <row r="438" spans="10:19" x14ac:dyDescent="0.25">
      <c r="J438" s="36" t="str" vm="168">
        <f>CUBEMEMBER("ThisWorkbookDataModel","[Indian_Employee_Data].[Employee ID].&amp;[Emp1416]")</f>
        <v>Emp1416</v>
      </c>
      <c r="K438" s="36" t="str" vm="167">
        <f>CUBEMEMBER("ThisWorkbookDataModel",{"[Indian_Employee_Data].[Employee ID].&amp;[Emp1416]","[Indian_Employee_Data].[Insurance tier].&amp;[Silver]"})</f>
        <v>Silver</v>
      </c>
      <c r="L438" s="37" vm="1804">
        <f>CUBEVALUE("ThisWorkbookDataModel",$K438,L$29,Slicer_Department)</f>
        <v>85041</v>
      </c>
      <c r="M438" s="37" vm="1803">
        <f>CUBEVALUE("ThisWorkbookDataModel",$K438,M$29,Slicer_Department)</f>
        <v>4200</v>
      </c>
      <c r="N438" s="37" t="e">
        <f t="shared" si="37"/>
        <v>#N/A</v>
      </c>
      <c r="O438" s="37" vm="1803">
        <f t="shared" si="38"/>
        <v>4200</v>
      </c>
      <c r="P438" s="37" t="e">
        <f t="shared" si="39"/>
        <v>#N/A</v>
      </c>
      <c r="Q438" s="37" t="e">
        <f t="shared" si="40"/>
        <v>#N/A</v>
      </c>
      <c r="R438" s="37" vm="1804">
        <f t="shared" si="41"/>
        <v>85041</v>
      </c>
      <c r="S438" s="37" t="e">
        <f t="shared" si="42"/>
        <v>#N/A</v>
      </c>
    </row>
    <row r="439" spans="10:19" x14ac:dyDescent="0.25">
      <c r="J439" s="36" t="str" vm="166">
        <f>CUBEMEMBER("ThisWorkbookDataModel","[Indian_Employee_Data].[Employee ID].&amp;[Emp1417]")</f>
        <v>Emp1417</v>
      </c>
      <c r="K439" s="36" t="str" vm="165">
        <f>CUBEMEMBER("ThisWorkbookDataModel",{"[Indian_Employee_Data].[Employee ID].&amp;[Emp1417]","[Indian_Employee_Data].[Insurance tier].&amp;[Silver]"})</f>
        <v>Silver</v>
      </c>
      <c r="L439" s="37" vm="1806">
        <f>CUBEVALUE("ThisWorkbookDataModel",$K439,L$29,Slicer_Department)</f>
        <v>89231</v>
      </c>
      <c r="M439" s="37" vm="1805">
        <f>CUBEVALUE("ThisWorkbookDataModel",$K439,M$29,Slicer_Department)</f>
        <v>4200</v>
      </c>
      <c r="N439" s="37" t="e">
        <f t="shared" si="37"/>
        <v>#N/A</v>
      </c>
      <c r="O439" s="37" vm="1805">
        <f t="shared" si="38"/>
        <v>4200</v>
      </c>
      <c r="P439" s="37" t="e">
        <f t="shared" si="39"/>
        <v>#N/A</v>
      </c>
      <c r="Q439" s="37" t="e">
        <f t="shared" si="40"/>
        <v>#N/A</v>
      </c>
      <c r="R439" s="37" vm="1806">
        <f t="shared" si="41"/>
        <v>89231</v>
      </c>
      <c r="S439" s="37" t="e">
        <f t="shared" si="42"/>
        <v>#N/A</v>
      </c>
    </row>
    <row r="440" spans="10:19" x14ac:dyDescent="0.25">
      <c r="J440" s="36" t="str" vm="164">
        <f>CUBEMEMBER("ThisWorkbookDataModel","[Indian_Employee_Data].[Employee ID].&amp;[Emp1418]")</f>
        <v>Emp1418</v>
      </c>
      <c r="K440" s="36" t="str" vm="163">
        <f>CUBEMEMBER("ThisWorkbookDataModel",{"[Indian_Employee_Data].[Employee ID].&amp;[Emp1418]","[Indian_Employee_Data].[Insurance tier].&amp;[Gold]"})</f>
        <v>Gold</v>
      </c>
      <c r="L440" s="37" vm="1808">
        <f>CUBEVALUE("ThisWorkbookDataModel",$K440,L$29,Slicer_Department)</f>
        <v>137714</v>
      </c>
      <c r="M440" s="37" vm="1807">
        <f>CUBEVALUE("ThisWorkbookDataModel",$K440,M$29,Slicer_Department)</f>
        <v>6750</v>
      </c>
      <c r="N440" s="37" t="e">
        <f t="shared" si="37"/>
        <v>#N/A</v>
      </c>
      <c r="O440" s="37" t="e">
        <f t="shared" si="38"/>
        <v>#N/A</v>
      </c>
      <c r="P440" s="37" vm="1807">
        <f t="shared" si="39"/>
        <v>6750</v>
      </c>
      <c r="Q440" s="37" t="e">
        <f t="shared" si="40"/>
        <v>#N/A</v>
      </c>
      <c r="R440" s="37" t="e">
        <f t="shared" si="41"/>
        <v>#N/A</v>
      </c>
      <c r="S440" s="37" vm="1808">
        <f t="shared" si="42"/>
        <v>137714</v>
      </c>
    </row>
    <row r="441" spans="10:19" x14ac:dyDescent="0.25">
      <c r="J441" s="36" t="str" vm="162">
        <f>CUBEMEMBER("ThisWorkbookDataModel","[Indian_Employee_Data].[Employee ID].&amp;[Emp1419]")</f>
        <v>Emp1419</v>
      </c>
      <c r="K441" s="36" t="str" vm="161">
        <f>CUBEMEMBER("ThisWorkbookDataModel",{"[Indian_Employee_Data].[Employee ID].&amp;[Emp1419]","[Indian_Employee_Data].[Insurance tier].&amp;[Gold]"})</f>
        <v>Gold</v>
      </c>
      <c r="L441" s="37" vm="1810">
        <f>CUBEVALUE("ThisWorkbookDataModel",$K441,L$29,Slicer_Department)</f>
        <v>152359</v>
      </c>
      <c r="M441" s="37" vm="1809">
        <f>CUBEVALUE("ThisWorkbookDataModel",$K441,M$29,Slicer_Department)</f>
        <v>6750</v>
      </c>
      <c r="N441" s="37" t="e">
        <f t="shared" si="37"/>
        <v>#N/A</v>
      </c>
      <c r="O441" s="37" t="e">
        <f t="shared" si="38"/>
        <v>#N/A</v>
      </c>
      <c r="P441" s="37" vm="1809">
        <f t="shared" si="39"/>
        <v>6750</v>
      </c>
      <c r="Q441" s="37" t="e">
        <f t="shared" si="40"/>
        <v>#N/A</v>
      </c>
      <c r="R441" s="37" t="e">
        <f t="shared" si="41"/>
        <v>#N/A</v>
      </c>
      <c r="S441" s="37" vm="1810">
        <f t="shared" si="42"/>
        <v>152359</v>
      </c>
    </row>
    <row r="442" spans="10:19" x14ac:dyDescent="0.25">
      <c r="J442" s="36" t="str" vm="160">
        <f>CUBEMEMBER("ThisWorkbookDataModel","[Indian_Employee_Data].[Employee ID].&amp;[Emp1420]")</f>
        <v>Emp1420</v>
      </c>
      <c r="K442" s="36" t="str" vm="159">
        <f>CUBEMEMBER("ThisWorkbookDataModel",{"[Indian_Employee_Data].[Employee ID].&amp;[Emp1420]","[Indian_Employee_Data].[Insurance tier].&amp;[Gold]"})</f>
        <v>Gold</v>
      </c>
      <c r="L442" s="37" vm="1812">
        <f>CUBEVALUE("ThisWorkbookDataModel",$K442,L$29,Slicer_Department)</f>
        <v>160422</v>
      </c>
      <c r="M442" s="37" vm="1811">
        <f>CUBEVALUE("ThisWorkbookDataModel",$K442,M$29,Slicer_Department)</f>
        <v>9000</v>
      </c>
      <c r="N442" s="37" t="e">
        <f t="shared" si="37"/>
        <v>#N/A</v>
      </c>
      <c r="O442" s="37" t="e">
        <f t="shared" si="38"/>
        <v>#N/A</v>
      </c>
      <c r="P442" s="37" vm="1811">
        <f t="shared" si="39"/>
        <v>9000</v>
      </c>
      <c r="Q442" s="37" t="e">
        <f t="shared" si="40"/>
        <v>#N/A</v>
      </c>
      <c r="R442" s="37" t="e">
        <f t="shared" si="41"/>
        <v>#N/A</v>
      </c>
      <c r="S442" s="37" vm="1812">
        <f t="shared" si="42"/>
        <v>160422</v>
      </c>
    </row>
    <row r="443" spans="10:19" x14ac:dyDescent="0.25">
      <c r="J443" s="36" t="str" vm="158">
        <f>CUBEMEMBER("ThisWorkbookDataModel","[Indian_Employee_Data].[Employee ID].&amp;[Emp1421]")</f>
        <v>Emp1421</v>
      </c>
      <c r="K443" s="36" t="str" vm="157">
        <f>CUBEMEMBER("ThisWorkbookDataModel",{"[Indian_Employee_Data].[Employee ID].&amp;[Emp1421]","[Indian_Employee_Data].[Insurance tier].&amp;[Gold]"})</f>
        <v>Gold</v>
      </c>
      <c r="L443" s="37" vm="1814">
        <f>CUBEVALUE("ThisWorkbookDataModel",$K443,L$29,Slicer_Department)</f>
        <v>160001</v>
      </c>
      <c r="M443" s="37" vm="1813">
        <f>CUBEVALUE("ThisWorkbookDataModel",$K443,M$29,Slicer_Department)</f>
        <v>9000</v>
      </c>
      <c r="N443" s="37" t="e">
        <f t="shared" si="37"/>
        <v>#N/A</v>
      </c>
      <c r="O443" s="37" t="e">
        <f t="shared" si="38"/>
        <v>#N/A</v>
      </c>
      <c r="P443" s="37" vm="1813">
        <f t="shared" si="39"/>
        <v>9000</v>
      </c>
      <c r="Q443" s="37" t="e">
        <f t="shared" si="40"/>
        <v>#N/A</v>
      </c>
      <c r="R443" s="37" t="e">
        <f t="shared" si="41"/>
        <v>#N/A</v>
      </c>
      <c r="S443" s="37" vm="1814">
        <f t="shared" si="42"/>
        <v>160001</v>
      </c>
    </row>
    <row r="444" spans="10:19" x14ac:dyDescent="0.25">
      <c r="J444" s="36" t="str" vm="156">
        <f>CUBEMEMBER("ThisWorkbookDataModel","[Indian_Employee_Data].[Employee ID].&amp;[Emp1422]")</f>
        <v>Emp1422</v>
      </c>
      <c r="K444" s="36" t="str" vm="155">
        <f>CUBEMEMBER("ThisWorkbookDataModel",{"[Indian_Employee_Data].[Employee ID].&amp;[Emp1422]","[Indian_Employee_Data].[Insurance tier].&amp;[Silver]"})</f>
        <v>Silver</v>
      </c>
      <c r="L444" s="37" vm="1816">
        <f>CUBEVALUE("ThisWorkbookDataModel",$K444,L$29,Slicer_Department)</f>
        <v>60048</v>
      </c>
      <c r="M444" s="37" vm="1815">
        <f>CUBEVALUE("ThisWorkbookDataModel",$K444,M$29,Slicer_Department)</f>
        <v>2800</v>
      </c>
      <c r="N444" s="37" t="e">
        <f t="shared" si="37"/>
        <v>#N/A</v>
      </c>
      <c r="O444" s="37" vm="1815">
        <f t="shared" si="38"/>
        <v>2800</v>
      </c>
      <c r="P444" s="37" t="e">
        <f t="shared" si="39"/>
        <v>#N/A</v>
      </c>
      <c r="Q444" s="37" t="e">
        <f t="shared" si="40"/>
        <v>#N/A</v>
      </c>
      <c r="R444" s="37" vm="1816">
        <f t="shared" si="41"/>
        <v>60048</v>
      </c>
      <c r="S444" s="37" t="e">
        <f t="shared" si="42"/>
        <v>#N/A</v>
      </c>
    </row>
    <row r="445" spans="10:19" x14ac:dyDescent="0.25">
      <c r="J445" s="36" t="str" vm="154">
        <f>CUBEMEMBER("ThisWorkbookDataModel","[Indian_Employee_Data].[Employee ID].&amp;[Emp1423]")</f>
        <v>Emp1423</v>
      </c>
      <c r="K445" s="36" t="str" vm="153">
        <f>CUBEMEMBER("ThisWorkbookDataModel",{"[Indian_Employee_Data].[Employee ID].&amp;[Emp1423]","[Indian_Employee_Data].[Insurance tier].&amp;[Silver]"})</f>
        <v>Silver</v>
      </c>
      <c r="L445" s="37" vm="1818">
        <f>CUBEVALUE("ThisWorkbookDataModel",$K445,L$29,Slicer_Department)</f>
        <v>110483</v>
      </c>
      <c r="M445" s="37" vm="1817">
        <f>CUBEVALUE("ThisWorkbookDataModel",$K445,M$29,Slicer_Department)</f>
        <v>2800</v>
      </c>
      <c r="N445" s="37" t="e">
        <f t="shared" si="37"/>
        <v>#N/A</v>
      </c>
      <c r="O445" s="37" vm="1817">
        <f t="shared" si="38"/>
        <v>2800</v>
      </c>
      <c r="P445" s="37" t="e">
        <f t="shared" si="39"/>
        <v>#N/A</v>
      </c>
      <c r="Q445" s="37" t="e">
        <f t="shared" si="40"/>
        <v>#N/A</v>
      </c>
      <c r="R445" s="37" vm="1818">
        <f t="shared" si="41"/>
        <v>110483</v>
      </c>
      <c r="S445" s="37" t="e">
        <f t="shared" si="42"/>
        <v>#N/A</v>
      </c>
    </row>
    <row r="446" spans="10:19" x14ac:dyDescent="0.25">
      <c r="J446" s="36" t="str" vm="152">
        <f>CUBEMEMBER("ThisWorkbookDataModel","[Indian_Employee_Data].[Employee ID].&amp;[Emp1424]")</f>
        <v>Emp1424</v>
      </c>
      <c r="K446" s="36" t="str" vm="151">
        <f>CUBEMEMBER("ThisWorkbookDataModel",{"[Indian_Employee_Data].[Employee ID].&amp;[Emp1424]","[Indian_Employee_Data].[Insurance tier].&amp;[Bronze]"})</f>
        <v>Bronze</v>
      </c>
      <c r="L446" s="37" vm="1820">
        <f>CUBEVALUE("ThisWorkbookDataModel",$K446,L$29,Slicer_Department)</f>
        <v>53871</v>
      </c>
      <c r="M446" s="37" vm="1819">
        <f>CUBEVALUE("ThisWorkbookDataModel",$K446,M$29,Slicer_Department)</f>
        <v>1500</v>
      </c>
      <c r="N446" s="37" vm="1819">
        <f t="shared" si="37"/>
        <v>1500</v>
      </c>
      <c r="O446" s="37" t="e">
        <f t="shared" si="38"/>
        <v>#N/A</v>
      </c>
      <c r="P446" s="37" t="e">
        <f t="shared" si="39"/>
        <v>#N/A</v>
      </c>
      <c r="Q446" s="37" vm="1820">
        <f t="shared" si="40"/>
        <v>53871</v>
      </c>
      <c r="R446" s="37" t="e">
        <f t="shared" si="41"/>
        <v>#N/A</v>
      </c>
      <c r="S446" s="37" t="e">
        <f t="shared" si="42"/>
        <v>#N/A</v>
      </c>
    </row>
    <row r="447" spans="10:19" x14ac:dyDescent="0.25">
      <c r="J447" s="36" t="str" vm="150">
        <f>CUBEMEMBER("ThisWorkbookDataModel","[Indian_Employee_Data].[Employee ID].&amp;[Emp1425]")</f>
        <v>Emp1425</v>
      </c>
      <c r="K447" s="36" t="str" vm="149">
        <f>CUBEMEMBER("ThisWorkbookDataModel",{"[Indian_Employee_Data].[Employee ID].&amp;[Emp1425]","[Indian_Employee_Data].[Insurance tier].&amp;[Silver]"})</f>
        <v>Silver</v>
      </c>
      <c r="L447" s="37" vm="1822">
        <f>CUBEVALUE("ThisWorkbookDataModel",$K447,L$29,Slicer_Department)</f>
        <v>118306</v>
      </c>
      <c r="M447" s="37" vm="1821">
        <f>CUBEVALUE("ThisWorkbookDataModel",$K447,M$29,Slicer_Department)</f>
        <v>4200</v>
      </c>
      <c r="N447" s="37" t="e">
        <f t="shared" si="37"/>
        <v>#N/A</v>
      </c>
      <c r="O447" s="37" vm="1821">
        <f t="shared" si="38"/>
        <v>4200</v>
      </c>
      <c r="P447" s="37" t="e">
        <f t="shared" si="39"/>
        <v>#N/A</v>
      </c>
      <c r="Q447" s="37" t="e">
        <f t="shared" si="40"/>
        <v>#N/A</v>
      </c>
      <c r="R447" s="37" vm="1822">
        <f t="shared" si="41"/>
        <v>118306</v>
      </c>
      <c r="S447" s="37" t="e">
        <f t="shared" si="42"/>
        <v>#N/A</v>
      </c>
    </row>
    <row r="448" spans="10:19" x14ac:dyDescent="0.25">
      <c r="J448" s="36" t="str" vm="148">
        <f>CUBEMEMBER("ThisWorkbookDataModel","[Indian_Employee_Data].[Employee ID].&amp;[Emp1426]")</f>
        <v>Emp1426</v>
      </c>
      <c r="K448" s="36" t="str" vm="147">
        <f>CUBEMEMBER("ThisWorkbookDataModel",{"[Indian_Employee_Data].[Employee ID].&amp;[Emp1426]","[Indian_Employee_Data].[Insurance tier].&amp;[Silver]"})</f>
        <v>Silver</v>
      </c>
      <c r="L448" s="37" vm="1824">
        <f>CUBEVALUE("ThisWorkbookDataModel",$K448,L$29,Slicer_Department)</f>
        <v>103367</v>
      </c>
      <c r="M448" s="37" vm="1823">
        <f>CUBEVALUE("ThisWorkbookDataModel",$K448,M$29,Slicer_Department)</f>
        <v>4200</v>
      </c>
      <c r="N448" s="37" t="e">
        <f t="shared" si="37"/>
        <v>#N/A</v>
      </c>
      <c r="O448" s="37" vm="1823">
        <f t="shared" si="38"/>
        <v>4200</v>
      </c>
      <c r="P448" s="37" t="e">
        <f t="shared" si="39"/>
        <v>#N/A</v>
      </c>
      <c r="Q448" s="37" t="e">
        <f t="shared" si="40"/>
        <v>#N/A</v>
      </c>
      <c r="R448" s="37" vm="1824">
        <f t="shared" si="41"/>
        <v>103367</v>
      </c>
      <c r="S448" s="37" t="e">
        <f t="shared" si="42"/>
        <v>#N/A</v>
      </c>
    </row>
    <row r="449" spans="10:19" x14ac:dyDescent="0.25">
      <c r="J449" s="36" t="str" vm="146">
        <f>CUBEMEMBER("ThisWorkbookDataModel","[Indian_Employee_Data].[Employee ID].&amp;[Emp1427]")</f>
        <v>Emp1427</v>
      </c>
      <c r="K449" s="36" t="str" vm="145">
        <f>CUBEMEMBER("ThisWorkbookDataModel",{"[Indian_Employee_Data].[Employee ID].&amp;[Emp1427]","[Indian_Employee_Data].[Insurance tier].&amp;[Gold]"})</f>
        <v>Gold</v>
      </c>
      <c r="L449" s="37" vm="1826">
        <f>CUBEVALUE("ThisWorkbookDataModel",$K449,L$29,Slicer_Department)</f>
        <v>184247</v>
      </c>
      <c r="M449" s="37" vm="1825">
        <f>CUBEVALUE("ThisWorkbookDataModel",$K449,M$29,Slicer_Department)</f>
        <v>9000</v>
      </c>
      <c r="N449" s="37" t="e">
        <f t="shared" si="37"/>
        <v>#N/A</v>
      </c>
      <c r="O449" s="37" t="e">
        <f t="shared" si="38"/>
        <v>#N/A</v>
      </c>
      <c r="P449" s="37" vm="1825">
        <f t="shared" si="39"/>
        <v>9000</v>
      </c>
      <c r="Q449" s="37" t="e">
        <f t="shared" si="40"/>
        <v>#N/A</v>
      </c>
      <c r="R449" s="37" t="e">
        <f t="shared" si="41"/>
        <v>#N/A</v>
      </c>
      <c r="S449" s="37" vm="1826">
        <f t="shared" si="42"/>
        <v>184247</v>
      </c>
    </row>
    <row r="450" spans="10:19" x14ac:dyDescent="0.25">
      <c r="J450" s="36" t="str" vm="144">
        <f>CUBEMEMBER("ThisWorkbookDataModel","[Indian_Employee_Data].[Employee ID].&amp;[Emp1428]")</f>
        <v>Emp1428</v>
      </c>
      <c r="K450" s="36" t="str" vm="143">
        <f>CUBEMEMBER("ThisWorkbookDataModel",{"[Indian_Employee_Data].[Employee ID].&amp;[Emp1428]","[Indian_Employee_Data].[Insurance tier].&amp;[Silver]"})</f>
        <v>Silver</v>
      </c>
      <c r="L450" s="37" vm="1828">
        <f>CUBEVALUE("ThisWorkbookDataModel",$K450,L$29,Slicer_Department)</f>
        <v>91918</v>
      </c>
      <c r="M450" s="37" vm="1827">
        <f>CUBEVALUE("ThisWorkbookDataModel",$K450,M$29,Slicer_Department)</f>
        <v>2800</v>
      </c>
      <c r="N450" s="37" t="e">
        <f t="shared" si="37"/>
        <v>#N/A</v>
      </c>
      <c r="O450" s="37" vm="1827">
        <f t="shared" si="38"/>
        <v>2800</v>
      </c>
      <c r="P450" s="37" t="e">
        <f t="shared" si="39"/>
        <v>#N/A</v>
      </c>
      <c r="Q450" s="37" t="e">
        <f t="shared" si="40"/>
        <v>#N/A</v>
      </c>
      <c r="R450" s="37" vm="1828">
        <f t="shared" si="41"/>
        <v>91918</v>
      </c>
      <c r="S450" s="37" t="e">
        <f t="shared" si="42"/>
        <v>#N/A</v>
      </c>
    </row>
    <row r="451" spans="10:19" x14ac:dyDescent="0.25">
      <c r="J451" s="36" t="str" vm="142">
        <f>CUBEMEMBER("ThisWorkbookDataModel","[Indian_Employee_Data].[Employee ID].&amp;[Emp1429]")</f>
        <v>Emp1429</v>
      </c>
      <c r="K451" s="36" t="str" vm="141">
        <f>CUBEMEMBER("ThisWorkbookDataModel",{"[Indian_Employee_Data].[Employee ID].&amp;[Emp1429]","[Indian_Employee_Data].[Insurance tier].&amp;[Silver]"})</f>
        <v>Silver</v>
      </c>
      <c r="L451" s="37" vm="1830">
        <f>CUBEVALUE("ThisWorkbookDataModel",$K451,L$29,Slicer_Department)</f>
        <v>64043</v>
      </c>
      <c r="M451" s="37" vm="1829">
        <f>CUBEVALUE("ThisWorkbookDataModel",$K451,M$29,Slicer_Department)</f>
        <v>4200</v>
      </c>
      <c r="N451" s="37" t="e">
        <f t="shared" si="37"/>
        <v>#N/A</v>
      </c>
      <c r="O451" s="37" vm="1829">
        <f t="shared" si="38"/>
        <v>4200</v>
      </c>
      <c r="P451" s="37" t="e">
        <f t="shared" si="39"/>
        <v>#N/A</v>
      </c>
      <c r="Q451" s="37" t="e">
        <f t="shared" si="40"/>
        <v>#N/A</v>
      </c>
      <c r="R451" s="37" vm="1830">
        <f t="shared" si="41"/>
        <v>64043</v>
      </c>
      <c r="S451" s="37" t="e">
        <f t="shared" si="42"/>
        <v>#N/A</v>
      </c>
    </row>
    <row r="452" spans="10:19" x14ac:dyDescent="0.25">
      <c r="J452" s="36" t="str" vm="140">
        <f>CUBEMEMBER("ThisWorkbookDataModel","[Indian_Employee_Data].[Employee ID].&amp;[Emp1430]")</f>
        <v>Emp1430</v>
      </c>
      <c r="K452" s="36" t="str" vm="139">
        <f>CUBEMEMBER("ThisWorkbookDataModel",{"[Indian_Employee_Data].[Employee ID].&amp;[Emp1430]","[Indian_Employee_Data].[Insurance tier].&amp;[Silver]"})</f>
        <v>Silver</v>
      </c>
      <c r="L452" s="37" vm="1832">
        <f>CUBEVALUE("ThisWorkbookDataModel",$K452,L$29,Slicer_Department)</f>
        <v>67624</v>
      </c>
      <c r="M452" s="37" vm="1831">
        <f>CUBEVALUE("ThisWorkbookDataModel",$K452,M$29,Slicer_Department)</f>
        <v>2800</v>
      </c>
      <c r="N452" s="37" t="e">
        <f t="shared" si="37"/>
        <v>#N/A</v>
      </c>
      <c r="O452" s="37" vm="1831">
        <f t="shared" si="38"/>
        <v>2800</v>
      </c>
      <c r="P452" s="37" t="e">
        <f t="shared" si="39"/>
        <v>#N/A</v>
      </c>
      <c r="Q452" s="37" t="e">
        <f t="shared" si="40"/>
        <v>#N/A</v>
      </c>
      <c r="R452" s="37" vm="1832">
        <f t="shared" si="41"/>
        <v>67624</v>
      </c>
      <c r="S452" s="37" t="e">
        <f t="shared" si="42"/>
        <v>#N/A</v>
      </c>
    </row>
    <row r="453" spans="10:19" x14ac:dyDescent="0.25">
      <c r="J453" s="36" t="str" vm="138">
        <f>CUBEMEMBER("ThisWorkbookDataModel","[Indian_Employee_Data].[Employee ID].&amp;[Emp1431]")</f>
        <v>Emp1431</v>
      </c>
      <c r="K453" s="36" t="str" vm="137">
        <f>CUBEMEMBER("ThisWorkbookDataModel",{"[Indian_Employee_Data].[Employee ID].&amp;[Emp1431]","[Indian_Employee_Data].[Insurance tier].&amp;[Gold]"})</f>
        <v>Gold</v>
      </c>
      <c r="L453" s="37" vm="1834">
        <f>CUBEVALUE("ThisWorkbookDataModel",$K453,L$29,Slicer_Department)</f>
        <v>154178</v>
      </c>
      <c r="M453" s="37" vm="1833">
        <f>CUBEVALUE("ThisWorkbookDataModel",$K453,M$29,Slicer_Department)</f>
        <v>9000</v>
      </c>
      <c r="N453" s="37" t="e">
        <f t="shared" si="37"/>
        <v>#N/A</v>
      </c>
      <c r="O453" s="37" t="e">
        <f t="shared" si="38"/>
        <v>#N/A</v>
      </c>
      <c r="P453" s="37" vm="1833">
        <f t="shared" si="39"/>
        <v>9000</v>
      </c>
      <c r="Q453" s="37" t="e">
        <f t="shared" si="40"/>
        <v>#N/A</v>
      </c>
      <c r="R453" s="37" t="e">
        <f t="shared" si="41"/>
        <v>#N/A</v>
      </c>
      <c r="S453" s="37" vm="1834">
        <f t="shared" si="42"/>
        <v>154178</v>
      </c>
    </row>
    <row r="454" spans="10:19" x14ac:dyDescent="0.25">
      <c r="J454" s="36" t="str" vm="136">
        <f>CUBEMEMBER("ThisWorkbookDataModel","[Indian_Employee_Data].[Employee ID].&amp;[Emp1432]")</f>
        <v>Emp1432</v>
      </c>
      <c r="K454" s="36" t="str" vm="135">
        <f>CUBEMEMBER("ThisWorkbookDataModel",{"[Indian_Employee_Data].[Employee ID].&amp;[Emp1432]","[Indian_Employee_Data].[Insurance tier].&amp;[Gold]"})</f>
        <v>Gold</v>
      </c>
      <c r="L454" s="37" vm="1836">
        <f>CUBEVALUE("ThisWorkbookDataModel",$K454,L$29,Slicer_Department)</f>
        <v>128762</v>
      </c>
      <c r="M454" s="37" vm="1835">
        <f>CUBEVALUE("ThisWorkbookDataModel",$K454,M$29,Slicer_Department)</f>
        <v>6750</v>
      </c>
      <c r="N454" s="37" t="e">
        <f t="shared" si="37"/>
        <v>#N/A</v>
      </c>
      <c r="O454" s="37" t="e">
        <f t="shared" si="38"/>
        <v>#N/A</v>
      </c>
      <c r="P454" s="37" vm="1835">
        <f t="shared" si="39"/>
        <v>6750</v>
      </c>
      <c r="Q454" s="37" t="e">
        <f t="shared" si="40"/>
        <v>#N/A</v>
      </c>
      <c r="R454" s="37" t="e">
        <f t="shared" si="41"/>
        <v>#N/A</v>
      </c>
      <c r="S454" s="37" vm="1836">
        <f t="shared" si="42"/>
        <v>128762</v>
      </c>
    </row>
    <row r="455" spans="10:19" x14ac:dyDescent="0.25">
      <c r="J455" s="36" t="str" vm="134">
        <f>CUBEMEMBER("ThisWorkbookDataModel","[Indian_Employee_Data].[Employee ID].&amp;[Emp1433]")</f>
        <v>Emp1433</v>
      </c>
      <c r="K455" s="36" t="str" vm="133">
        <f>CUBEMEMBER("ThisWorkbookDataModel",{"[Indian_Employee_Data].[Employee ID].&amp;[Emp1433]","[Indian_Employee_Data].[Insurance tier].&amp;[Silver]"})</f>
        <v>Silver</v>
      </c>
      <c r="L455" s="37" vm="1838">
        <f>CUBEVALUE("ThisWorkbookDataModel",$K455,L$29,Slicer_Department)</f>
        <v>61640</v>
      </c>
      <c r="M455" s="37" vm="1837">
        <f>CUBEVALUE("ThisWorkbookDataModel",$K455,M$29,Slicer_Department)</f>
        <v>4200</v>
      </c>
      <c r="N455" s="37" t="e">
        <f t="shared" si="37"/>
        <v>#N/A</v>
      </c>
      <c r="O455" s="37" vm="1837">
        <f t="shared" si="38"/>
        <v>4200</v>
      </c>
      <c r="P455" s="37" t="e">
        <f t="shared" si="39"/>
        <v>#N/A</v>
      </c>
      <c r="Q455" s="37" t="e">
        <f t="shared" si="40"/>
        <v>#N/A</v>
      </c>
      <c r="R455" s="37" vm="1838">
        <f t="shared" si="41"/>
        <v>61640</v>
      </c>
      <c r="S455" s="37" t="e">
        <f t="shared" si="42"/>
        <v>#N/A</v>
      </c>
    </row>
    <row r="456" spans="10:19" x14ac:dyDescent="0.25">
      <c r="J456" s="36" t="str" vm="132">
        <f>CUBEMEMBER("ThisWorkbookDataModel","[Indian_Employee_Data].[Employee ID].&amp;[Emp1434]")</f>
        <v>Emp1434</v>
      </c>
      <c r="K456" s="36" t="str" vm="131">
        <f>CUBEMEMBER("ThisWorkbookDataModel",{"[Indian_Employee_Data].[Employee ID].&amp;[Emp1434]","[Indian_Employee_Data].[Insurance tier].&amp;[Bronze]"})</f>
        <v>Bronze</v>
      </c>
      <c r="L456" s="37" vm="1840">
        <f>CUBEVALUE("ThisWorkbookDataModel",$K456,L$29,Slicer_Department)</f>
        <v>58855</v>
      </c>
      <c r="M456" s="37" vm="1839">
        <f>CUBEVALUE("ThisWorkbookDataModel",$K456,M$29,Slicer_Department)</f>
        <v>1500</v>
      </c>
      <c r="N456" s="37" vm="1839">
        <f t="shared" si="37"/>
        <v>1500</v>
      </c>
      <c r="O456" s="37" t="e">
        <f t="shared" si="38"/>
        <v>#N/A</v>
      </c>
      <c r="P456" s="37" t="e">
        <f t="shared" si="39"/>
        <v>#N/A</v>
      </c>
      <c r="Q456" s="37" vm="1840">
        <f t="shared" si="40"/>
        <v>58855</v>
      </c>
      <c r="R456" s="37" t="e">
        <f t="shared" si="41"/>
        <v>#N/A</v>
      </c>
      <c r="S456" s="37" t="e">
        <f t="shared" si="42"/>
        <v>#N/A</v>
      </c>
    </row>
    <row r="457" spans="10:19" x14ac:dyDescent="0.25">
      <c r="J457" s="36" t="str" vm="130">
        <f>CUBEMEMBER("ThisWorkbookDataModel","[Indian_Employee_Data].[Employee ID].&amp;[Emp1435]")</f>
        <v>Emp1435</v>
      </c>
      <c r="K457" s="36" t="str" vm="129">
        <f>CUBEMEMBER("ThisWorkbookDataModel",{"[Indian_Employee_Data].[Employee ID].&amp;[Emp1435]","[Indian_Employee_Data].[Insurance tier].&amp;[Gold]"})</f>
        <v>Gold</v>
      </c>
      <c r="L457" s="37" vm="1842">
        <f>CUBEVALUE("ThisWorkbookDataModel",$K457,L$29,Slicer_Department)</f>
        <v>142702</v>
      </c>
      <c r="M457" s="37" vm="1841">
        <f>CUBEVALUE("ThisWorkbookDataModel",$K457,M$29,Slicer_Department)</f>
        <v>9000</v>
      </c>
      <c r="N457" s="37" t="e">
        <f t="shared" si="37"/>
        <v>#N/A</v>
      </c>
      <c r="O457" s="37" t="e">
        <f t="shared" si="38"/>
        <v>#N/A</v>
      </c>
      <c r="P457" s="37" vm="1841">
        <f t="shared" si="39"/>
        <v>9000</v>
      </c>
      <c r="Q457" s="37" t="e">
        <f t="shared" si="40"/>
        <v>#N/A</v>
      </c>
      <c r="R457" s="37" t="e">
        <f t="shared" si="41"/>
        <v>#N/A</v>
      </c>
      <c r="S457" s="37" vm="1842">
        <f t="shared" si="42"/>
        <v>142702</v>
      </c>
    </row>
    <row r="458" spans="10:19" x14ac:dyDescent="0.25">
      <c r="J458" s="36" t="str" vm="128">
        <f>CUBEMEMBER("ThisWorkbookDataModel","[Indian_Employee_Data].[Employee ID].&amp;[Emp1436]")</f>
        <v>Emp1436</v>
      </c>
      <c r="K458" s="36" t="str" vm="127">
        <f>CUBEMEMBER("ThisWorkbookDataModel",{"[Indian_Employee_Data].[Employee ID].&amp;[Emp1436]","[Indian_Employee_Data].[Insurance tier].&amp;[Bronze]"})</f>
        <v>Bronze</v>
      </c>
      <c r="L458" s="37" vm="1844">
        <f>CUBEVALUE("ThisWorkbookDataModel",$K458,L$29,Slicer_Department)</f>
        <v>56839</v>
      </c>
      <c r="M458" s="37" vm="1843">
        <f>CUBEVALUE("ThisWorkbookDataModel",$K458,M$29,Slicer_Department)</f>
        <v>1500</v>
      </c>
      <c r="N458" s="37" vm="1843">
        <f t="shared" si="37"/>
        <v>1500</v>
      </c>
      <c r="O458" s="37" t="e">
        <f t="shared" si="38"/>
        <v>#N/A</v>
      </c>
      <c r="P458" s="37" t="e">
        <f t="shared" si="39"/>
        <v>#N/A</v>
      </c>
      <c r="Q458" s="37" vm="1844">
        <f t="shared" si="40"/>
        <v>56839</v>
      </c>
      <c r="R458" s="37" t="e">
        <f t="shared" si="41"/>
        <v>#N/A</v>
      </c>
      <c r="S458" s="37" t="e">
        <f t="shared" si="42"/>
        <v>#N/A</v>
      </c>
    </row>
    <row r="459" spans="10:19" x14ac:dyDescent="0.25">
      <c r="J459" s="36" t="str" vm="126">
        <f>CUBEMEMBER("ThisWorkbookDataModel","[Indian_Employee_Data].[Employee ID].&amp;[Emp1437]")</f>
        <v>Emp1437</v>
      </c>
      <c r="K459" s="36" t="str" vm="125">
        <f>CUBEMEMBER("ThisWorkbookDataModel",{"[Indian_Employee_Data].[Employee ID].&amp;[Emp1437]","[Indian_Employee_Data].[Insurance tier].&amp;[Gold]"})</f>
        <v>Gold</v>
      </c>
      <c r="L459" s="37" vm="1846">
        <f>CUBEVALUE("ThisWorkbookDataModel",$K459,L$29,Slicer_Department)</f>
        <v>167184</v>
      </c>
      <c r="M459" s="37" vm="1845">
        <f>CUBEVALUE("ThisWorkbookDataModel",$K459,M$29,Slicer_Department)</f>
        <v>6750</v>
      </c>
      <c r="N459" s="37" t="e">
        <f t="shared" si="37"/>
        <v>#N/A</v>
      </c>
      <c r="O459" s="37" t="e">
        <f t="shared" si="38"/>
        <v>#N/A</v>
      </c>
      <c r="P459" s="37" vm="1845">
        <f t="shared" si="39"/>
        <v>6750</v>
      </c>
      <c r="Q459" s="37" t="e">
        <f t="shared" si="40"/>
        <v>#N/A</v>
      </c>
      <c r="R459" s="37" t="e">
        <f t="shared" si="41"/>
        <v>#N/A</v>
      </c>
      <c r="S459" s="37" vm="1846">
        <f t="shared" si="42"/>
        <v>167184</v>
      </c>
    </row>
    <row r="460" spans="10:19" x14ac:dyDescent="0.25">
      <c r="J460" s="36" t="str" vm="124">
        <f>CUBEMEMBER("ThisWorkbookDataModel","[Indian_Employee_Data].[Employee ID].&amp;[Emp1438]")</f>
        <v>Emp1438</v>
      </c>
      <c r="K460" s="36" t="str" vm="123">
        <f>CUBEMEMBER("ThisWorkbookDataModel",{"[Indian_Employee_Data].[Employee ID].&amp;[Emp1438]","[Indian_Employee_Data].[Insurance tier].&amp;[Gold]"})</f>
        <v>Gold</v>
      </c>
      <c r="L460" s="37" vm="1848">
        <f>CUBEVALUE("ThisWorkbookDataModel",$K460,L$29,Slicer_Department)</f>
        <v>143653</v>
      </c>
      <c r="M460" s="37" vm="1847">
        <f>CUBEVALUE("ThisWorkbookDataModel",$K460,M$29,Slicer_Department)</f>
        <v>6750</v>
      </c>
      <c r="N460" s="37" t="e">
        <f t="shared" si="37"/>
        <v>#N/A</v>
      </c>
      <c r="O460" s="37" t="e">
        <f t="shared" si="38"/>
        <v>#N/A</v>
      </c>
      <c r="P460" s="37" vm="1847">
        <f t="shared" si="39"/>
        <v>6750</v>
      </c>
      <c r="Q460" s="37" t="e">
        <f t="shared" si="40"/>
        <v>#N/A</v>
      </c>
      <c r="R460" s="37" t="e">
        <f t="shared" si="41"/>
        <v>#N/A</v>
      </c>
      <c r="S460" s="37" vm="1848">
        <f t="shared" si="42"/>
        <v>143653</v>
      </c>
    </row>
    <row r="461" spans="10:19" x14ac:dyDescent="0.25">
      <c r="J461" s="36" t="str" vm="122">
        <f>CUBEMEMBER("ThisWorkbookDataModel","[Indian_Employee_Data].[Employee ID].&amp;[Emp1439]")</f>
        <v>Emp1439</v>
      </c>
      <c r="K461" s="36" t="str" vm="121">
        <f>CUBEMEMBER("ThisWorkbookDataModel",{"[Indian_Employee_Data].[Employee ID].&amp;[Emp1439]","[Indian_Employee_Data].[Insurance tier].&amp;[Bronze]"})</f>
        <v>Bronze</v>
      </c>
      <c r="L461" s="37" vm="1850">
        <f>CUBEVALUE("ThisWorkbookDataModel",$K461,L$29,Slicer_Department)</f>
        <v>58378</v>
      </c>
      <c r="M461" s="37" vm="1849">
        <f>CUBEVALUE("ThisWorkbookDataModel",$K461,M$29,Slicer_Department)</f>
        <v>1500</v>
      </c>
      <c r="N461" s="37" vm="1849">
        <f t="shared" si="37"/>
        <v>1500</v>
      </c>
      <c r="O461" s="37" t="e">
        <f t="shared" si="38"/>
        <v>#N/A</v>
      </c>
      <c r="P461" s="37" t="e">
        <f t="shared" si="39"/>
        <v>#N/A</v>
      </c>
      <c r="Q461" s="37" vm="1850">
        <f t="shared" si="40"/>
        <v>58378</v>
      </c>
      <c r="R461" s="37" t="e">
        <f t="shared" si="41"/>
        <v>#N/A</v>
      </c>
      <c r="S461" s="37" t="e">
        <f t="shared" si="42"/>
        <v>#N/A</v>
      </c>
    </row>
    <row r="462" spans="10:19" x14ac:dyDescent="0.25">
      <c r="J462" s="36" t="str" vm="120">
        <f>CUBEMEMBER("ThisWorkbookDataModel","[Indian_Employee_Data].[Employee ID].&amp;[Emp1440]")</f>
        <v>Emp1440</v>
      </c>
      <c r="K462" s="36" t="str" vm="119">
        <f>CUBEMEMBER("ThisWorkbookDataModel",{"[Indian_Employee_Data].[Employee ID].&amp;[Emp1440]","[Indian_Employee_Data].[Insurance tier].&amp;[Bronze]"})</f>
        <v>Bronze</v>
      </c>
      <c r="L462" s="37" vm="1852">
        <f>CUBEVALUE("ThisWorkbookDataModel",$K462,L$29,Slicer_Department)</f>
        <v>58980</v>
      </c>
      <c r="M462" s="37" vm="1851">
        <f>CUBEVALUE("ThisWorkbookDataModel",$K462,M$29,Slicer_Department)</f>
        <v>1500</v>
      </c>
      <c r="N462" s="37" vm="1851">
        <f t="shared" si="37"/>
        <v>1500</v>
      </c>
      <c r="O462" s="37" t="e">
        <f t="shared" si="38"/>
        <v>#N/A</v>
      </c>
      <c r="P462" s="37" t="e">
        <f t="shared" si="39"/>
        <v>#N/A</v>
      </c>
      <c r="Q462" s="37" vm="1852">
        <f t="shared" si="40"/>
        <v>58980</v>
      </c>
      <c r="R462" s="37" t="e">
        <f t="shared" si="41"/>
        <v>#N/A</v>
      </c>
      <c r="S462" s="37" t="e">
        <f t="shared" si="42"/>
        <v>#N/A</v>
      </c>
    </row>
    <row r="463" spans="10:19" x14ac:dyDescent="0.25">
      <c r="J463" s="36" t="str" vm="118">
        <f>CUBEMEMBER("ThisWorkbookDataModel","[Indian_Employee_Data].[Employee ID].&amp;[Emp1441]")</f>
        <v>Emp1441</v>
      </c>
      <c r="K463" s="36" t="str" vm="117">
        <f>CUBEMEMBER("ThisWorkbookDataModel",{"[Indian_Employee_Data].[Employee ID].&amp;[Emp1441]","[Indian_Employee_Data].[Insurance tier].&amp;[Gold]"})</f>
        <v>Gold</v>
      </c>
      <c r="L463" s="37" vm="1854">
        <f>CUBEVALUE("ThisWorkbookDataModel",$K463,L$29,Slicer_Department)</f>
        <v>227320</v>
      </c>
      <c r="M463" s="37" vm="1853">
        <f>CUBEVALUE("ThisWorkbookDataModel",$K463,M$29,Slicer_Department)</f>
        <v>6750</v>
      </c>
      <c r="N463" s="37" t="e">
        <f t="shared" si="37"/>
        <v>#N/A</v>
      </c>
      <c r="O463" s="37" t="e">
        <f t="shared" si="38"/>
        <v>#N/A</v>
      </c>
      <c r="P463" s="37" vm="1853">
        <f t="shared" si="39"/>
        <v>6750</v>
      </c>
      <c r="Q463" s="37" t="e">
        <f t="shared" si="40"/>
        <v>#N/A</v>
      </c>
      <c r="R463" s="37" t="e">
        <f t="shared" si="41"/>
        <v>#N/A</v>
      </c>
      <c r="S463" s="37" vm="1854">
        <f t="shared" si="42"/>
        <v>227320</v>
      </c>
    </row>
    <row r="464" spans="10:19" x14ac:dyDescent="0.25">
      <c r="J464" s="36" t="str" vm="116">
        <f>CUBEMEMBER("ThisWorkbookDataModel","[Indian_Employee_Data].[Employee ID].&amp;[Emp1442]")</f>
        <v>Emp1442</v>
      </c>
      <c r="K464" s="36" t="str" vm="115">
        <f>CUBEMEMBER("ThisWorkbookDataModel",{"[Indian_Employee_Data].[Employee ID].&amp;[Emp1442]","[Indian_Employee_Data].[Insurance tier].&amp;[Silver]"})</f>
        <v>Silver</v>
      </c>
      <c r="L464" s="37" vm="1856">
        <f>CUBEVALUE("ThisWorkbookDataModel",$K464,L$29,Slicer_Department)</f>
        <v>94788</v>
      </c>
      <c r="M464" s="37" vm="1855">
        <f>CUBEVALUE("ThisWorkbookDataModel",$K464,M$29,Slicer_Department)</f>
        <v>4200</v>
      </c>
      <c r="N464" s="37" t="e">
        <f t="shared" si="37"/>
        <v>#N/A</v>
      </c>
      <c r="O464" s="37" vm="1855">
        <f t="shared" si="38"/>
        <v>4200</v>
      </c>
      <c r="P464" s="37" t="e">
        <f t="shared" si="39"/>
        <v>#N/A</v>
      </c>
      <c r="Q464" s="37" t="e">
        <f t="shared" si="40"/>
        <v>#N/A</v>
      </c>
      <c r="R464" s="37" vm="1856">
        <f t="shared" si="41"/>
        <v>94788</v>
      </c>
      <c r="S464" s="37" t="e">
        <f t="shared" si="42"/>
        <v>#N/A</v>
      </c>
    </row>
    <row r="465" spans="10:19" x14ac:dyDescent="0.25">
      <c r="J465" s="36" t="str" vm="114">
        <f>CUBEMEMBER("ThisWorkbookDataModel","[Indian_Employee_Data].[Employee ID].&amp;[Emp1443]")</f>
        <v>Emp1443</v>
      </c>
      <c r="K465" s="36" t="str" vm="113">
        <f>CUBEMEMBER("ThisWorkbookDataModel",{"[Indian_Employee_Data].[Employee ID].&amp;[Emp1443]","[Indian_Employee_Data].[Insurance tier].&amp;[Silver]"})</f>
        <v>Silver</v>
      </c>
      <c r="L465" s="37" vm="1858">
        <f>CUBEVALUE("ThisWorkbookDataModel",$K465,L$29,Slicer_Department)</f>
        <v>94339</v>
      </c>
      <c r="M465" s="37" vm="1857">
        <f>CUBEVALUE("ThisWorkbookDataModel",$K465,M$29,Slicer_Department)</f>
        <v>4200</v>
      </c>
      <c r="N465" s="37" t="e">
        <f t="shared" si="37"/>
        <v>#N/A</v>
      </c>
      <c r="O465" s="37" vm="1857">
        <f t="shared" si="38"/>
        <v>4200</v>
      </c>
      <c r="P465" s="37" t="e">
        <f t="shared" si="39"/>
        <v>#N/A</v>
      </c>
      <c r="Q465" s="37" t="e">
        <f t="shared" si="40"/>
        <v>#N/A</v>
      </c>
      <c r="R465" s="37" vm="1858">
        <f t="shared" si="41"/>
        <v>94339</v>
      </c>
      <c r="S465" s="37" t="e">
        <f t="shared" si="42"/>
        <v>#N/A</v>
      </c>
    </row>
    <row r="466" spans="10:19" x14ac:dyDescent="0.25">
      <c r="J466" s="36" t="str" vm="112">
        <f>CUBEMEMBER("ThisWorkbookDataModel","[Indian_Employee_Data].[Employee ID].&amp;[Emp1444]")</f>
        <v>Emp1444</v>
      </c>
      <c r="K466" s="36" t="str" vm="111">
        <f>CUBEMEMBER("ThisWorkbookDataModel",{"[Indian_Employee_Data].[Employee ID].&amp;[Emp1444]","[Indian_Employee_Data].[Insurance tier].&amp;[Gold]"})</f>
        <v>Gold</v>
      </c>
      <c r="L466" s="37" vm="1860">
        <f>CUBEVALUE("ThisWorkbookDataModel",$K466,L$29,Slicer_Department)</f>
        <v>165104</v>
      </c>
      <c r="M466" s="37" vm="1859">
        <f>CUBEVALUE("ThisWorkbookDataModel",$K466,M$29,Slicer_Department)</f>
        <v>6750</v>
      </c>
      <c r="N466" s="37" t="e">
        <f t="shared" si="37"/>
        <v>#N/A</v>
      </c>
      <c r="O466" s="37" t="e">
        <f t="shared" si="38"/>
        <v>#N/A</v>
      </c>
      <c r="P466" s="37" vm="1859">
        <f t="shared" si="39"/>
        <v>6750</v>
      </c>
      <c r="Q466" s="37" t="e">
        <f t="shared" si="40"/>
        <v>#N/A</v>
      </c>
      <c r="R466" s="37" t="e">
        <f t="shared" si="41"/>
        <v>#N/A</v>
      </c>
      <c r="S466" s="37" vm="1860">
        <f t="shared" si="42"/>
        <v>165104</v>
      </c>
    </row>
    <row r="467" spans="10:19" x14ac:dyDescent="0.25">
      <c r="J467" s="36" t="str" vm="110">
        <f>CUBEMEMBER("ThisWorkbookDataModel","[Indian_Employee_Data].[Employee ID].&amp;[Emp1445]")</f>
        <v>Emp1445</v>
      </c>
      <c r="K467" s="36" t="str" vm="109">
        <f>CUBEMEMBER("ThisWorkbookDataModel",{"[Indian_Employee_Data].[Employee ID].&amp;[Emp1445]","[Indian_Employee_Data].[Insurance tier].&amp;[Gold]"})</f>
        <v>Gold</v>
      </c>
      <c r="L467" s="37" vm="1862">
        <f>CUBEVALUE("ThisWorkbookDataModel",$K467,L$29,Slicer_Department)</f>
        <v>204934</v>
      </c>
      <c r="M467" s="37" vm="1861">
        <f>CUBEVALUE("ThisWorkbookDataModel",$K467,M$29,Slicer_Department)</f>
        <v>9000</v>
      </c>
      <c r="N467" s="37" t="e">
        <f t="shared" si="37"/>
        <v>#N/A</v>
      </c>
      <c r="O467" s="37" t="e">
        <f t="shared" si="38"/>
        <v>#N/A</v>
      </c>
      <c r="P467" s="37" vm="1861">
        <f t="shared" si="39"/>
        <v>9000</v>
      </c>
      <c r="Q467" s="37" t="e">
        <f t="shared" si="40"/>
        <v>#N/A</v>
      </c>
      <c r="R467" s="37" t="e">
        <f t="shared" si="41"/>
        <v>#N/A</v>
      </c>
      <c r="S467" s="37" vm="1862">
        <f t="shared" si="42"/>
        <v>204934</v>
      </c>
    </row>
    <row r="468" spans="10:19" x14ac:dyDescent="0.25">
      <c r="J468" s="36" t="str" vm="108">
        <f>CUBEMEMBER("ThisWorkbookDataModel","[Indian_Employee_Data].[Employee ID].&amp;[Emp1446]")</f>
        <v>Emp1446</v>
      </c>
      <c r="K468" s="36" t="str" vm="107">
        <f>CUBEMEMBER("ThisWorkbookDataModel",{"[Indian_Employee_Data].[Employee ID].&amp;[Emp1446]","[Indian_Employee_Data].[Insurance tier].&amp;[Gold]"})</f>
        <v>Gold</v>
      </c>
      <c r="L468" s="37" vm="1864">
        <f>CUBEVALUE("ThisWorkbookDataModel",$K468,L$29,Slicer_Department)</f>
        <v>226784</v>
      </c>
      <c r="M468" s="37" vm="1863">
        <f>CUBEVALUE("ThisWorkbookDataModel",$K468,M$29,Slicer_Department)</f>
        <v>6750</v>
      </c>
      <c r="N468" s="37" t="e">
        <f t="shared" si="37"/>
        <v>#N/A</v>
      </c>
      <c r="O468" s="37" t="e">
        <f t="shared" si="38"/>
        <v>#N/A</v>
      </c>
      <c r="P468" s="37" vm="1863">
        <f t="shared" si="39"/>
        <v>6750</v>
      </c>
      <c r="Q468" s="37" t="e">
        <f t="shared" si="40"/>
        <v>#N/A</v>
      </c>
      <c r="R468" s="37" t="e">
        <f t="shared" si="41"/>
        <v>#N/A</v>
      </c>
      <c r="S468" s="37" vm="1864">
        <f t="shared" si="42"/>
        <v>226784</v>
      </c>
    </row>
    <row r="469" spans="10:19" x14ac:dyDescent="0.25">
      <c r="J469" s="36" t="str" vm="106">
        <f>CUBEMEMBER("ThisWorkbookDataModel","[Indian_Employee_Data].[Employee ID].&amp;[Emp1447]")</f>
        <v>Emp1447</v>
      </c>
      <c r="K469" s="36" t="str" vm="105">
        <f>CUBEMEMBER("ThisWorkbookDataModel",{"[Indian_Employee_Data].[Employee ID].&amp;[Emp1447]","[Indian_Employee_Data].[Insurance tier].&amp;[Gold]"})</f>
        <v>Gold</v>
      </c>
      <c r="L469" s="37" vm="1866">
        <f>CUBEVALUE("ThisWorkbookDataModel",$K469,L$29,Slicer_Department)</f>
        <v>152558</v>
      </c>
      <c r="M469" s="37" vm="1865">
        <f>CUBEVALUE("ThisWorkbookDataModel",$K469,M$29,Slicer_Department)</f>
        <v>6750</v>
      </c>
      <c r="N469" s="37" t="e">
        <f t="shared" si="37"/>
        <v>#N/A</v>
      </c>
      <c r="O469" s="37" t="e">
        <f t="shared" si="38"/>
        <v>#N/A</v>
      </c>
      <c r="P469" s="37" vm="1865">
        <f t="shared" si="39"/>
        <v>6750</v>
      </c>
      <c r="Q469" s="37" t="e">
        <f t="shared" si="40"/>
        <v>#N/A</v>
      </c>
      <c r="R469" s="37" t="e">
        <f t="shared" si="41"/>
        <v>#N/A</v>
      </c>
      <c r="S469" s="37" vm="1866">
        <f t="shared" si="42"/>
        <v>152558</v>
      </c>
    </row>
    <row r="470" spans="10:19" x14ac:dyDescent="0.25">
      <c r="J470" s="36" t="str" vm="104">
        <f>CUBEMEMBER("ThisWorkbookDataModel","[Indian_Employee_Data].[Employee ID].&amp;[Emp1448]")</f>
        <v>Emp1448</v>
      </c>
      <c r="K470" s="36" t="str" vm="103">
        <f>CUBEMEMBER("ThisWorkbookDataModel",{"[Indian_Employee_Data].[Employee ID].&amp;[Emp1448]","[Indian_Employee_Data].[Insurance tier].&amp;[Silver]"})</f>
        <v>Silver</v>
      </c>
      <c r="L470" s="37" vm="1868">
        <f>CUBEVALUE("ThisWorkbookDataModel",$K470,L$29,Slicer_Department)</f>
        <v>95035</v>
      </c>
      <c r="M470" s="37" vm="1867">
        <f>CUBEVALUE("ThisWorkbookDataModel",$K470,M$29,Slicer_Department)</f>
        <v>4200</v>
      </c>
      <c r="N470" s="37" t="e">
        <f t="shared" si="37"/>
        <v>#N/A</v>
      </c>
      <c r="O470" s="37" vm="1867">
        <f t="shared" si="38"/>
        <v>4200</v>
      </c>
      <c r="P470" s="37" t="e">
        <f t="shared" si="39"/>
        <v>#N/A</v>
      </c>
      <c r="Q470" s="37" t="e">
        <f t="shared" si="40"/>
        <v>#N/A</v>
      </c>
      <c r="R470" s="37" vm="1868">
        <f t="shared" si="41"/>
        <v>95035</v>
      </c>
      <c r="S470" s="37" t="e">
        <f t="shared" si="42"/>
        <v>#N/A</v>
      </c>
    </row>
    <row r="471" spans="10:19" x14ac:dyDescent="0.25">
      <c r="J471" s="36" t="str" vm="102">
        <f>CUBEMEMBER("ThisWorkbookDataModel","[Indian_Employee_Data].[Employee ID].&amp;[Emp1449]")</f>
        <v>Emp1449</v>
      </c>
      <c r="K471" s="36" t="str" vm="101">
        <f>CUBEMEMBER("ThisWorkbookDataModel",{"[Indian_Employee_Data].[Employee ID].&amp;[Emp1449]","[Indian_Employee_Data].[Insurance tier].&amp;[Bronze]"})</f>
        <v>Bronze</v>
      </c>
      <c r="L471" s="37" vm="1870">
        <f>CUBEVALUE("ThisWorkbookDataModel",$K471,L$29,Slicer_Department)</f>
        <v>58751</v>
      </c>
      <c r="M471" s="37" vm="1869">
        <f>CUBEVALUE("ThisWorkbookDataModel",$K471,M$29,Slicer_Department)</f>
        <v>1500</v>
      </c>
      <c r="N471" s="37" vm="1869">
        <f t="shared" si="37"/>
        <v>1500</v>
      </c>
      <c r="O471" s="37" t="e">
        <f t="shared" si="38"/>
        <v>#N/A</v>
      </c>
      <c r="P471" s="37" t="e">
        <f t="shared" si="39"/>
        <v>#N/A</v>
      </c>
      <c r="Q471" s="37" vm="1870">
        <f t="shared" si="40"/>
        <v>58751</v>
      </c>
      <c r="R471" s="37" t="e">
        <f t="shared" si="41"/>
        <v>#N/A</v>
      </c>
      <c r="S471" s="37" t="e">
        <f t="shared" si="42"/>
        <v>#N/A</v>
      </c>
    </row>
    <row r="472" spans="10:19" x14ac:dyDescent="0.25">
      <c r="J472" s="36" t="str" vm="100">
        <f>CUBEMEMBER("ThisWorkbookDataModel","[Indian_Employee_Data].[Employee ID].&amp;[Emp1450]")</f>
        <v>Emp1450</v>
      </c>
      <c r="K472" s="36" t="str" vm="99">
        <f>CUBEMEMBER("ThisWorkbookDataModel",{"[Indian_Employee_Data].[Employee ID].&amp;[Emp1450]","[Indian_Employee_Data].[Insurance tier].&amp;[Gold]"})</f>
        <v>Gold</v>
      </c>
      <c r="L472" s="37" vm="1872">
        <f>CUBEVALUE("ThisWorkbookDataModel",$K472,L$29,Slicer_Department)</f>
        <v>157372</v>
      </c>
      <c r="M472" s="37" vm="1871">
        <f>CUBEVALUE("ThisWorkbookDataModel",$K472,M$29,Slicer_Department)</f>
        <v>9000</v>
      </c>
      <c r="N472" s="37" t="e">
        <f t="shared" si="37"/>
        <v>#N/A</v>
      </c>
      <c r="O472" s="37" t="e">
        <f t="shared" si="38"/>
        <v>#N/A</v>
      </c>
      <c r="P472" s="37" vm="1871">
        <f t="shared" si="39"/>
        <v>9000</v>
      </c>
      <c r="Q472" s="37" t="e">
        <f t="shared" si="40"/>
        <v>#N/A</v>
      </c>
      <c r="R472" s="37" t="e">
        <f t="shared" si="41"/>
        <v>#N/A</v>
      </c>
      <c r="S472" s="37" vm="1872">
        <f t="shared" si="42"/>
        <v>157372</v>
      </c>
    </row>
    <row r="473" spans="10:19" x14ac:dyDescent="0.25">
      <c r="J473" s="36" t="str" vm="98">
        <f>CUBEMEMBER("ThisWorkbookDataModel","[Indian_Employee_Data].[Employee ID].&amp;[Emp1451]")</f>
        <v>Emp1451</v>
      </c>
      <c r="K473" s="36" t="str" vm="97">
        <f>CUBEMEMBER("ThisWorkbookDataModel",{"[Indian_Employee_Data].[Employee ID].&amp;[Emp1451]","[Indian_Employee_Data].[Insurance tier].&amp;[Silver]"})</f>
        <v>Silver</v>
      </c>
      <c r="L473" s="37" vm="1874">
        <f>CUBEVALUE("ThisWorkbookDataModel",$K473,L$29,Slicer_Department)</f>
        <v>119610</v>
      </c>
      <c r="M473" s="37" vm="1873">
        <f>CUBEVALUE("ThisWorkbookDataModel",$K473,M$29,Slicer_Department)</f>
        <v>2800</v>
      </c>
      <c r="N473" s="37" t="e">
        <f t="shared" si="37"/>
        <v>#N/A</v>
      </c>
      <c r="O473" s="37" vm="1873">
        <f t="shared" si="38"/>
        <v>2800</v>
      </c>
      <c r="P473" s="37" t="e">
        <f t="shared" si="39"/>
        <v>#N/A</v>
      </c>
      <c r="Q473" s="37" t="e">
        <f t="shared" si="40"/>
        <v>#N/A</v>
      </c>
      <c r="R473" s="37" vm="1874">
        <f t="shared" si="41"/>
        <v>119610</v>
      </c>
      <c r="S473" s="37" t="e">
        <f t="shared" si="42"/>
        <v>#N/A</v>
      </c>
    </row>
    <row r="474" spans="10:19" x14ac:dyDescent="0.25">
      <c r="J474" s="36" t="str" vm="96">
        <f>CUBEMEMBER("ThisWorkbookDataModel","[Indian_Employee_Data].[Employee ID].&amp;[Emp1452]")</f>
        <v>Emp1452</v>
      </c>
      <c r="K474" s="36" t="str" vm="95">
        <f>CUBEMEMBER("ThisWorkbookDataModel",{"[Indian_Employee_Data].[Employee ID].&amp;[Emp1452]","[Indian_Employee_Data].[Insurance tier].&amp;[Silver]"})</f>
        <v>Silver</v>
      </c>
      <c r="L474" s="37" vm="1876">
        <f>CUBEVALUE("ThisWorkbookDataModel",$K474,L$29,Slicer_Department)</f>
        <v>101112</v>
      </c>
      <c r="M474" s="37" vm="1875">
        <f>CUBEVALUE("ThisWorkbookDataModel",$K474,M$29,Slicer_Department)</f>
        <v>4200</v>
      </c>
      <c r="N474" s="37" t="e">
        <f t="shared" si="37"/>
        <v>#N/A</v>
      </c>
      <c r="O474" s="37" vm="1875">
        <f t="shared" si="38"/>
        <v>4200</v>
      </c>
      <c r="P474" s="37" t="e">
        <f t="shared" si="39"/>
        <v>#N/A</v>
      </c>
      <c r="Q474" s="37" t="e">
        <f t="shared" si="40"/>
        <v>#N/A</v>
      </c>
      <c r="R474" s="37" vm="1876">
        <f t="shared" si="41"/>
        <v>101112</v>
      </c>
      <c r="S474" s="37" t="e">
        <f t="shared" si="42"/>
        <v>#N/A</v>
      </c>
    </row>
    <row r="475" spans="10:19" x14ac:dyDescent="0.25">
      <c r="J475" s="36" t="str" vm="94">
        <f>CUBEMEMBER("ThisWorkbookDataModel","[Indian_Employee_Data].[Employee ID].&amp;[Emp1453]")</f>
        <v>Emp1453</v>
      </c>
      <c r="K475" s="36" t="str" vm="93">
        <f>CUBEMEMBER("ThisWorkbookDataModel",{"[Indian_Employee_Data].[Employee ID].&amp;[Emp1453]","[Indian_Employee_Data].[Insurance tier].&amp;[Gold]"})</f>
        <v>Gold</v>
      </c>
      <c r="L475" s="37" vm="1878">
        <f>CUBEVALUE("ThisWorkbookDataModel",$K475,L$29,Slicer_Department)</f>
        <v>189955</v>
      </c>
      <c r="M475" s="37" vm="1877">
        <f>CUBEVALUE("ThisWorkbookDataModel",$K475,M$29,Slicer_Department)</f>
        <v>6750</v>
      </c>
      <c r="N475" s="37" t="e">
        <f t="shared" si="37"/>
        <v>#N/A</v>
      </c>
      <c r="O475" s="37" t="e">
        <f t="shared" si="38"/>
        <v>#N/A</v>
      </c>
      <c r="P475" s="37" vm="1877">
        <f t="shared" si="39"/>
        <v>6750</v>
      </c>
      <c r="Q475" s="37" t="e">
        <f t="shared" si="40"/>
        <v>#N/A</v>
      </c>
      <c r="R475" s="37" t="e">
        <f t="shared" si="41"/>
        <v>#N/A</v>
      </c>
      <c r="S475" s="37" vm="1878">
        <f t="shared" si="42"/>
        <v>189955</v>
      </c>
    </row>
    <row r="476" spans="10:19" x14ac:dyDescent="0.25">
      <c r="J476" s="36" t="str" vm="92">
        <f>CUBEMEMBER("ThisWorkbookDataModel","[Indian_Employee_Data].[Employee ID].&amp;[Emp1454]")</f>
        <v>Emp1454</v>
      </c>
      <c r="K476" s="36" t="str" vm="91">
        <f>CUBEMEMBER("ThisWorkbookDataModel",{"[Indian_Employee_Data].[Employee ID].&amp;[Emp1454]","[Indian_Employee_Data].[Insurance tier].&amp;[Silver]"})</f>
        <v>Silver</v>
      </c>
      <c r="L476" s="37" vm="1880">
        <f>CUBEVALUE("ThisWorkbookDataModel",$K476,L$29,Slicer_Department)</f>
        <v>63179</v>
      </c>
      <c r="M476" s="37" vm="1879">
        <f>CUBEVALUE("ThisWorkbookDataModel",$K476,M$29,Slicer_Department)</f>
        <v>4200</v>
      </c>
      <c r="N476" s="37" t="e">
        <f t="shared" si="37"/>
        <v>#N/A</v>
      </c>
      <c r="O476" s="37" vm="1879">
        <f t="shared" si="38"/>
        <v>4200</v>
      </c>
      <c r="P476" s="37" t="e">
        <f t="shared" si="39"/>
        <v>#N/A</v>
      </c>
      <c r="Q476" s="37" t="e">
        <f t="shared" si="40"/>
        <v>#N/A</v>
      </c>
      <c r="R476" s="37" vm="1880">
        <f t="shared" si="41"/>
        <v>63179</v>
      </c>
      <c r="S476" s="37" t="e">
        <f t="shared" si="42"/>
        <v>#N/A</v>
      </c>
    </row>
    <row r="477" spans="10:19" x14ac:dyDescent="0.25">
      <c r="J477" s="36" t="str" vm="90">
        <f>CUBEMEMBER("ThisWorkbookDataModel","[Indian_Employee_Data].[Employee ID].&amp;[Emp1455]")</f>
        <v>Emp1455</v>
      </c>
      <c r="K477" s="36" t="str" vm="89">
        <f>CUBEMEMBER("ThisWorkbookDataModel",{"[Indian_Employee_Data].[Employee ID].&amp;[Emp1455]","[Indian_Employee_Data].[Insurance tier].&amp;[Silver]"})</f>
        <v>Silver</v>
      </c>
      <c r="L477" s="37" vm="1882">
        <f>CUBEVALUE("ThisWorkbookDataModel",$K477,L$29,Slicer_Department)</f>
        <v>110236</v>
      </c>
      <c r="M477" s="37" vm="1881">
        <f>CUBEVALUE("ThisWorkbookDataModel",$K477,M$29,Slicer_Department)</f>
        <v>4200</v>
      </c>
      <c r="N477" s="37" t="e">
        <f t="shared" si="37"/>
        <v>#N/A</v>
      </c>
      <c r="O477" s="37" vm="1881">
        <f t="shared" si="38"/>
        <v>4200</v>
      </c>
      <c r="P477" s="37" t="e">
        <f t="shared" si="39"/>
        <v>#N/A</v>
      </c>
      <c r="Q477" s="37" t="e">
        <f t="shared" si="40"/>
        <v>#N/A</v>
      </c>
      <c r="R477" s="37" vm="1882">
        <f t="shared" si="41"/>
        <v>110236</v>
      </c>
      <c r="S477" s="37" t="e">
        <f t="shared" si="42"/>
        <v>#N/A</v>
      </c>
    </row>
    <row r="478" spans="10:19" x14ac:dyDescent="0.25">
      <c r="J478" s="36" t="str" vm="88">
        <f>CUBEMEMBER("ThisWorkbookDataModel","[Indian_Employee_Data].[Employee ID].&amp;[Emp1456]")</f>
        <v>Emp1456</v>
      </c>
      <c r="K478" s="36" t="str" vm="87">
        <f>CUBEMEMBER("ThisWorkbookDataModel",{"[Indian_Employee_Data].[Employee ID].&amp;[Emp1456]","[Indian_Employee_Data].[Insurance tier].&amp;[Bronze]"})</f>
        <v>Bronze</v>
      </c>
      <c r="L478" s="37" vm="1884">
        <f>CUBEVALUE("ThisWorkbookDataModel",$K478,L$29,Slicer_Department)</f>
        <v>40601</v>
      </c>
      <c r="M478" s="37" vm="1883">
        <f>CUBEVALUE("ThisWorkbookDataModel",$K478,M$29,Slicer_Department)</f>
        <v>1500</v>
      </c>
      <c r="N478" s="37" vm="1883">
        <f t="shared" ref="N478:N521" si="43">IF(AND($K478="Bronze",ISNUMBER($L478),ISNUMBER($M478)),$M478,NA())</f>
        <v>1500</v>
      </c>
      <c r="O478" s="37" t="e">
        <f t="shared" ref="O478:O521" si="44">IF(AND($K478="Silver",ISNUMBER($L478),ISNUMBER($M478)),$M478,NA())</f>
        <v>#N/A</v>
      </c>
      <c r="P478" s="37" t="e">
        <f t="shared" ref="P478:P521" si="45">IF(AND($K478="Gold",ISNUMBER($L478),ISNUMBER($M478)),$M478,NA())</f>
        <v>#N/A</v>
      </c>
      <c r="Q478" s="37" vm="1884">
        <f t="shared" ref="Q478:Q521" si="46">IF(AND($K478="Bronze",ISNUMBER($L478),ISNUMBER($N478)),$L478,NA())</f>
        <v>40601</v>
      </c>
      <c r="R478" s="37" t="e">
        <f t="shared" ref="R478:R521" si="47">IF(AND($K478="Silver",ISNUMBER($L478),ISNUMBER($O478)),$L478,NA())</f>
        <v>#N/A</v>
      </c>
      <c r="S478" s="37" t="e">
        <f t="shared" ref="S478:S521" si="48">IF(AND($K478="Gold",ISNUMBER($L478),ISNUMBER($P478)),$L478,NA())</f>
        <v>#N/A</v>
      </c>
    </row>
    <row r="479" spans="10:19" x14ac:dyDescent="0.25">
      <c r="J479" s="36" t="str" vm="86">
        <f>CUBEMEMBER("ThisWorkbookDataModel","[Indian_Employee_Data].[Employee ID].&amp;[Emp1457]")</f>
        <v>Emp1457</v>
      </c>
      <c r="K479" s="36" t="str" vm="85">
        <f>CUBEMEMBER("ThisWorkbookDataModel",{"[Indian_Employee_Data].[Employee ID].&amp;[Emp1457]","[Indian_Employee_Data].[Insurance tier].&amp;[Silver]"})</f>
        <v>Silver</v>
      </c>
      <c r="L479" s="37" vm="1886">
        <f>CUBEVALUE("ThisWorkbookDataModel",$K479,L$29,Slicer_Department)</f>
        <v>106973</v>
      </c>
      <c r="M479" s="37" vm="1885">
        <f>CUBEVALUE("ThisWorkbookDataModel",$K479,M$29,Slicer_Department)</f>
        <v>2800</v>
      </c>
      <c r="N479" s="37" t="e">
        <f t="shared" si="43"/>
        <v>#N/A</v>
      </c>
      <c r="O479" s="37" vm="1885">
        <f t="shared" si="44"/>
        <v>2800</v>
      </c>
      <c r="P479" s="37" t="e">
        <f t="shared" si="45"/>
        <v>#N/A</v>
      </c>
      <c r="Q479" s="37" t="e">
        <f t="shared" si="46"/>
        <v>#N/A</v>
      </c>
      <c r="R479" s="37" vm="1886">
        <f t="shared" si="47"/>
        <v>106973</v>
      </c>
      <c r="S479" s="37" t="e">
        <f t="shared" si="48"/>
        <v>#N/A</v>
      </c>
    </row>
    <row r="480" spans="10:19" x14ac:dyDescent="0.25">
      <c r="J480" s="36" t="str" vm="84">
        <f>CUBEMEMBER("ThisWorkbookDataModel","[Indian_Employee_Data].[Employee ID].&amp;[Emp1458]")</f>
        <v>Emp1458</v>
      </c>
      <c r="K480" s="36" t="str" vm="83">
        <f>CUBEMEMBER("ThisWorkbookDataModel",{"[Indian_Employee_Data].[Employee ID].&amp;[Emp1458]","[Indian_Employee_Data].[Insurance tier].&amp;[Bronze]"})</f>
        <v>Bronze</v>
      </c>
      <c r="L480" s="37" vm="1888">
        <f>CUBEVALUE("ThisWorkbookDataModel",$K480,L$29,Slicer_Department)</f>
        <v>53609</v>
      </c>
      <c r="M480" s="37" vm="1887">
        <f>CUBEVALUE("ThisWorkbookDataModel",$K480,M$29,Slicer_Department)</f>
        <v>1500</v>
      </c>
      <c r="N480" s="37" vm="1887">
        <f t="shared" si="43"/>
        <v>1500</v>
      </c>
      <c r="O480" s="37" t="e">
        <f t="shared" si="44"/>
        <v>#N/A</v>
      </c>
      <c r="P480" s="37" t="e">
        <f t="shared" si="45"/>
        <v>#N/A</v>
      </c>
      <c r="Q480" s="37" vm="1888">
        <f t="shared" si="46"/>
        <v>53609</v>
      </c>
      <c r="R480" s="37" t="e">
        <f t="shared" si="47"/>
        <v>#N/A</v>
      </c>
      <c r="S480" s="37" t="e">
        <f t="shared" si="48"/>
        <v>#N/A</v>
      </c>
    </row>
    <row r="481" spans="10:19" x14ac:dyDescent="0.25">
      <c r="J481" s="36" t="str" vm="82">
        <f>CUBEMEMBER("ThisWorkbookDataModel","[Indian_Employee_Data].[Employee ID].&amp;[Emp1459]")</f>
        <v>Emp1459</v>
      </c>
      <c r="K481" s="36" t="str" vm="81">
        <f>CUBEMEMBER("ThisWorkbookDataModel",{"[Indian_Employee_Data].[Employee ID].&amp;[Emp1459]","[Indian_Employee_Data].[Insurance tier].&amp;[Silver]"})</f>
        <v>Silver</v>
      </c>
      <c r="L481" s="37" vm="1890">
        <f>CUBEVALUE("ThisWorkbookDataModel",$K481,L$29,Slicer_Department)</f>
        <v>64297</v>
      </c>
      <c r="M481" s="37" vm="1889">
        <f>CUBEVALUE("ThisWorkbookDataModel",$K481,M$29,Slicer_Department)</f>
        <v>4200</v>
      </c>
      <c r="N481" s="37" t="e">
        <f t="shared" si="43"/>
        <v>#N/A</v>
      </c>
      <c r="O481" s="37" vm="1889">
        <f t="shared" si="44"/>
        <v>4200</v>
      </c>
      <c r="P481" s="37" t="e">
        <f t="shared" si="45"/>
        <v>#N/A</v>
      </c>
      <c r="Q481" s="37" t="e">
        <f t="shared" si="46"/>
        <v>#N/A</v>
      </c>
      <c r="R481" s="37" vm="1890">
        <f t="shared" si="47"/>
        <v>64297</v>
      </c>
      <c r="S481" s="37" t="e">
        <f t="shared" si="48"/>
        <v>#N/A</v>
      </c>
    </row>
    <row r="482" spans="10:19" x14ac:dyDescent="0.25">
      <c r="J482" s="36" t="str" vm="80">
        <f>CUBEMEMBER("ThisWorkbookDataModel","[Indian_Employee_Data].[Employee ID].&amp;[Emp1460]")</f>
        <v>Emp1460</v>
      </c>
      <c r="K482" s="36" t="str" vm="79">
        <f>CUBEMEMBER("ThisWorkbookDataModel",{"[Indian_Employee_Data].[Employee ID].&amp;[Emp1460]","[Indian_Employee_Data].[Insurance tier].&amp;[Silver]"})</f>
        <v>Silver</v>
      </c>
      <c r="L482" s="37" vm="1892">
        <f>CUBEVALUE("ThisWorkbookDataModel",$K482,L$29,Slicer_Department)</f>
        <v>64110</v>
      </c>
      <c r="M482" s="37" vm="1891">
        <f>CUBEVALUE("ThisWorkbookDataModel",$K482,M$29,Slicer_Department)</f>
        <v>2800</v>
      </c>
      <c r="N482" s="37" t="e">
        <f t="shared" si="43"/>
        <v>#N/A</v>
      </c>
      <c r="O482" s="37" vm="1891">
        <f t="shared" si="44"/>
        <v>2800</v>
      </c>
      <c r="P482" s="37" t="e">
        <f t="shared" si="45"/>
        <v>#N/A</v>
      </c>
      <c r="Q482" s="37" t="e">
        <f t="shared" si="46"/>
        <v>#N/A</v>
      </c>
      <c r="R482" s="37" vm="1892">
        <f t="shared" si="47"/>
        <v>64110</v>
      </c>
      <c r="S482" s="37" t="e">
        <f t="shared" si="48"/>
        <v>#N/A</v>
      </c>
    </row>
    <row r="483" spans="10:19" x14ac:dyDescent="0.25">
      <c r="J483" s="36" t="str" vm="78">
        <f>CUBEMEMBER("ThisWorkbookDataModel","[Indian_Employee_Data].[Employee ID].&amp;[Emp1461]")</f>
        <v>Emp1461</v>
      </c>
      <c r="K483" s="36" t="str" vm="77">
        <f>CUBEMEMBER("ThisWorkbookDataModel",{"[Indian_Employee_Data].[Employee ID].&amp;[Emp1461]","[Indian_Employee_Data].[Insurance tier].&amp;[Gold]"})</f>
        <v>Gold</v>
      </c>
      <c r="L483" s="37" vm="1894">
        <f>CUBEVALUE("ThisWorkbookDataModel",$K483,L$29,Slicer_Department)</f>
        <v>133787</v>
      </c>
      <c r="M483" s="37" vm="1893">
        <f>CUBEVALUE("ThisWorkbookDataModel",$K483,M$29,Slicer_Department)</f>
        <v>9000</v>
      </c>
      <c r="N483" s="37" t="e">
        <f t="shared" si="43"/>
        <v>#N/A</v>
      </c>
      <c r="O483" s="37" t="e">
        <f t="shared" si="44"/>
        <v>#N/A</v>
      </c>
      <c r="P483" s="37" vm="1893">
        <f t="shared" si="45"/>
        <v>9000</v>
      </c>
      <c r="Q483" s="37" t="e">
        <f t="shared" si="46"/>
        <v>#N/A</v>
      </c>
      <c r="R483" s="37" t="e">
        <f t="shared" si="47"/>
        <v>#N/A</v>
      </c>
      <c r="S483" s="37" vm="1894">
        <f t="shared" si="48"/>
        <v>133787</v>
      </c>
    </row>
    <row r="484" spans="10:19" x14ac:dyDescent="0.25">
      <c r="J484" s="36" t="str" vm="76">
        <f>CUBEMEMBER("ThisWorkbookDataModel","[Indian_Employee_Data].[Employee ID].&amp;[Emp1462]")</f>
        <v>Emp1462</v>
      </c>
      <c r="K484" s="36" t="str" vm="75">
        <f>CUBEMEMBER("ThisWorkbookDataModel",{"[Indian_Employee_Data].[Employee ID].&amp;[Emp1462]","[Indian_Employee_Data].[Insurance tier].&amp;[Bronze]"})</f>
        <v>Bronze</v>
      </c>
      <c r="L484" s="37" vm="1896">
        <f>CUBEVALUE("ThisWorkbookDataModel",$K484,L$29,Slicer_Department)</f>
        <v>151119</v>
      </c>
      <c r="M484" s="37" vm="1895">
        <f>CUBEVALUE("ThisWorkbookDataModel",$K484,M$29,Slicer_Department)</f>
        <v>9500</v>
      </c>
      <c r="N484" s="37" vm="1895">
        <f t="shared" si="43"/>
        <v>9500</v>
      </c>
      <c r="O484" s="37" t="e">
        <f t="shared" si="44"/>
        <v>#N/A</v>
      </c>
      <c r="P484" s="37" t="e">
        <f t="shared" si="45"/>
        <v>#N/A</v>
      </c>
      <c r="Q484" s="37" vm="1896">
        <f t="shared" si="46"/>
        <v>151119</v>
      </c>
      <c r="R484" s="37" t="e">
        <f t="shared" si="47"/>
        <v>#N/A</v>
      </c>
      <c r="S484" s="37" t="e">
        <f t="shared" si="48"/>
        <v>#N/A</v>
      </c>
    </row>
    <row r="485" spans="10:19" x14ac:dyDescent="0.25">
      <c r="J485" s="36" t="str" vm="74">
        <f>CUBEMEMBER("ThisWorkbookDataModel","[Indian_Employee_Data].[Employee ID].&amp;[Emp1463]")</f>
        <v>Emp1463</v>
      </c>
      <c r="K485" s="36" t="str" vm="73">
        <f>CUBEMEMBER("ThisWorkbookDataModel",{"[Indian_Employee_Data].[Employee ID].&amp;[Emp1463]","[Indian_Employee_Data].[Insurance tier].&amp;[Gold]"})</f>
        <v>Gold</v>
      </c>
      <c r="L485" s="37" vm="1898">
        <f>CUBEVALUE("ThisWorkbookDataModel",$K485,L$29,Slicer_Department)</f>
        <v>123349</v>
      </c>
      <c r="M485" s="37" vm="1897">
        <f>CUBEVALUE("ThisWorkbookDataModel",$K485,M$29,Slicer_Department)</f>
        <v>9000</v>
      </c>
      <c r="N485" s="37" t="e">
        <f t="shared" si="43"/>
        <v>#N/A</v>
      </c>
      <c r="O485" s="37" t="e">
        <f t="shared" si="44"/>
        <v>#N/A</v>
      </c>
      <c r="P485" s="37" vm="1897">
        <f t="shared" si="45"/>
        <v>9000</v>
      </c>
      <c r="Q485" s="37" t="e">
        <f t="shared" si="46"/>
        <v>#N/A</v>
      </c>
      <c r="R485" s="37" t="e">
        <f t="shared" si="47"/>
        <v>#N/A</v>
      </c>
      <c r="S485" s="37" vm="1898">
        <f t="shared" si="48"/>
        <v>123349</v>
      </c>
    </row>
    <row r="486" spans="10:19" x14ac:dyDescent="0.25">
      <c r="J486" s="36" t="str" vm="72">
        <f>CUBEMEMBER("ThisWorkbookDataModel","[Indian_Employee_Data].[Employee ID].&amp;[Emp1464]")</f>
        <v>Emp1464</v>
      </c>
      <c r="K486" s="36" t="str" vm="71">
        <f>CUBEMEMBER("ThisWorkbookDataModel",{"[Indian_Employee_Data].[Employee ID].&amp;[Emp1464]","[Indian_Employee_Data].[Insurance tier].&amp;[Gold]"})</f>
        <v>Gold</v>
      </c>
      <c r="L486" s="37" vm="1900">
        <f>CUBEVALUE("ThisWorkbookDataModel",$K486,L$29,Slicer_Department)</f>
        <v>211837</v>
      </c>
      <c r="M486" s="37" vm="1899">
        <f>CUBEVALUE("ThisWorkbookDataModel",$K486,M$29,Slicer_Department)</f>
        <v>6750</v>
      </c>
      <c r="N486" s="37" t="e">
        <f t="shared" si="43"/>
        <v>#N/A</v>
      </c>
      <c r="O486" s="37" t="e">
        <f t="shared" si="44"/>
        <v>#N/A</v>
      </c>
      <c r="P486" s="37" vm="1899">
        <f t="shared" si="45"/>
        <v>6750</v>
      </c>
      <c r="Q486" s="37" t="e">
        <f t="shared" si="46"/>
        <v>#N/A</v>
      </c>
      <c r="R486" s="37" t="e">
        <f t="shared" si="47"/>
        <v>#N/A</v>
      </c>
      <c r="S486" s="37" vm="1900">
        <f t="shared" si="48"/>
        <v>211837</v>
      </c>
    </row>
    <row r="487" spans="10:19" x14ac:dyDescent="0.25">
      <c r="J487" s="36" t="str" vm="70">
        <f>CUBEMEMBER("ThisWorkbookDataModel","[Indian_Employee_Data].[Employee ID].&amp;[Emp1465]")</f>
        <v>Emp1465</v>
      </c>
      <c r="K487" s="36" t="str" vm="69">
        <f>CUBEMEMBER("ThisWorkbookDataModel",{"[Indian_Employee_Data].[Employee ID].&amp;[Emp1465]","[Indian_Employee_Data].[Insurance tier].&amp;[Silver]"})</f>
        <v>Silver</v>
      </c>
      <c r="L487" s="37" vm="1902">
        <f>CUBEVALUE("ThisWorkbookDataModel",$K487,L$29,Slicer_Department)</f>
        <v>94863</v>
      </c>
      <c r="M487" s="37" vm="1901">
        <f>CUBEVALUE("ThisWorkbookDataModel",$K487,M$29,Slicer_Department)</f>
        <v>4200</v>
      </c>
      <c r="N487" s="37" t="e">
        <f t="shared" si="43"/>
        <v>#N/A</v>
      </c>
      <c r="O487" s="37" vm="1901">
        <f t="shared" si="44"/>
        <v>4200</v>
      </c>
      <c r="P487" s="37" t="e">
        <f t="shared" si="45"/>
        <v>#N/A</v>
      </c>
      <c r="Q487" s="37" t="e">
        <f t="shared" si="46"/>
        <v>#N/A</v>
      </c>
      <c r="R487" s="37" vm="1902">
        <f t="shared" si="47"/>
        <v>94863</v>
      </c>
      <c r="S487" s="37" t="e">
        <f t="shared" si="48"/>
        <v>#N/A</v>
      </c>
    </row>
    <row r="488" spans="10:19" x14ac:dyDescent="0.25">
      <c r="J488" s="36" t="str" vm="68">
        <f>CUBEMEMBER("ThisWorkbookDataModel","[Indian_Employee_Data].[Employee ID].&amp;[Emp1466]")</f>
        <v>Emp1466</v>
      </c>
      <c r="K488" s="36" t="str" vm="67">
        <f>CUBEMEMBER("ThisWorkbookDataModel",{"[Indian_Employee_Data].[Employee ID].&amp;[Emp1466]","[Indian_Employee_Data].[Insurance tier].&amp;[Silver]"})</f>
        <v>Silver</v>
      </c>
      <c r="L488" s="37" vm="1904">
        <f>CUBEVALUE("ThisWorkbookDataModel",$K488,L$29,Slicer_Department)</f>
        <v>84168</v>
      </c>
      <c r="M488" s="37" vm="1903">
        <f>CUBEVALUE("ThisWorkbookDataModel",$K488,M$29,Slicer_Department)</f>
        <v>2800</v>
      </c>
      <c r="N488" s="37" t="e">
        <f t="shared" si="43"/>
        <v>#N/A</v>
      </c>
      <c r="O488" s="37" vm="1903">
        <f t="shared" si="44"/>
        <v>2800</v>
      </c>
      <c r="P488" s="37" t="e">
        <f t="shared" si="45"/>
        <v>#N/A</v>
      </c>
      <c r="Q488" s="37" t="e">
        <f t="shared" si="46"/>
        <v>#N/A</v>
      </c>
      <c r="R488" s="37" vm="1904">
        <f t="shared" si="47"/>
        <v>84168</v>
      </c>
      <c r="S488" s="37" t="e">
        <f t="shared" si="48"/>
        <v>#N/A</v>
      </c>
    </row>
    <row r="489" spans="10:19" x14ac:dyDescent="0.25">
      <c r="J489" s="36" t="str" vm="66">
        <f>CUBEMEMBER("ThisWorkbookDataModel","[Indian_Employee_Data].[Employee ID].&amp;[Emp1467]")</f>
        <v>Emp1467</v>
      </c>
      <c r="K489" s="36" t="str" vm="65">
        <f>CUBEMEMBER("ThisWorkbookDataModel",{"[Indian_Employee_Data].[Employee ID].&amp;[Emp1467]","[Indian_Employee_Data].[Insurance tier].&amp;[Gold]"})</f>
        <v>Gold</v>
      </c>
      <c r="L489" s="37" vm="1906">
        <f>CUBEVALUE("ThisWorkbookDataModel",$K489,L$29,Slicer_Department)</f>
        <v>178873</v>
      </c>
      <c r="M489" s="37" vm="1905">
        <f>CUBEVALUE("ThisWorkbookDataModel",$K489,M$29,Slicer_Department)</f>
        <v>9000</v>
      </c>
      <c r="N489" s="37" t="e">
        <f t="shared" si="43"/>
        <v>#N/A</v>
      </c>
      <c r="O489" s="37" t="e">
        <f t="shared" si="44"/>
        <v>#N/A</v>
      </c>
      <c r="P489" s="37" vm="1905">
        <f t="shared" si="45"/>
        <v>9000</v>
      </c>
      <c r="Q489" s="37" t="e">
        <f t="shared" si="46"/>
        <v>#N/A</v>
      </c>
      <c r="R489" s="37" t="e">
        <f t="shared" si="47"/>
        <v>#N/A</v>
      </c>
      <c r="S489" s="37" vm="1906">
        <f t="shared" si="48"/>
        <v>178873</v>
      </c>
    </row>
    <row r="490" spans="10:19" x14ac:dyDescent="0.25">
      <c r="J490" s="36" t="str" vm="64">
        <f>CUBEMEMBER("ThisWorkbookDataModel","[Indian_Employee_Data].[Employee ID].&amp;[Emp1468]")</f>
        <v>Emp1468</v>
      </c>
      <c r="K490" s="36" t="str" vm="63">
        <f>CUBEMEMBER("ThisWorkbookDataModel",{"[Indian_Employee_Data].[Employee ID].&amp;[Emp1468]","[Indian_Employee_Data].[Insurance tier].&amp;[Silver]"})</f>
        <v>Silver</v>
      </c>
      <c r="L490" s="37" vm="1908">
        <f>CUBEVALUE("ThisWorkbookDataModel",$K490,L$29,Slicer_Department)</f>
        <v>77108</v>
      </c>
      <c r="M490" s="37" vm="1907">
        <f>CUBEVALUE("ThisWorkbookDataModel",$K490,M$29,Slicer_Department)</f>
        <v>2800</v>
      </c>
      <c r="N490" s="37" t="e">
        <f t="shared" si="43"/>
        <v>#N/A</v>
      </c>
      <c r="O490" s="37" vm="1907">
        <f t="shared" si="44"/>
        <v>2800</v>
      </c>
      <c r="P490" s="37" t="e">
        <f t="shared" si="45"/>
        <v>#N/A</v>
      </c>
      <c r="Q490" s="37" t="e">
        <f t="shared" si="46"/>
        <v>#N/A</v>
      </c>
      <c r="R490" s="37" vm="1908">
        <f t="shared" si="47"/>
        <v>77108</v>
      </c>
      <c r="S490" s="37" t="e">
        <f t="shared" si="48"/>
        <v>#N/A</v>
      </c>
    </row>
    <row r="491" spans="10:19" x14ac:dyDescent="0.25">
      <c r="J491" s="36" t="str" vm="62">
        <f>CUBEMEMBER("ThisWorkbookDataModel","[Indian_Employee_Data].[Employee ID].&amp;[Emp1469]")</f>
        <v>Emp1469</v>
      </c>
      <c r="K491" s="36" t="str" vm="61">
        <f>CUBEMEMBER("ThisWorkbookDataModel",{"[Indian_Employee_Data].[Employee ID].&amp;[Emp1469]","[Indian_Employee_Data].[Insurance tier].&amp;[Gold]"})</f>
        <v>Gold</v>
      </c>
      <c r="L491" s="37" vm="1910">
        <f>CUBEVALUE("ThisWorkbookDataModel",$K491,L$29,Slicer_Department)</f>
        <v>212371</v>
      </c>
      <c r="M491" s="37" vm="1909">
        <f>CUBEVALUE("ThisWorkbookDataModel",$K491,M$29,Slicer_Department)</f>
        <v>6750</v>
      </c>
      <c r="N491" s="37" t="e">
        <f t="shared" si="43"/>
        <v>#N/A</v>
      </c>
      <c r="O491" s="37" t="e">
        <f t="shared" si="44"/>
        <v>#N/A</v>
      </c>
      <c r="P491" s="37" vm="1909">
        <f t="shared" si="45"/>
        <v>6750</v>
      </c>
      <c r="Q491" s="37" t="e">
        <f t="shared" si="46"/>
        <v>#N/A</v>
      </c>
      <c r="R491" s="37" t="e">
        <f t="shared" si="47"/>
        <v>#N/A</v>
      </c>
      <c r="S491" s="37" vm="1910">
        <f t="shared" si="48"/>
        <v>212371</v>
      </c>
    </row>
    <row r="492" spans="10:19" x14ac:dyDescent="0.25">
      <c r="J492" s="36" t="str" vm="60">
        <f>CUBEMEMBER("ThisWorkbookDataModel","[Indian_Employee_Data].[Employee ID].&amp;[Emp1470]")</f>
        <v>Emp1470</v>
      </c>
      <c r="K492" s="36" t="str" vm="59">
        <f>CUBEMEMBER("ThisWorkbookDataModel",{"[Indian_Employee_Data].[Employee ID].&amp;[Emp1470]","[Indian_Employee_Data].[Insurance tier].&amp;[Bronze]"})</f>
        <v>Bronze</v>
      </c>
      <c r="L492" s="37" vm="1912">
        <f>CUBEVALUE("ThisWorkbookDataModel",$K492,L$29,Slicer_Department)</f>
        <v>40969</v>
      </c>
      <c r="M492" s="37" vm="1911">
        <f>CUBEVALUE("ThisWorkbookDataModel",$K492,M$29,Slicer_Department)</f>
        <v>1500</v>
      </c>
      <c r="N492" s="37" vm="1911">
        <f t="shared" si="43"/>
        <v>1500</v>
      </c>
      <c r="O492" s="37" t="e">
        <f t="shared" si="44"/>
        <v>#N/A</v>
      </c>
      <c r="P492" s="37" t="e">
        <f t="shared" si="45"/>
        <v>#N/A</v>
      </c>
      <c r="Q492" s="37" vm="1912">
        <f t="shared" si="46"/>
        <v>40969</v>
      </c>
      <c r="R492" s="37" t="e">
        <f t="shared" si="47"/>
        <v>#N/A</v>
      </c>
      <c r="S492" s="37" t="e">
        <f t="shared" si="48"/>
        <v>#N/A</v>
      </c>
    </row>
    <row r="493" spans="10:19" x14ac:dyDescent="0.25">
      <c r="J493" s="36" t="str" vm="58">
        <f>CUBEMEMBER("ThisWorkbookDataModel","[Indian_Employee_Data].[Employee ID].&amp;[Emp1471]")</f>
        <v>Emp1471</v>
      </c>
      <c r="K493" s="36" t="str" vm="57">
        <f>CUBEMEMBER("ThisWorkbookDataModel",{"[Indian_Employee_Data].[Employee ID].&amp;[Emp1471]","[Indian_Employee_Data].[Insurance tier].&amp;[Gold]"})</f>
        <v>Gold</v>
      </c>
      <c r="L493" s="37" vm="1914">
        <f>CUBEVALUE("ThisWorkbookDataModel",$K493,L$29,Slicer_Department)</f>
        <v>215946</v>
      </c>
      <c r="M493" s="37" vm="1913">
        <f>CUBEVALUE("ThisWorkbookDataModel",$K493,M$29,Slicer_Department)</f>
        <v>6750</v>
      </c>
      <c r="N493" s="37" t="e">
        <f t="shared" si="43"/>
        <v>#N/A</v>
      </c>
      <c r="O493" s="37" t="e">
        <f t="shared" si="44"/>
        <v>#N/A</v>
      </c>
      <c r="P493" s="37" vm="1913">
        <f t="shared" si="45"/>
        <v>6750</v>
      </c>
      <c r="Q493" s="37" t="e">
        <f t="shared" si="46"/>
        <v>#N/A</v>
      </c>
      <c r="R493" s="37" t="e">
        <f t="shared" si="47"/>
        <v>#N/A</v>
      </c>
      <c r="S493" s="37" vm="1914">
        <f t="shared" si="48"/>
        <v>215946</v>
      </c>
    </row>
    <row r="494" spans="10:19" x14ac:dyDescent="0.25">
      <c r="J494" s="36" t="str" vm="56">
        <f>CUBEMEMBER("ThisWorkbookDataModel","[Indian_Employee_Data].[Employee ID].&amp;[Emp1472]")</f>
        <v>Emp1472</v>
      </c>
      <c r="K494" s="36" t="str" vm="55">
        <f>CUBEMEMBER("ThisWorkbookDataModel",{"[Indian_Employee_Data].[Employee ID].&amp;[Emp1472]","[Indian_Employee_Data].[Insurance tier].&amp;[Bronze]"})</f>
        <v>Bronze</v>
      </c>
      <c r="L494" s="37" vm="1916">
        <f>CUBEVALUE("ThisWorkbookDataModel",$K494,L$29,Slicer_Department)</f>
        <v>50670</v>
      </c>
      <c r="M494" s="37" vm="1915">
        <f>CUBEVALUE("ThisWorkbookDataModel",$K494,M$29,Slicer_Department)</f>
        <v>1500</v>
      </c>
      <c r="N494" s="37" vm="1915">
        <f t="shared" si="43"/>
        <v>1500</v>
      </c>
      <c r="O494" s="37" t="e">
        <f t="shared" si="44"/>
        <v>#N/A</v>
      </c>
      <c r="P494" s="37" t="e">
        <f t="shared" si="45"/>
        <v>#N/A</v>
      </c>
      <c r="Q494" s="37" vm="1916">
        <f t="shared" si="46"/>
        <v>50670</v>
      </c>
      <c r="R494" s="37" t="e">
        <f t="shared" si="47"/>
        <v>#N/A</v>
      </c>
      <c r="S494" s="37" t="e">
        <f t="shared" si="48"/>
        <v>#N/A</v>
      </c>
    </row>
    <row r="495" spans="10:19" x14ac:dyDescent="0.25">
      <c r="J495" s="36" t="str" vm="54">
        <f>CUBEMEMBER("ThisWorkbookDataModel","[Indian_Employee_Data].[Employee ID].&amp;[Emp1473]")</f>
        <v>Emp1473</v>
      </c>
      <c r="K495" s="36" t="str" vm="53">
        <f>CUBEMEMBER("ThisWorkbookDataModel",{"[Indian_Employee_Data].[Employee ID].&amp;[Emp1473]","[Indian_Employee_Data].[Insurance tier].&amp;[Gold]"})</f>
        <v>Gold</v>
      </c>
      <c r="L495" s="37" vm="1918">
        <f>CUBEVALUE("ThisWorkbookDataModel",$K495,L$29,Slicer_Department)</f>
        <v>185262</v>
      </c>
      <c r="M495" s="37" vm="1917">
        <f>CUBEVALUE("ThisWorkbookDataModel",$K495,M$29,Slicer_Department)</f>
        <v>9000</v>
      </c>
      <c r="N495" s="37" t="e">
        <f t="shared" si="43"/>
        <v>#N/A</v>
      </c>
      <c r="O495" s="37" t="e">
        <f t="shared" si="44"/>
        <v>#N/A</v>
      </c>
      <c r="P495" s="37" vm="1917">
        <f t="shared" si="45"/>
        <v>9000</v>
      </c>
      <c r="Q495" s="37" t="e">
        <f t="shared" si="46"/>
        <v>#N/A</v>
      </c>
      <c r="R495" s="37" t="e">
        <f t="shared" si="47"/>
        <v>#N/A</v>
      </c>
      <c r="S495" s="37" vm="1918">
        <f t="shared" si="48"/>
        <v>185262</v>
      </c>
    </row>
    <row r="496" spans="10:19" x14ac:dyDescent="0.25">
      <c r="J496" s="36" t="str" vm="52">
        <f>CUBEMEMBER("ThisWorkbookDataModel","[Indian_Employee_Data].[Employee ID].&amp;[Emp1474]")</f>
        <v>Emp1474</v>
      </c>
      <c r="K496" s="36" t="str" vm="51">
        <f>CUBEMEMBER("ThisWorkbookDataModel",{"[Indian_Employee_Data].[Employee ID].&amp;[Emp1474]","[Indian_Employee_Data].[Insurance tier].&amp;[Silver]"})</f>
        <v>Silver</v>
      </c>
      <c r="L496" s="37" vm="1920">
        <f>CUBEVALUE("ThisWorkbookDataModel",$K496,L$29,Slicer_Department)</f>
        <v>115153</v>
      </c>
      <c r="M496" s="37" vm="1919">
        <f>CUBEVALUE("ThisWorkbookDataModel",$K496,M$29,Slicer_Department)</f>
        <v>2800</v>
      </c>
      <c r="N496" s="37" t="e">
        <f t="shared" si="43"/>
        <v>#N/A</v>
      </c>
      <c r="O496" s="37" vm="1919">
        <f t="shared" si="44"/>
        <v>2800</v>
      </c>
      <c r="P496" s="37" t="e">
        <f t="shared" si="45"/>
        <v>#N/A</v>
      </c>
      <c r="Q496" s="37" t="e">
        <f t="shared" si="46"/>
        <v>#N/A</v>
      </c>
      <c r="R496" s="37" vm="1920">
        <f t="shared" si="47"/>
        <v>115153</v>
      </c>
      <c r="S496" s="37" t="e">
        <f t="shared" si="48"/>
        <v>#N/A</v>
      </c>
    </row>
    <row r="497" spans="10:19" x14ac:dyDescent="0.25">
      <c r="J497" s="36" t="str" vm="50">
        <f>CUBEMEMBER("ThisWorkbookDataModel","[Indian_Employee_Data].[Employee ID].&amp;[Emp1475]")</f>
        <v>Emp1475</v>
      </c>
      <c r="K497" s="36" t="str" vm="49">
        <f>CUBEMEMBER("ThisWorkbookDataModel",{"[Indian_Employee_Data].[Employee ID].&amp;[Emp1475]","[Indian_Employee_Data].[Insurance tier].&amp;[Gold]"})</f>
        <v>Gold</v>
      </c>
      <c r="L497" s="37" vm="1922">
        <f>CUBEVALUE("ThisWorkbookDataModel",$K497,L$29,Slicer_Department)</f>
        <v>233542</v>
      </c>
      <c r="M497" s="37" vm="1921">
        <f>CUBEVALUE("ThisWorkbookDataModel",$K497,M$29,Slicer_Department)</f>
        <v>6750</v>
      </c>
      <c r="N497" s="37" t="e">
        <f t="shared" si="43"/>
        <v>#N/A</v>
      </c>
      <c r="O497" s="37" t="e">
        <f t="shared" si="44"/>
        <v>#N/A</v>
      </c>
      <c r="P497" s="37" vm="1921">
        <f t="shared" si="45"/>
        <v>6750</v>
      </c>
      <c r="Q497" s="37" t="e">
        <f t="shared" si="46"/>
        <v>#N/A</v>
      </c>
      <c r="R497" s="37" t="e">
        <f t="shared" si="47"/>
        <v>#N/A</v>
      </c>
      <c r="S497" s="37" vm="1922">
        <f t="shared" si="48"/>
        <v>233542</v>
      </c>
    </row>
    <row r="498" spans="10:19" x14ac:dyDescent="0.25">
      <c r="J498" s="36" t="str" vm="48">
        <f>CUBEMEMBER("ThisWorkbookDataModel","[Indian_Employee_Data].[Employee ID].&amp;[Emp1476]")</f>
        <v>Emp1476</v>
      </c>
      <c r="K498" s="36" t="str" vm="47">
        <f>CUBEMEMBER("ThisWorkbookDataModel",{"[Indian_Employee_Data].[Employee ID].&amp;[Emp1476]","[Indian_Employee_Data].[Insurance tier].&amp;[Bronze]"})</f>
        <v>Bronze</v>
      </c>
      <c r="L498" s="37" vm="1924">
        <f>CUBEVALUE("ThisWorkbookDataModel",$K498,L$29,Slicer_Department)</f>
        <v>57029</v>
      </c>
      <c r="M498" s="37" vm="1923">
        <f>CUBEVALUE("ThisWorkbookDataModel",$K498,M$29,Slicer_Department)</f>
        <v>1500</v>
      </c>
      <c r="N498" s="37" vm="1923">
        <f t="shared" si="43"/>
        <v>1500</v>
      </c>
      <c r="O498" s="37" t="e">
        <f t="shared" si="44"/>
        <v>#N/A</v>
      </c>
      <c r="P498" s="37" t="e">
        <f t="shared" si="45"/>
        <v>#N/A</v>
      </c>
      <c r="Q498" s="37" vm="1924">
        <f t="shared" si="46"/>
        <v>57029</v>
      </c>
      <c r="R498" s="37" t="e">
        <f t="shared" si="47"/>
        <v>#N/A</v>
      </c>
      <c r="S498" s="37" t="e">
        <f t="shared" si="48"/>
        <v>#N/A</v>
      </c>
    </row>
    <row r="499" spans="10:19" x14ac:dyDescent="0.25">
      <c r="J499" s="36" t="str" vm="46">
        <f>CUBEMEMBER("ThisWorkbookDataModel","[Indian_Employee_Data].[Employee ID].&amp;[Emp1477]")</f>
        <v>Emp1477</v>
      </c>
      <c r="K499" s="36" t="str" vm="45">
        <f>CUBEMEMBER("ThisWorkbookDataModel",{"[Indian_Employee_Data].[Employee ID].&amp;[Emp1477]","[Indian_Employee_Data].[Insurance tier].&amp;[Silver]"})</f>
        <v>Silver</v>
      </c>
      <c r="L499" s="37" vm="1926">
        <f>CUBEVALUE("ThisWorkbookDataModel",$K499,L$29,Slicer_Department)</f>
        <v>118940</v>
      </c>
      <c r="M499" s="37" vm="1925">
        <f>CUBEVALUE("ThisWorkbookDataModel",$K499,M$29,Slicer_Department)</f>
        <v>2800</v>
      </c>
      <c r="N499" s="37" t="e">
        <f t="shared" si="43"/>
        <v>#N/A</v>
      </c>
      <c r="O499" s="37" vm="1925">
        <f t="shared" si="44"/>
        <v>2800</v>
      </c>
      <c r="P499" s="37" t="e">
        <f t="shared" si="45"/>
        <v>#N/A</v>
      </c>
      <c r="Q499" s="37" t="e">
        <f t="shared" si="46"/>
        <v>#N/A</v>
      </c>
      <c r="R499" s="37" vm="1926">
        <f t="shared" si="47"/>
        <v>118940</v>
      </c>
      <c r="S499" s="37" t="e">
        <f t="shared" si="48"/>
        <v>#N/A</v>
      </c>
    </row>
    <row r="500" spans="10:19" x14ac:dyDescent="0.25">
      <c r="J500" s="36" t="str" vm="44">
        <f>CUBEMEMBER("ThisWorkbookDataModel","[Indian_Employee_Data].[Employee ID].&amp;[Emp1478]")</f>
        <v>Emp1478</v>
      </c>
      <c r="K500" s="36" t="str" vm="43">
        <f>CUBEMEMBER("ThisWorkbookDataModel",{"[Indian_Employee_Data].[Employee ID].&amp;[Emp1478]","[Indian_Employee_Data].[Insurance tier].&amp;[Gold]"})</f>
        <v>Gold</v>
      </c>
      <c r="L500" s="37" vm="1928">
        <f>CUBEVALUE("ThisWorkbookDataModel",$K500,L$29,Slicer_Department)</f>
        <v>215621</v>
      </c>
      <c r="M500" s="37" vm="1927">
        <f>CUBEVALUE("ThisWorkbookDataModel",$K500,M$29,Slicer_Department)</f>
        <v>9000</v>
      </c>
      <c r="N500" s="37" t="e">
        <f t="shared" si="43"/>
        <v>#N/A</v>
      </c>
      <c r="O500" s="37" t="e">
        <f t="shared" si="44"/>
        <v>#N/A</v>
      </c>
      <c r="P500" s="37" vm="1927">
        <f t="shared" si="45"/>
        <v>9000</v>
      </c>
      <c r="Q500" s="37" t="e">
        <f t="shared" si="46"/>
        <v>#N/A</v>
      </c>
      <c r="R500" s="37" t="e">
        <f t="shared" si="47"/>
        <v>#N/A</v>
      </c>
      <c r="S500" s="37" vm="1928">
        <f t="shared" si="48"/>
        <v>215621</v>
      </c>
    </row>
    <row r="501" spans="10:19" x14ac:dyDescent="0.25">
      <c r="J501" s="36" t="str" vm="42">
        <f>CUBEMEMBER("ThisWorkbookDataModel","[Indian_Employee_Data].[Employee ID].&amp;[Emp1479]")</f>
        <v>Emp1479</v>
      </c>
      <c r="K501" s="36" t="str" vm="41">
        <f>CUBEMEMBER("ThisWorkbookDataModel",{"[Indian_Employee_Data].[Employee ID].&amp;[Emp1479]","[Indian_Employee_Data].[Insurance tier].&amp;[Silver]"})</f>
        <v>Silver</v>
      </c>
      <c r="L501" s="37" vm="1930">
        <f>CUBEVALUE("ThisWorkbookDataModel",$K501,L$29,Slicer_Department)</f>
        <v>114498</v>
      </c>
      <c r="M501" s="37" vm="1929">
        <f>CUBEVALUE("ThisWorkbookDataModel",$K501,M$29,Slicer_Department)</f>
        <v>2800</v>
      </c>
      <c r="N501" s="37" t="e">
        <f t="shared" si="43"/>
        <v>#N/A</v>
      </c>
      <c r="O501" s="37" vm="1929">
        <f t="shared" si="44"/>
        <v>2800</v>
      </c>
      <c r="P501" s="37" t="e">
        <f t="shared" si="45"/>
        <v>#N/A</v>
      </c>
      <c r="Q501" s="37" t="e">
        <f t="shared" si="46"/>
        <v>#N/A</v>
      </c>
      <c r="R501" s="37" vm="1930">
        <f t="shared" si="47"/>
        <v>114498</v>
      </c>
      <c r="S501" s="37" t="e">
        <f t="shared" si="48"/>
        <v>#N/A</v>
      </c>
    </row>
    <row r="502" spans="10:19" x14ac:dyDescent="0.25">
      <c r="J502" s="36" t="str" vm="40">
        <f>CUBEMEMBER("ThisWorkbookDataModel","[Indian_Employee_Data].[Employee ID].&amp;[Emp1480]")</f>
        <v>Emp1480</v>
      </c>
      <c r="K502" s="36" t="str" vm="39">
        <f>CUBEMEMBER("ThisWorkbookDataModel",{"[Indian_Employee_Data].[Employee ID].&amp;[Emp1480]","[Indian_Employee_Data].[Insurance tier].&amp;[Gold]"})</f>
        <v>Gold</v>
      </c>
      <c r="L502" s="37" vm="1932">
        <f>CUBEVALUE("ThisWorkbookDataModel",$K502,L$29,Slicer_Department)</f>
        <v>130550</v>
      </c>
      <c r="M502" s="37" vm="1931">
        <f>CUBEVALUE("ThisWorkbookDataModel",$K502,M$29,Slicer_Department)</f>
        <v>9000</v>
      </c>
      <c r="N502" s="37" t="e">
        <f t="shared" si="43"/>
        <v>#N/A</v>
      </c>
      <c r="O502" s="37" t="e">
        <f t="shared" si="44"/>
        <v>#N/A</v>
      </c>
      <c r="P502" s="37" vm="1931">
        <f t="shared" si="45"/>
        <v>9000</v>
      </c>
      <c r="Q502" s="37" t="e">
        <f t="shared" si="46"/>
        <v>#N/A</v>
      </c>
      <c r="R502" s="37" t="e">
        <f t="shared" si="47"/>
        <v>#N/A</v>
      </c>
      <c r="S502" s="37" vm="1932">
        <f t="shared" si="48"/>
        <v>130550</v>
      </c>
    </row>
    <row r="503" spans="10:19" x14ac:dyDescent="0.25">
      <c r="J503" s="36" t="str" vm="38">
        <f>CUBEMEMBER("ThisWorkbookDataModel","[Indian_Employee_Data].[Employee ID].&amp;[Emp1481]")</f>
        <v>Emp1481</v>
      </c>
      <c r="K503" s="36" t="str" vm="37">
        <f>CUBEMEMBER("ThisWorkbookDataModel",{"[Indian_Employee_Data].[Employee ID].&amp;[Emp1481]","[Indian_Employee_Data].[Insurance tier].&amp;[Gold]"})</f>
        <v>Gold</v>
      </c>
      <c r="L503" s="37" vm="1934">
        <f>CUBEVALUE("ThisWorkbookDataModel",$K503,L$29,Slicer_Department)</f>
        <v>141770</v>
      </c>
      <c r="M503" s="37" vm="1933">
        <f>CUBEVALUE("ThisWorkbookDataModel",$K503,M$29,Slicer_Department)</f>
        <v>9000</v>
      </c>
      <c r="N503" s="37" t="e">
        <f t="shared" si="43"/>
        <v>#N/A</v>
      </c>
      <c r="O503" s="37" t="e">
        <f t="shared" si="44"/>
        <v>#N/A</v>
      </c>
      <c r="P503" s="37" vm="1933">
        <f t="shared" si="45"/>
        <v>9000</v>
      </c>
      <c r="Q503" s="37" t="e">
        <f t="shared" si="46"/>
        <v>#N/A</v>
      </c>
      <c r="R503" s="37" t="e">
        <f t="shared" si="47"/>
        <v>#N/A</v>
      </c>
      <c r="S503" s="37" vm="1934">
        <f t="shared" si="48"/>
        <v>141770</v>
      </c>
    </row>
    <row r="504" spans="10:19" x14ac:dyDescent="0.25">
      <c r="J504" s="36" t="str" vm="36">
        <f>CUBEMEMBER("ThisWorkbookDataModel","[Indian_Employee_Data].[Employee ID].&amp;[Emp1482]")</f>
        <v>Emp1482</v>
      </c>
      <c r="K504" s="36" t="str" vm="35">
        <f>CUBEMEMBER("ThisWorkbookDataModel",{"[Indian_Employee_Data].[Employee ID].&amp;[Emp1482]","[Indian_Employee_Data].[Insurance tier].&amp;[Silver]"})</f>
        <v>Silver</v>
      </c>
      <c r="L504" s="37" vm="1936">
        <f>CUBEVALUE("ThisWorkbookDataModel",$K504,L$29,Slicer_Department)</f>
        <v>105085</v>
      </c>
      <c r="M504" s="37" vm="1935">
        <f>CUBEVALUE("ThisWorkbookDataModel",$K504,M$29,Slicer_Department)</f>
        <v>4200</v>
      </c>
      <c r="N504" s="37" t="e">
        <f t="shared" si="43"/>
        <v>#N/A</v>
      </c>
      <c r="O504" s="37" vm="1935">
        <f t="shared" si="44"/>
        <v>4200</v>
      </c>
      <c r="P504" s="37" t="e">
        <f t="shared" si="45"/>
        <v>#N/A</v>
      </c>
      <c r="Q504" s="37" t="e">
        <f t="shared" si="46"/>
        <v>#N/A</v>
      </c>
      <c r="R504" s="37" vm="1936">
        <f t="shared" si="47"/>
        <v>105085</v>
      </c>
      <c r="S504" s="37" t="e">
        <f t="shared" si="48"/>
        <v>#N/A</v>
      </c>
    </row>
    <row r="505" spans="10:19" x14ac:dyDescent="0.25">
      <c r="J505" s="36" t="str" vm="34">
        <f>CUBEMEMBER("ThisWorkbookDataModel","[Indian_Employee_Data].[Employee ID].&amp;[Emp1483]")</f>
        <v>Emp1483</v>
      </c>
      <c r="K505" s="36" t="str" vm="33">
        <f>CUBEMEMBER("ThisWorkbookDataModel",{"[Indian_Employee_Data].[Employee ID].&amp;[Emp1483]","[Indian_Employee_Data].[Insurance tier].&amp;[Gold]"})</f>
        <v>Gold</v>
      </c>
      <c r="L505" s="37" vm="1938">
        <f>CUBEVALUE("ThisWorkbookDataModel",$K505,L$29,Slicer_Department)</f>
        <v>130254</v>
      </c>
      <c r="M505" s="37" vm="1937">
        <f>CUBEVALUE("ThisWorkbookDataModel",$K505,M$29,Slicer_Department)</f>
        <v>9000</v>
      </c>
      <c r="N505" s="37" t="e">
        <f t="shared" si="43"/>
        <v>#N/A</v>
      </c>
      <c r="O505" s="37" t="e">
        <f t="shared" si="44"/>
        <v>#N/A</v>
      </c>
      <c r="P505" s="37" vm="1937">
        <f t="shared" si="45"/>
        <v>9000</v>
      </c>
      <c r="Q505" s="37" t="e">
        <f t="shared" si="46"/>
        <v>#N/A</v>
      </c>
      <c r="R505" s="37" t="e">
        <f t="shared" si="47"/>
        <v>#N/A</v>
      </c>
      <c r="S505" s="37" vm="1938">
        <f t="shared" si="48"/>
        <v>130254</v>
      </c>
    </row>
    <row r="506" spans="10:19" x14ac:dyDescent="0.25">
      <c r="J506" s="36" t="str" vm="32">
        <f>CUBEMEMBER("ThisWorkbookDataModel","[Indian_Employee_Data].[Employee ID].&amp;[Emp1484]")</f>
        <v>Emp1484</v>
      </c>
      <c r="K506" s="36" t="str" vm="31">
        <f>CUBEMEMBER("ThisWorkbookDataModel",{"[Indian_Employee_Data].[Employee ID].&amp;[Emp1484]","[Indian_Employee_Data].[Insurance tier].&amp;[Gold]"})</f>
        <v>Gold</v>
      </c>
      <c r="L506" s="37" vm="1940">
        <f>CUBEVALUE("ThisWorkbookDataModel",$K506,L$29,Slicer_Department)</f>
        <v>123493</v>
      </c>
      <c r="M506" s="37" vm="1939">
        <f>CUBEVALUE("ThisWorkbookDataModel",$K506,M$29,Slicer_Department)</f>
        <v>9000</v>
      </c>
      <c r="N506" s="37" t="e">
        <f t="shared" si="43"/>
        <v>#N/A</v>
      </c>
      <c r="O506" s="37" t="e">
        <f t="shared" si="44"/>
        <v>#N/A</v>
      </c>
      <c r="P506" s="37" vm="1939">
        <f t="shared" si="45"/>
        <v>9000</v>
      </c>
      <c r="Q506" s="37" t="e">
        <f t="shared" si="46"/>
        <v>#N/A</v>
      </c>
      <c r="R506" s="37" t="e">
        <f t="shared" si="47"/>
        <v>#N/A</v>
      </c>
      <c r="S506" s="37" vm="1940">
        <f t="shared" si="48"/>
        <v>123493</v>
      </c>
    </row>
    <row r="507" spans="10:19" x14ac:dyDescent="0.25">
      <c r="J507" s="36" t="str" vm="30">
        <f>CUBEMEMBER("ThisWorkbookDataModel","[Indian_Employee_Data].[Employee ID].&amp;[Emp1485]")</f>
        <v>Emp1485</v>
      </c>
      <c r="K507" s="36" t="str" vm="29">
        <f>CUBEMEMBER("ThisWorkbookDataModel",{"[Indian_Employee_Data].[Employee ID].&amp;[Emp1485]","[Indian_Employee_Data].[Insurance tier].&amp;[Gold]"})</f>
        <v>Gold</v>
      </c>
      <c r="L507" s="37" vm="1942">
        <f>CUBEVALUE("ThisWorkbookDataModel",$K507,L$29,Slicer_Department)</f>
        <v>188311</v>
      </c>
      <c r="M507" s="37" vm="1941">
        <f>CUBEVALUE("ThisWorkbookDataModel",$K507,M$29,Slicer_Department)</f>
        <v>6750</v>
      </c>
      <c r="N507" s="37" t="e">
        <f t="shared" si="43"/>
        <v>#N/A</v>
      </c>
      <c r="O507" s="37" t="e">
        <f t="shared" si="44"/>
        <v>#N/A</v>
      </c>
      <c r="P507" s="37" vm="1941">
        <f t="shared" si="45"/>
        <v>6750</v>
      </c>
      <c r="Q507" s="37" t="e">
        <f t="shared" si="46"/>
        <v>#N/A</v>
      </c>
      <c r="R507" s="37" t="e">
        <f t="shared" si="47"/>
        <v>#N/A</v>
      </c>
      <c r="S507" s="37" vm="1942">
        <f t="shared" si="48"/>
        <v>188311</v>
      </c>
    </row>
    <row r="508" spans="10:19" x14ac:dyDescent="0.25">
      <c r="J508" s="36" t="str" vm="28">
        <f>CUBEMEMBER("ThisWorkbookDataModel","[Indian_Employee_Data].[Employee ID].&amp;[Emp1486]")</f>
        <v>Emp1486</v>
      </c>
      <c r="K508" s="36" t="str" vm="27">
        <f>CUBEMEMBER("ThisWorkbookDataModel",{"[Indian_Employee_Data].[Employee ID].&amp;[Emp1486]","[Indian_Employee_Data].[Insurance tier].&amp;[Bronze]"})</f>
        <v>Bronze</v>
      </c>
      <c r="L508" s="37" vm="1944">
        <f>CUBEVALUE("ThisWorkbookDataModel",$K508,L$29,Slicer_Department)</f>
        <v>51211</v>
      </c>
      <c r="M508" s="37" vm="1943">
        <f>CUBEVALUE("ThisWorkbookDataModel",$K508,M$29,Slicer_Department)</f>
        <v>1500</v>
      </c>
      <c r="N508" s="37" vm="1943">
        <f t="shared" si="43"/>
        <v>1500</v>
      </c>
      <c r="O508" s="37" t="e">
        <f t="shared" si="44"/>
        <v>#N/A</v>
      </c>
      <c r="P508" s="37" t="e">
        <f t="shared" si="45"/>
        <v>#N/A</v>
      </c>
      <c r="Q508" s="37" vm="1944">
        <f t="shared" si="46"/>
        <v>51211</v>
      </c>
      <c r="R508" s="37" t="e">
        <f t="shared" si="47"/>
        <v>#N/A</v>
      </c>
      <c r="S508" s="37" t="e">
        <f t="shared" si="48"/>
        <v>#N/A</v>
      </c>
    </row>
    <row r="509" spans="10:19" x14ac:dyDescent="0.25">
      <c r="J509" s="36" t="str" vm="26">
        <f>CUBEMEMBER("ThisWorkbookDataModel","[Indian_Employee_Data].[Employee ID].&amp;[Emp1487]")</f>
        <v>Emp1487</v>
      </c>
      <c r="K509" s="36" t="str" vm="25">
        <f>CUBEMEMBER("ThisWorkbookDataModel",{"[Indian_Employee_Data].[Employee ID].&amp;[Emp1487]","[Indian_Employee_Data].[Insurance tier].&amp;[Silver]"})</f>
        <v>Silver</v>
      </c>
      <c r="L509" s="37" vm="1946">
        <f>CUBEVALUE("ThisWorkbookDataModel",$K509,L$29,Slicer_Department)</f>
        <v>83618</v>
      </c>
      <c r="M509" s="37" vm="1945">
        <f>CUBEVALUE("ThisWorkbookDataModel",$K509,M$29,Slicer_Department)</f>
        <v>2800</v>
      </c>
      <c r="N509" s="37" t="e">
        <f t="shared" si="43"/>
        <v>#N/A</v>
      </c>
      <c r="O509" s="37" vm="1945">
        <f t="shared" si="44"/>
        <v>2800</v>
      </c>
      <c r="P509" s="37" t="e">
        <f t="shared" si="45"/>
        <v>#N/A</v>
      </c>
      <c r="Q509" s="37" t="e">
        <f t="shared" si="46"/>
        <v>#N/A</v>
      </c>
      <c r="R509" s="37" vm="1946">
        <f t="shared" si="47"/>
        <v>83618</v>
      </c>
      <c r="S509" s="37" t="e">
        <f t="shared" si="48"/>
        <v>#N/A</v>
      </c>
    </row>
    <row r="510" spans="10:19" x14ac:dyDescent="0.25">
      <c r="J510" s="36" t="str" vm="24">
        <f>CUBEMEMBER("ThisWorkbookDataModel","[Indian_Employee_Data].[Employee ID].&amp;[Emp1488]")</f>
        <v>Emp1488</v>
      </c>
      <c r="K510" s="36" t="str" vm="23">
        <f>CUBEMEMBER("ThisWorkbookDataModel",{"[Indian_Employee_Data].[Employee ID].&amp;[Emp1488]","[Indian_Employee_Data].[Insurance tier].&amp;[Gold]"})</f>
        <v>Gold</v>
      </c>
      <c r="L510" s="37" vm="1948">
        <f>CUBEVALUE("ThisWorkbookDataModel",$K510,L$29,Slicer_Department)</f>
        <v>206306</v>
      </c>
      <c r="M510" s="37" vm="1947">
        <f>CUBEVALUE("ThisWorkbookDataModel",$K510,M$29,Slicer_Department)</f>
        <v>6750</v>
      </c>
      <c r="N510" s="37" t="e">
        <f t="shared" si="43"/>
        <v>#N/A</v>
      </c>
      <c r="O510" s="37" t="e">
        <f t="shared" si="44"/>
        <v>#N/A</v>
      </c>
      <c r="P510" s="37" vm="1947">
        <f t="shared" si="45"/>
        <v>6750</v>
      </c>
      <c r="Q510" s="37" t="e">
        <f t="shared" si="46"/>
        <v>#N/A</v>
      </c>
      <c r="R510" s="37" t="e">
        <f t="shared" si="47"/>
        <v>#N/A</v>
      </c>
      <c r="S510" s="37" vm="1948">
        <f t="shared" si="48"/>
        <v>206306</v>
      </c>
    </row>
    <row r="511" spans="10:19" x14ac:dyDescent="0.25">
      <c r="J511" s="36" t="str" vm="22">
        <f>CUBEMEMBER("ThisWorkbookDataModel","[Indian_Employee_Data].[Employee ID].&amp;[Emp1489]")</f>
        <v>Emp1489</v>
      </c>
      <c r="K511" s="36" t="str" vm="21">
        <f>CUBEMEMBER("ThisWorkbookDataModel",{"[Indian_Employee_Data].[Employee ID].&amp;[Emp1489]","[Indian_Employee_Data].[Insurance tier].&amp;[Gold]"})</f>
        <v>Gold</v>
      </c>
      <c r="L511" s="37" vm="1950">
        <f>CUBEVALUE("ThisWorkbookDataModel",$K511,L$29,Slicer_Department)</f>
        <v>185001</v>
      </c>
      <c r="M511" s="37" vm="1949">
        <f>CUBEVALUE("ThisWorkbookDataModel",$K511,M$29,Slicer_Department)</f>
        <v>6750</v>
      </c>
      <c r="N511" s="37" t="e">
        <f t="shared" si="43"/>
        <v>#N/A</v>
      </c>
      <c r="O511" s="37" t="e">
        <f t="shared" si="44"/>
        <v>#N/A</v>
      </c>
      <c r="P511" s="37" vm="1949">
        <f t="shared" si="45"/>
        <v>6750</v>
      </c>
      <c r="Q511" s="37" t="e">
        <f t="shared" si="46"/>
        <v>#N/A</v>
      </c>
      <c r="R511" s="37" t="e">
        <f t="shared" si="47"/>
        <v>#N/A</v>
      </c>
      <c r="S511" s="37" vm="1950">
        <f t="shared" si="48"/>
        <v>185001</v>
      </c>
    </row>
    <row r="512" spans="10:19" x14ac:dyDescent="0.25">
      <c r="J512" s="36" t="str" vm="20">
        <f>CUBEMEMBER("ThisWorkbookDataModel","[Indian_Employee_Data].[Employee ID].&amp;[Emp1490]")</f>
        <v>Emp1490</v>
      </c>
      <c r="K512" s="36" t="str" vm="19">
        <f>CUBEMEMBER("ThisWorkbookDataModel",{"[Indian_Employee_Data].[Employee ID].&amp;[Emp1490]","[Indian_Employee_Data].[Insurance tier].&amp;[Silver]"})</f>
        <v>Silver</v>
      </c>
      <c r="L512" s="37" vm="1952">
        <f>CUBEVALUE("ThisWorkbookDataModel",$K512,L$29,Slicer_Department)</f>
        <v>105233</v>
      </c>
      <c r="M512" s="37" vm="1951">
        <f>CUBEVALUE("ThisWorkbookDataModel",$K512,M$29,Slicer_Department)</f>
        <v>2800</v>
      </c>
      <c r="N512" s="37" t="e">
        <f t="shared" si="43"/>
        <v>#N/A</v>
      </c>
      <c r="O512" s="37" vm="1951">
        <f t="shared" si="44"/>
        <v>2800</v>
      </c>
      <c r="P512" s="37" t="e">
        <f t="shared" si="45"/>
        <v>#N/A</v>
      </c>
      <c r="Q512" s="37" t="e">
        <f t="shared" si="46"/>
        <v>#N/A</v>
      </c>
      <c r="R512" s="37" vm="1952">
        <f t="shared" si="47"/>
        <v>105233</v>
      </c>
      <c r="S512" s="37" t="e">
        <f t="shared" si="48"/>
        <v>#N/A</v>
      </c>
    </row>
    <row r="513" spans="10:19" x14ac:dyDescent="0.25">
      <c r="J513" s="36" t="str" vm="18">
        <f>CUBEMEMBER("ThisWorkbookDataModel","[Indian_Employee_Data].[Employee ID].&amp;[Emp1491]")</f>
        <v>Emp1491</v>
      </c>
      <c r="K513" s="36" t="str" vm="17">
        <f>CUBEMEMBER("ThisWorkbookDataModel",{"[Indian_Employee_Data].[Employee ID].&amp;[Emp1491]","[Indian_Employee_Data].[Insurance tier].&amp;[Gold]"})</f>
        <v>Gold</v>
      </c>
      <c r="L513" s="37" vm="1954">
        <f>CUBEVALUE("ThisWorkbookDataModel",$K513,L$29,Slicer_Department)</f>
        <v>129066</v>
      </c>
      <c r="M513" s="37" vm="1953">
        <f>CUBEVALUE("ThisWorkbookDataModel",$K513,M$29,Slicer_Department)</f>
        <v>6750</v>
      </c>
      <c r="N513" s="37" t="e">
        <f t="shared" si="43"/>
        <v>#N/A</v>
      </c>
      <c r="O513" s="37" t="e">
        <f t="shared" si="44"/>
        <v>#N/A</v>
      </c>
      <c r="P513" s="37" vm="1953">
        <f t="shared" si="45"/>
        <v>6750</v>
      </c>
      <c r="Q513" s="37" t="e">
        <f t="shared" si="46"/>
        <v>#N/A</v>
      </c>
      <c r="R513" s="37" t="e">
        <f t="shared" si="47"/>
        <v>#N/A</v>
      </c>
      <c r="S513" s="37" vm="1954">
        <f t="shared" si="48"/>
        <v>129066</v>
      </c>
    </row>
    <row r="514" spans="10:19" x14ac:dyDescent="0.25">
      <c r="J514" s="36" t="str" vm="16">
        <f>CUBEMEMBER("ThisWorkbookDataModel","[Indian_Employee_Data].[Employee ID].&amp;[Emp1492]")</f>
        <v>Emp1492</v>
      </c>
      <c r="K514" s="36" t="str" vm="15">
        <f>CUBEMEMBER("ThisWorkbookDataModel",{"[Indian_Employee_Data].[Employee ID].&amp;[Emp1492]","[Indian_Employee_Data].[Insurance tier].&amp;[Silver]"})</f>
        <v>Silver</v>
      </c>
      <c r="L514" s="37" vm="1956">
        <f>CUBEVALUE("ThisWorkbookDataModel",$K514,L$29,Slicer_Department)</f>
        <v>83204</v>
      </c>
      <c r="M514" s="37" vm="1955">
        <f>CUBEVALUE("ThisWorkbookDataModel",$K514,M$29,Slicer_Department)</f>
        <v>2800</v>
      </c>
      <c r="N514" s="37" t="e">
        <f t="shared" si="43"/>
        <v>#N/A</v>
      </c>
      <c r="O514" s="37" vm="1955">
        <f t="shared" si="44"/>
        <v>2800</v>
      </c>
      <c r="P514" s="37" t="e">
        <f t="shared" si="45"/>
        <v>#N/A</v>
      </c>
      <c r="Q514" s="37" t="e">
        <f t="shared" si="46"/>
        <v>#N/A</v>
      </c>
      <c r="R514" s="37" vm="1956">
        <f t="shared" si="47"/>
        <v>83204</v>
      </c>
      <c r="S514" s="37" t="e">
        <f t="shared" si="48"/>
        <v>#N/A</v>
      </c>
    </row>
    <row r="515" spans="10:19" x14ac:dyDescent="0.25">
      <c r="J515" s="36" t="str" vm="14">
        <f>CUBEMEMBER("ThisWorkbookDataModel","[Indian_Employee_Data].[Employee ID].&amp;[Emp1493]")</f>
        <v>Emp1493</v>
      </c>
      <c r="K515" s="36" t="str" vm="13">
        <f>CUBEMEMBER("ThisWorkbookDataModel",{"[Indian_Employee_Data].[Employee ID].&amp;[Emp1493]","[Indian_Employee_Data].[Insurance tier].&amp;[Silver]"})</f>
        <v>Silver</v>
      </c>
      <c r="L515" s="37" vm="1958">
        <f>CUBEVALUE("ThisWorkbookDataModel",$K515,L$29,Slicer_Department)</f>
        <v>73155</v>
      </c>
      <c r="M515" s="37" vm="1957">
        <f>CUBEVALUE("ThisWorkbookDataModel",$K515,M$29,Slicer_Department)</f>
        <v>4200</v>
      </c>
      <c r="N515" s="37" t="e">
        <f t="shared" si="43"/>
        <v>#N/A</v>
      </c>
      <c r="O515" s="37" vm="1957">
        <f t="shared" si="44"/>
        <v>4200</v>
      </c>
      <c r="P515" s="37" t="e">
        <f t="shared" si="45"/>
        <v>#N/A</v>
      </c>
      <c r="Q515" s="37" t="e">
        <f t="shared" si="46"/>
        <v>#N/A</v>
      </c>
      <c r="R515" s="37" vm="1958">
        <f t="shared" si="47"/>
        <v>73155</v>
      </c>
      <c r="S515" s="37" t="e">
        <f t="shared" si="48"/>
        <v>#N/A</v>
      </c>
    </row>
    <row r="516" spans="10:19" x14ac:dyDescent="0.25">
      <c r="J516" s="36" t="str" vm="12">
        <f>CUBEMEMBER("ThisWorkbookDataModel","[Indian_Employee_Data].[Employee ID].&amp;[Emp1494]")</f>
        <v>Emp1494</v>
      </c>
      <c r="K516" s="36" t="str" vm="11">
        <f>CUBEMEMBER("ThisWorkbookDataModel",{"[Indian_Employee_Data].[Employee ID].&amp;[Emp1494]","[Indian_Employee_Data].[Insurance tier].&amp;[Silver]"})</f>
        <v>Silver</v>
      </c>
      <c r="L516" s="37" vm="1960">
        <f>CUBEVALUE("ThisWorkbookDataModel",$K516,L$29,Slicer_Department)</f>
        <v>106307</v>
      </c>
      <c r="M516" s="37" vm="1959">
        <f>CUBEVALUE("ThisWorkbookDataModel",$K516,M$29,Slicer_Department)</f>
        <v>2800</v>
      </c>
      <c r="N516" s="37" t="e">
        <f t="shared" si="43"/>
        <v>#N/A</v>
      </c>
      <c r="O516" s="37" vm="1959">
        <f t="shared" si="44"/>
        <v>2800</v>
      </c>
      <c r="P516" s="37" t="e">
        <f t="shared" si="45"/>
        <v>#N/A</v>
      </c>
      <c r="Q516" s="37" t="e">
        <f t="shared" si="46"/>
        <v>#N/A</v>
      </c>
      <c r="R516" s="37" vm="1960">
        <f t="shared" si="47"/>
        <v>106307</v>
      </c>
      <c r="S516" s="37" t="e">
        <f t="shared" si="48"/>
        <v>#N/A</v>
      </c>
    </row>
    <row r="517" spans="10:19" x14ac:dyDescent="0.25">
      <c r="J517" s="36" t="str" vm="10">
        <f>CUBEMEMBER("ThisWorkbookDataModel","[Indian_Employee_Data].[Employee ID].&amp;[Emp1495]")</f>
        <v>Emp1495</v>
      </c>
      <c r="K517" s="36" t="str" vm="9">
        <f>CUBEMEMBER("ThisWorkbookDataModel",{"[Indian_Employee_Data].[Employee ID].&amp;[Emp1495]","[Indian_Employee_Data].[Insurance tier].&amp;[Silver]"})</f>
        <v>Silver</v>
      </c>
      <c r="L517" s="37" vm="1962">
        <f>CUBEVALUE("ThisWorkbookDataModel",$K517,L$29,Slicer_Department)</f>
        <v>92215</v>
      </c>
      <c r="M517" s="37" vm="1961">
        <f>CUBEVALUE("ThisWorkbookDataModel",$K517,M$29,Slicer_Department)</f>
        <v>2800</v>
      </c>
      <c r="N517" s="37" t="e">
        <f t="shared" si="43"/>
        <v>#N/A</v>
      </c>
      <c r="O517" s="37" vm="1961">
        <f t="shared" si="44"/>
        <v>2800</v>
      </c>
      <c r="P517" s="37" t="e">
        <f t="shared" si="45"/>
        <v>#N/A</v>
      </c>
      <c r="Q517" s="37" t="e">
        <f t="shared" si="46"/>
        <v>#N/A</v>
      </c>
      <c r="R517" s="37" vm="1962">
        <f t="shared" si="47"/>
        <v>92215</v>
      </c>
      <c r="S517" s="37" t="e">
        <f t="shared" si="48"/>
        <v>#N/A</v>
      </c>
    </row>
    <row r="518" spans="10:19" x14ac:dyDescent="0.25">
      <c r="J518" s="36" t="str" vm="8">
        <f>CUBEMEMBER("ThisWorkbookDataModel","[Indian_Employee_Data].[Employee ID].&amp;[Emp1496]")</f>
        <v>Emp1496</v>
      </c>
      <c r="K518" s="36" t="str" vm="7">
        <f>CUBEMEMBER("ThisWorkbookDataModel",{"[Indian_Employee_Data].[Employee ID].&amp;[Emp1496]","[Indian_Employee_Data].[Insurance tier].&amp;[Gold]"})</f>
        <v>Gold</v>
      </c>
      <c r="L518" s="37" vm="1964">
        <f>CUBEVALUE("ThisWorkbookDataModel",$K518,L$29,Slicer_Department)</f>
        <v>123393</v>
      </c>
      <c r="M518" s="37" vm="1963">
        <f>CUBEVALUE("ThisWorkbookDataModel",$K518,M$29,Slicer_Department)</f>
        <v>6750</v>
      </c>
      <c r="N518" s="37" t="e">
        <f t="shared" si="43"/>
        <v>#N/A</v>
      </c>
      <c r="O518" s="37" t="e">
        <f t="shared" si="44"/>
        <v>#N/A</v>
      </c>
      <c r="P518" s="37" vm="1963">
        <f t="shared" si="45"/>
        <v>6750</v>
      </c>
      <c r="Q518" s="37" t="e">
        <f t="shared" si="46"/>
        <v>#N/A</v>
      </c>
      <c r="R518" s="37" t="e">
        <f t="shared" si="47"/>
        <v>#N/A</v>
      </c>
      <c r="S518" s="37" vm="1964">
        <f t="shared" si="48"/>
        <v>123393</v>
      </c>
    </row>
    <row r="519" spans="10:19" x14ac:dyDescent="0.25">
      <c r="J519" s="36" t="str" vm="6">
        <f>CUBEMEMBER("ThisWorkbookDataModel","[Indian_Employee_Data].[Employee ID].&amp;[Emp1497]")</f>
        <v>Emp1497</v>
      </c>
      <c r="K519" s="36" t="str" vm="5">
        <f>CUBEMEMBER("ThisWorkbookDataModel",{"[Indian_Employee_Data].[Employee ID].&amp;[Emp1497]","[Indian_Employee_Data].[Insurance tier].&amp;[Bronze]"})</f>
        <v>Bronze</v>
      </c>
      <c r="L519" s="37" vm="1966">
        <f>CUBEVALUE("ThisWorkbookDataModel",$K519,L$29,Slicer_Department)</f>
        <v>57741</v>
      </c>
      <c r="M519" s="37" vm="1965">
        <f>CUBEVALUE("ThisWorkbookDataModel",$K519,M$29,Slicer_Department)</f>
        <v>1500</v>
      </c>
      <c r="N519" s="37" vm="1965">
        <f t="shared" si="43"/>
        <v>1500</v>
      </c>
      <c r="O519" s="37" t="e">
        <f t="shared" si="44"/>
        <v>#N/A</v>
      </c>
      <c r="P519" s="37" t="e">
        <f t="shared" si="45"/>
        <v>#N/A</v>
      </c>
      <c r="Q519" s="37" vm="1966">
        <f t="shared" si="46"/>
        <v>57741</v>
      </c>
      <c r="R519" s="37" t="e">
        <f t="shared" si="47"/>
        <v>#N/A</v>
      </c>
      <c r="S519" s="37" t="e">
        <f t="shared" si="48"/>
        <v>#N/A</v>
      </c>
    </row>
    <row r="520" spans="10:19" x14ac:dyDescent="0.25">
      <c r="J520" s="36" t="str" vm="4">
        <f>CUBEMEMBER("ThisWorkbookDataModel","[Indian_Employee_Data].[Employee ID].&amp;[Emp1498]")</f>
        <v>Emp1498</v>
      </c>
      <c r="K520" s="36" t="str" vm="3">
        <f>CUBEMEMBER("ThisWorkbookDataModel",{"[Indian_Employee_Data].[Employee ID].&amp;[Emp1498]","[Indian_Employee_Data].[Insurance tier].&amp;[Gold]"})</f>
        <v>Gold</v>
      </c>
      <c r="L520" s="37" vm="1968">
        <f>CUBEVALUE("ThisWorkbookDataModel",$K520,L$29,Slicer_Department)</f>
        <v>218602</v>
      </c>
      <c r="M520" s="37" vm="1967">
        <f>CUBEVALUE("ThisWorkbookDataModel",$K520,M$29,Slicer_Department)</f>
        <v>9000</v>
      </c>
      <c r="N520" s="37" t="e">
        <f t="shared" si="43"/>
        <v>#N/A</v>
      </c>
      <c r="O520" s="37" t="e">
        <f t="shared" si="44"/>
        <v>#N/A</v>
      </c>
      <c r="P520" s="37" vm="1967">
        <f t="shared" si="45"/>
        <v>9000</v>
      </c>
      <c r="Q520" s="37" t="e">
        <f t="shared" si="46"/>
        <v>#N/A</v>
      </c>
      <c r="R520" s="37" t="e">
        <f t="shared" si="47"/>
        <v>#N/A</v>
      </c>
      <c r="S520" s="37" vm="1968">
        <f t="shared" si="48"/>
        <v>218602</v>
      </c>
    </row>
    <row r="521" spans="10:19" x14ac:dyDescent="0.25">
      <c r="J521" s="36" t="str" vm="2">
        <f>CUBEMEMBER("ThisWorkbookDataModel","[Indian_Employee_Data].[Employee ID].&amp;[Emp1499]")</f>
        <v>Emp1499</v>
      </c>
      <c r="K521" s="36" t="str" vm="1">
        <f>CUBEMEMBER("ThisWorkbookDataModel",{"[Indian_Employee_Data].[Employee ID].&amp;[Emp1499]","[Indian_Employee_Data].[Insurance tier].&amp;[Gold]"})</f>
        <v>Gold</v>
      </c>
      <c r="L521" s="37" vm="1970">
        <f>CUBEVALUE("ThisWorkbookDataModel",$K521,L$29,Slicer_Department)</f>
        <v>226959</v>
      </c>
      <c r="M521" s="37" vm="1969">
        <f>CUBEVALUE("ThisWorkbookDataModel",$K521,M$29,Slicer_Department)</f>
        <v>6750</v>
      </c>
      <c r="N521" s="37" t="e">
        <f t="shared" si="43"/>
        <v>#N/A</v>
      </c>
      <c r="O521" s="37" t="e">
        <f t="shared" si="44"/>
        <v>#N/A</v>
      </c>
      <c r="P521" s="37" vm="1969">
        <f t="shared" si="45"/>
        <v>6750</v>
      </c>
      <c r="Q521" s="37" t="e">
        <f t="shared" si="46"/>
        <v>#N/A</v>
      </c>
      <c r="R521" s="37" t="e">
        <f t="shared" si="47"/>
        <v>#N/A</v>
      </c>
      <c r="S521" s="37" vm="1970">
        <f t="shared" si="48"/>
        <v>226959</v>
      </c>
    </row>
  </sheetData>
  <sortState xmlns:xlrd2="http://schemas.microsoft.com/office/spreadsheetml/2017/richdata2" columnSort="1" ref="J1:O7">
    <sortCondition descending="1" ref="M1"/>
  </sortState>
  <mergeCells count="1">
    <mergeCell ref="E11:F17"/>
  </mergeCells>
  <conditionalFormatting sqref="A21:B21">
    <cfRule type="colorScale" priority="4">
      <colorScale>
        <cfvo type="min"/>
        <cfvo type="percentile" val="50"/>
        <cfvo type="max"/>
        <color rgb="FFF8696B"/>
        <color rgb="FFFCFCFF"/>
        <color theme="9"/>
      </colorScale>
    </cfRule>
  </conditionalFormatting>
  <conditionalFormatting sqref="A28:B28">
    <cfRule type="colorScale" priority="1">
      <colorScale>
        <cfvo type="min"/>
        <cfvo type="percentile" val="50"/>
        <cfvo type="max"/>
        <color rgb="FFF8696B"/>
        <color rgb="FFFCFCFF"/>
        <color theme="9"/>
      </colorScale>
    </cfRule>
  </conditionalFormatting>
  <conditionalFormatting sqref="A45:B45">
    <cfRule type="colorScale" priority="2">
      <colorScale>
        <cfvo type="min"/>
        <cfvo type="percentile" val="50"/>
        <cfvo type="max"/>
        <color rgb="FFF8696B"/>
        <color rgb="FFFCFCFF"/>
        <color theme="9"/>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218B-FFDB-4495-A7CD-69BAF7C00D40}">
  <dimension ref="A1:E6"/>
  <sheetViews>
    <sheetView workbookViewId="0">
      <selection activeCell="K1048576" sqref="K1048576"/>
    </sheetView>
  </sheetViews>
  <sheetFormatPr defaultRowHeight="15" x14ac:dyDescent="0.25"/>
  <cols>
    <col min="1" max="4" width="16.85546875" customWidth="1"/>
  </cols>
  <sheetData>
    <row r="1" spans="1:5" s="1" customFormat="1" x14ac:dyDescent="0.25">
      <c r="A1" s="1" t="s">
        <v>22</v>
      </c>
      <c r="B1" s="1" t="s">
        <v>1</v>
      </c>
      <c r="C1" s="1" t="s">
        <v>15</v>
      </c>
      <c r="D1" s="1" t="s">
        <v>2</v>
      </c>
      <c r="E1" s="1" t="s">
        <v>0</v>
      </c>
    </row>
    <row r="2" spans="1:5" x14ac:dyDescent="0.25">
      <c r="A2" t="s">
        <v>23</v>
      </c>
      <c r="B2" t="s">
        <v>7</v>
      </c>
      <c r="C2" t="s">
        <v>17</v>
      </c>
      <c r="D2" t="s">
        <v>16</v>
      </c>
      <c r="E2" t="s">
        <v>14</v>
      </c>
    </row>
    <row r="3" spans="1:5" x14ac:dyDescent="0.25">
      <c r="A3" t="s">
        <v>24</v>
      </c>
      <c r="B3" t="s">
        <v>13</v>
      </c>
      <c r="C3" t="s">
        <v>5</v>
      </c>
      <c r="D3" t="s">
        <v>19</v>
      </c>
      <c r="E3" t="s">
        <v>8</v>
      </c>
    </row>
    <row r="4" spans="1:5" x14ac:dyDescent="0.25">
      <c r="A4" t="s">
        <v>25</v>
      </c>
      <c r="B4" t="s">
        <v>4</v>
      </c>
      <c r="C4" t="s">
        <v>10</v>
      </c>
      <c r="D4" t="s">
        <v>6</v>
      </c>
      <c r="E4" t="s">
        <v>11</v>
      </c>
    </row>
    <row r="5" spans="1:5" x14ac:dyDescent="0.25">
      <c r="B5" t="s">
        <v>9</v>
      </c>
      <c r="E5" t="s">
        <v>3</v>
      </c>
    </row>
    <row r="6" spans="1:5" x14ac:dyDescent="0.25">
      <c r="E6"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26C689D6-C0F5-46AE-9F9A-2CE0E673A427}">
  <ds:schemaRefs/>
</ds:datastoreItem>
</file>

<file path=customXml/itemProps2.xml><?xml version="1.0" encoding="utf-8"?>
<ds:datastoreItem xmlns:ds="http://schemas.openxmlformats.org/officeDocument/2006/customXml" ds:itemID="{36A4C387-29D6-4A32-AD43-88D7D4472F44}">
  <ds:schemaRefs/>
</ds:datastoreItem>
</file>

<file path=customXml/itemProps3.xml><?xml version="1.0" encoding="utf-8"?>
<ds:datastoreItem xmlns:ds="http://schemas.openxmlformats.org/officeDocument/2006/customXml" ds:itemID="{5DE24814-5428-475E-9EE2-6195C0FD2D15}">
  <ds:schemaRefs/>
</ds:datastoreItem>
</file>

<file path=customXml/itemProps4.xml><?xml version="1.0" encoding="utf-8"?>
<ds:datastoreItem xmlns:ds="http://schemas.openxmlformats.org/officeDocument/2006/customXml" ds:itemID="{F9A9F2F0-DDA6-414B-929D-7F6F8FD7348D}">
  <ds:schemaRefs/>
</ds:datastoreItem>
</file>

<file path=customXml/itemProps5.xml><?xml version="1.0" encoding="utf-8"?>
<ds:datastoreItem xmlns:ds="http://schemas.openxmlformats.org/officeDocument/2006/customXml" ds:itemID="{7337FD4E-25FE-49C8-8B77-234F82ED191C}">
  <ds:schemaRefs/>
</ds:datastoreItem>
</file>

<file path=customXml/itemProps6.xml><?xml version="1.0" encoding="utf-8"?>
<ds:datastoreItem xmlns:ds="http://schemas.openxmlformats.org/officeDocument/2006/customXml" ds:itemID="{9A2A0DF5-68BD-4F58-811F-3CC4DDFDBE82}">
  <ds:schemaRefs/>
</ds:datastoreItem>
</file>

<file path=customXml/itemProps7.xml><?xml version="1.0" encoding="utf-8"?>
<ds:datastoreItem xmlns:ds="http://schemas.openxmlformats.org/officeDocument/2006/customXml" ds:itemID="{660FE234-F726-433C-AB5C-ACBCB1C622DE}">
  <ds:schemaRefs/>
</ds:datastoreItem>
</file>

<file path=customXml/itemProps8.xml><?xml version="1.0" encoding="utf-8"?>
<ds:datastoreItem xmlns:ds="http://schemas.openxmlformats.org/officeDocument/2006/customXml" ds:itemID="{90CE222E-55FC-4CF0-954C-2F07AF6E42C9}">
  <ds:schemaRefs/>
</ds:datastoreItem>
</file>

<file path=customXml/itemProps9.xml><?xml version="1.0" encoding="utf-8"?>
<ds:datastoreItem xmlns:ds="http://schemas.openxmlformats.org/officeDocument/2006/customXml" ds:itemID="{C217C7B5-1B4E-4924-852C-8EDFAA2AE52F}">
  <ds:schemaRefs/>
</ds:datastoreItem>
</file>

<file path=customXml/itemProps10.xml><?xml version="1.0" encoding="utf-8"?>
<ds:datastoreItem xmlns:ds="http://schemas.openxmlformats.org/officeDocument/2006/customXml" ds:itemID="{E0F5A55F-D178-40BD-B7C9-6092EDFA1D15}">
  <ds:schemaRefs/>
</ds:datastoreItem>
</file>

<file path=customXml/itemProps11.xml><?xml version="1.0" encoding="utf-8"?>
<ds:datastoreItem xmlns:ds="http://schemas.openxmlformats.org/officeDocument/2006/customXml" ds:itemID="{4F968180-2E84-4F85-9AE0-A1E22254F940}">
  <ds:schemaRefs/>
</ds:datastoreItem>
</file>

<file path=customXml/itemProps12.xml><?xml version="1.0" encoding="utf-8"?>
<ds:datastoreItem xmlns:ds="http://schemas.openxmlformats.org/officeDocument/2006/customXml" ds:itemID="{016989D7-54AA-4DE0-AA85-E0E13189F60E}">
  <ds:schemaRefs/>
</ds:datastoreItem>
</file>

<file path=customXml/itemProps13.xml><?xml version="1.0" encoding="utf-8"?>
<ds:datastoreItem xmlns:ds="http://schemas.openxmlformats.org/officeDocument/2006/customXml" ds:itemID="{7C3910BE-B124-416C-9C1D-663DE10464E0}">
  <ds:schemaRefs/>
</ds:datastoreItem>
</file>

<file path=customXml/itemProps14.xml><?xml version="1.0" encoding="utf-8"?>
<ds:datastoreItem xmlns:ds="http://schemas.openxmlformats.org/officeDocument/2006/customXml" ds:itemID="{9044E3E8-C0B7-4F6A-8989-1FC587904D33}">
  <ds:schemaRefs/>
</ds:datastoreItem>
</file>

<file path=customXml/itemProps15.xml><?xml version="1.0" encoding="utf-8"?>
<ds:datastoreItem xmlns:ds="http://schemas.openxmlformats.org/officeDocument/2006/customXml" ds:itemID="{F4D5C19D-3556-4138-9E7B-C0428856CAD9}">
  <ds:schemaRefs/>
</ds:datastoreItem>
</file>

<file path=customXml/itemProps16.xml><?xml version="1.0" encoding="utf-8"?>
<ds:datastoreItem xmlns:ds="http://schemas.openxmlformats.org/officeDocument/2006/customXml" ds:itemID="{AC700084-8B61-439E-B60D-B62DED4DE679}">
  <ds:schemaRefs/>
</ds:datastoreItem>
</file>

<file path=customXml/itemProps17.xml><?xml version="1.0" encoding="utf-8"?>
<ds:datastoreItem xmlns:ds="http://schemas.openxmlformats.org/officeDocument/2006/customXml" ds:itemID="{13CE3FA3-252C-4794-A196-3F1A09B3F06F}">
  <ds:schemaRefs/>
</ds:datastoreItem>
</file>

<file path=customXml/itemProps18.xml><?xml version="1.0" encoding="utf-8"?>
<ds:datastoreItem xmlns:ds="http://schemas.openxmlformats.org/officeDocument/2006/customXml" ds:itemID="{57F510C0-A951-4584-A0B7-2A4423555CEB}">
  <ds:schemaRefs/>
</ds:datastoreItem>
</file>

<file path=customXml/itemProps19.xml><?xml version="1.0" encoding="utf-8"?>
<ds:datastoreItem xmlns:ds="http://schemas.openxmlformats.org/officeDocument/2006/customXml" ds:itemID="{5A6EC15A-B272-4952-B58B-CC1128921A24}">
  <ds:schemaRefs/>
</ds:datastoreItem>
</file>

<file path=customXml/itemProps20.xml><?xml version="1.0" encoding="utf-8"?>
<ds:datastoreItem xmlns:ds="http://schemas.openxmlformats.org/officeDocument/2006/customXml" ds:itemID="{99300EC6-8350-43F7-884B-50150FF9CFE3}">
  <ds:schemaRefs/>
</ds:datastoreItem>
</file>

<file path=customXml/itemProps21.xml><?xml version="1.0" encoding="utf-8"?>
<ds:datastoreItem xmlns:ds="http://schemas.openxmlformats.org/officeDocument/2006/customXml" ds:itemID="{650BF085-5E19-4C7C-AC20-67F9544D562F}">
  <ds:schemaRefs/>
</ds:datastoreItem>
</file>

<file path=customXml/itemProps22.xml><?xml version="1.0" encoding="utf-8"?>
<ds:datastoreItem xmlns:ds="http://schemas.openxmlformats.org/officeDocument/2006/customXml" ds:itemID="{2D6765F3-A979-456C-8725-BE6D2D0890CD}">
  <ds:schemaRefs/>
</ds:datastoreItem>
</file>

<file path=customXml/itemProps23.xml><?xml version="1.0" encoding="utf-8"?>
<ds:datastoreItem xmlns:ds="http://schemas.openxmlformats.org/officeDocument/2006/customXml" ds:itemID="{1819AD24-258A-4033-B325-BD46BC690425}">
  <ds:schemaRefs/>
</ds:datastoreItem>
</file>

<file path=customXml/itemProps24.xml><?xml version="1.0" encoding="utf-8"?>
<ds:datastoreItem xmlns:ds="http://schemas.openxmlformats.org/officeDocument/2006/customXml" ds:itemID="{8042E48F-B362-4344-9B53-18A182982784}">
  <ds:schemaRefs/>
</ds:datastoreItem>
</file>

<file path=customXml/itemProps25.xml><?xml version="1.0" encoding="utf-8"?>
<ds:datastoreItem xmlns:ds="http://schemas.openxmlformats.org/officeDocument/2006/customXml" ds:itemID="{26479A7D-AB9E-4A8C-ABC1-5E4AEF70FA79}">
  <ds:schemaRefs/>
</ds:datastoreItem>
</file>

<file path=customXml/itemProps26.xml><?xml version="1.0" encoding="utf-8"?>
<ds:datastoreItem xmlns:ds="http://schemas.openxmlformats.org/officeDocument/2006/customXml" ds:itemID="{FA4FD192-F5EF-412A-A57F-6FD305A36214}">
  <ds:schemaRefs/>
</ds:datastoreItem>
</file>

<file path=customXml/itemProps27.xml><?xml version="1.0" encoding="utf-8"?>
<ds:datastoreItem xmlns:ds="http://schemas.openxmlformats.org/officeDocument/2006/customXml" ds:itemID="{56747BE5-C5E8-4B0C-8A94-1C2B829C0E93}">
  <ds:schemaRefs/>
</ds:datastoreItem>
</file>

<file path=customXml/itemProps28.xml><?xml version="1.0" encoding="utf-8"?>
<ds:datastoreItem xmlns:ds="http://schemas.openxmlformats.org/officeDocument/2006/customXml" ds:itemID="{428FFF8A-96F4-49BC-A812-312138C67E2F}">
  <ds:schemaRefs/>
</ds:datastoreItem>
</file>

<file path=customXml/itemProps29.xml><?xml version="1.0" encoding="utf-8"?>
<ds:datastoreItem xmlns:ds="http://schemas.openxmlformats.org/officeDocument/2006/customXml" ds:itemID="{27D1E7E5-475F-4976-9EC1-2E4CA81F2C7A}">
  <ds:schemaRefs/>
</ds:datastoreItem>
</file>

<file path=customXml/itemProps30.xml><?xml version="1.0" encoding="utf-8"?>
<ds:datastoreItem xmlns:ds="http://schemas.openxmlformats.org/officeDocument/2006/customXml" ds:itemID="{37869854-F2F1-46FF-A336-D8F4CF1F3B95}">
  <ds:schemaRefs/>
</ds:datastoreItem>
</file>

<file path=customXml/itemProps31.xml><?xml version="1.0" encoding="utf-8"?>
<ds:datastoreItem xmlns:ds="http://schemas.openxmlformats.org/officeDocument/2006/customXml" ds:itemID="{F6A63BC3-5774-43EE-9AD0-EA6EB325EF13}">
  <ds:schemaRefs/>
</ds:datastoreItem>
</file>

<file path=customXml/itemProps32.xml><?xml version="1.0" encoding="utf-8"?>
<ds:datastoreItem xmlns:ds="http://schemas.openxmlformats.org/officeDocument/2006/customXml" ds:itemID="{CFD98E33-0C93-43D8-AD1B-17EC6ABA4917}">
  <ds:schemaRefs/>
</ds:datastoreItem>
</file>

<file path=customXml/itemProps33.xml><?xml version="1.0" encoding="utf-8"?>
<ds:datastoreItem xmlns:ds="http://schemas.openxmlformats.org/officeDocument/2006/customXml" ds:itemID="{C96251AE-D5E2-43F2-89D4-947B9F54D5F7}">
  <ds:schemaRefs/>
</ds:datastoreItem>
</file>

<file path=customXml/itemProps34.xml><?xml version="1.0" encoding="utf-8"?>
<ds:datastoreItem xmlns:ds="http://schemas.openxmlformats.org/officeDocument/2006/customXml" ds:itemID="{326DB761-CBC8-419E-9B24-9B5B744214F1}">
  <ds:schemaRefs/>
</ds:datastoreItem>
</file>

<file path=customXml/itemProps35.xml><?xml version="1.0" encoding="utf-8"?>
<ds:datastoreItem xmlns:ds="http://schemas.openxmlformats.org/officeDocument/2006/customXml" ds:itemID="{FAD609D7-263E-4812-9B5A-6730CD658C0D}">
  <ds:schemaRefs/>
</ds:datastoreItem>
</file>

<file path=customXml/itemProps36.xml><?xml version="1.0" encoding="utf-8"?>
<ds:datastoreItem xmlns:ds="http://schemas.openxmlformats.org/officeDocument/2006/customXml" ds:itemID="{CC0797B7-D68E-4370-A7CC-126172FE1B51}">
  <ds:schemaRefs/>
</ds:datastoreItem>
</file>

<file path=customXml/itemProps37.xml><?xml version="1.0" encoding="utf-8"?>
<ds:datastoreItem xmlns:ds="http://schemas.openxmlformats.org/officeDocument/2006/customXml" ds:itemID="{2EF5FB7C-B29B-4BA8-8263-0EC5E8A77900}">
  <ds:schemaRefs/>
</ds:datastoreItem>
</file>

<file path=customXml/itemProps38.xml><?xml version="1.0" encoding="utf-8"?>
<ds:datastoreItem xmlns:ds="http://schemas.openxmlformats.org/officeDocument/2006/customXml" ds:itemID="{7EFC84D7-E513-45B8-926D-1D683B6087E7}">
  <ds:schemaRefs/>
</ds:datastoreItem>
</file>

<file path=customXml/itemProps39.xml><?xml version="1.0" encoding="utf-8"?>
<ds:datastoreItem xmlns:ds="http://schemas.openxmlformats.org/officeDocument/2006/customXml" ds:itemID="{5D97AAFE-CA5B-4C2D-BADC-AA306EF7D035}">
  <ds:schemaRefs/>
</ds:datastoreItem>
</file>

<file path=customXml/itemProps40.xml><?xml version="1.0" encoding="utf-8"?>
<ds:datastoreItem xmlns:ds="http://schemas.openxmlformats.org/officeDocument/2006/customXml" ds:itemID="{58C52E1F-0D41-4768-986C-56DEBC56C650}">
  <ds:schemaRefs/>
</ds:datastoreItem>
</file>

<file path=customXml/itemProps41.xml><?xml version="1.0" encoding="utf-8"?>
<ds:datastoreItem xmlns:ds="http://schemas.openxmlformats.org/officeDocument/2006/customXml" ds:itemID="{799B3C97-B20C-4B82-84C7-EB13203A3542}">
  <ds:schemaRefs/>
</ds:datastoreItem>
</file>

<file path=customXml/itemProps42.xml><?xml version="1.0" encoding="utf-8"?>
<ds:datastoreItem xmlns:ds="http://schemas.openxmlformats.org/officeDocument/2006/customXml" ds:itemID="{74F83B2D-1E2B-45A9-9061-41FC33DF616A}">
  <ds:schemaRefs/>
</ds:datastoreItem>
</file>

<file path=customXml/itemProps43.xml><?xml version="1.0" encoding="utf-8"?>
<ds:datastoreItem xmlns:ds="http://schemas.openxmlformats.org/officeDocument/2006/customXml" ds:itemID="{76926D9C-E0E7-4E0D-80CC-01EB13E5063F}">
  <ds:schemaRefs/>
</ds:datastoreItem>
</file>

<file path=customXml/itemProps44.xml><?xml version="1.0" encoding="utf-8"?>
<ds:datastoreItem xmlns:ds="http://schemas.openxmlformats.org/officeDocument/2006/customXml" ds:itemID="{E0B529A3-55FE-41AD-AF95-9BFBB46BB416}">
  <ds:schemaRefs>
    <ds:schemaRef ds:uri="http://schemas.microsoft.com/DataMashup"/>
  </ds:schemaRefs>
</ds:datastoreItem>
</file>

<file path=customXml/itemProps45.xml><?xml version="1.0" encoding="utf-8"?>
<ds:datastoreItem xmlns:ds="http://schemas.openxmlformats.org/officeDocument/2006/customXml" ds:itemID="{C811C35A-F8C6-4BF1-BE2F-79BA8F6DC696}">
  <ds:schemaRefs/>
</ds:datastoreItem>
</file>

<file path=customXml/itemProps46.xml><?xml version="1.0" encoding="utf-8"?>
<ds:datastoreItem xmlns:ds="http://schemas.openxmlformats.org/officeDocument/2006/customXml" ds:itemID="{D86D0F6D-5A3B-42D8-BBA1-65E1EB2AC496}">
  <ds:schemaRefs/>
</ds:datastoreItem>
</file>

<file path=customXml/itemProps47.xml><?xml version="1.0" encoding="utf-8"?>
<ds:datastoreItem xmlns:ds="http://schemas.openxmlformats.org/officeDocument/2006/customXml" ds:itemID="{879E0800-C6E4-4B0D-9DFA-7F41E0062081}">
  <ds:schemaRefs/>
</ds:datastoreItem>
</file>

<file path=customXml/itemProps48.xml><?xml version="1.0" encoding="utf-8"?>
<ds:datastoreItem xmlns:ds="http://schemas.openxmlformats.org/officeDocument/2006/customXml" ds:itemID="{5F6B9A84-D9A3-472D-944D-E8A2BAF196BB}">
  <ds:schemaRefs/>
</ds:datastoreItem>
</file>

<file path=customXml/itemProps49.xml><?xml version="1.0" encoding="utf-8"?>
<ds:datastoreItem xmlns:ds="http://schemas.openxmlformats.org/officeDocument/2006/customXml" ds:itemID="{D04E38DE-D9E4-41EA-A45D-A4A8E69381B2}">
  <ds:schemaRefs/>
</ds:datastoreItem>
</file>

<file path=customXml/itemProps50.xml><?xml version="1.0" encoding="utf-8"?>
<ds:datastoreItem xmlns:ds="http://schemas.openxmlformats.org/officeDocument/2006/customXml" ds:itemID="{AD373D9F-1423-44FA-A33C-70400B98B742}">
  <ds:schemaRefs/>
</ds:datastoreItem>
</file>

<file path=customXml/itemProps51.xml><?xml version="1.0" encoding="utf-8"?>
<ds:datastoreItem xmlns:ds="http://schemas.openxmlformats.org/officeDocument/2006/customXml" ds:itemID="{8355F6CD-D33C-466C-AA1E-D4544EEF74AC}">
  <ds:schemaRefs/>
</ds:datastoreItem>
</file>

<file path=customXml/itemProps52.xml><?xml version="1.0" encoding="utf-8"?>
<ds:datastoreItem xmlns:ds="http://schemas.openxmlformats.org/officeDocument/2006/customXml" ds:itemID="{90C0D46D-238F-4DE1-BFD4-CA1751E97F34}">
  <ds:schemaRefs/>
</ds:datastoreItem>
</file>

<file path=customXml/itemProps53.xml><?xml version="1.0" encoding="utf-8"?>
<ds:datastoreItem xmlns:ds="http://schemas.openxmlformats.org/officeDocument/2006/customXml" ds:itemID="{C2E9E38E-1425-4334-947C-0EE11BD14D22}">
  <ds:schemaRefs/>
</ds:datastoreItem>
</file>

<file path=customXml/itemProps54.xml><?xml version="1.0" encoding="utf-8"?>
<ds:datastoreItem xmlns:ds="http://schemas.openxmlformats.org/officeDocument/2006/customXml" ds:itemID="{29807DD4-EE88-4F25-84BC-AAE431E86272}">
  <ds:schemaRefs/>
</ds:datastoreItem>
</file>

<file path=customXml/itemProps55.xml><?xml version="1.0" encoding="utf-8"?>
<ds:datastoreItem xmlns:ds="http://schemas.openxmlformats.org/officeDocument/2006/customXml" ds:itemID="{2F832EB2-5D24-4D38-B284-C9C70A025AD2}">
  <ds:schemaRefs/>
</ds:datastoreItem>
</file>

<file path=customXml/itemProps56.xml><?xml version="1.0" encoding="utf-8"?>
<ds:datastoreItem xmlns:ds="http://schemas.openxmlformats.org/officeDocument/2006/customXml" ds:itemID="{9FEB3357-36DC-46F3-8007-A997D7956948}">
  <ds:schemaRefs/>
</ds:datastoreItem>
</file>

<file path=customXml/itemProps57.xml><?xml version="1.0" encoding="utf-8"?>
<ds:datastoreItem xmlns:ds="http://schemas.openxmlformats.org/officeDocument/2006/customXml" ds:itemID="{5C2CCA25-5BA3-40C0-8136-46B0EF76C12E}">
  <ds:schemaRefs/>
</ds:datastoreItem>
</file>

<file path=customXml/itemProps58.xml><?xml version="1.0" encoding="utf-8"?>
<ds:datastoreItem xmlns:ds="http://schemas.openxmlformats.org/officeDocument/2006/customXml" ds:itemID="{838557B3-AD98-400A-9C02-954FCF268760}">
  <ds:schemaRefs/>
</ds:datastoreItem>
</file>

<file path=customXml/itemProps59.xml><?xml version="1.0" encoding="utf-8"?>
<ds:datastoreItem xmlns:ds="http://schemas.openxmlformats.org/officeDocument/2006/customXml" ds:itemID="{BBBB2C8C-6F41-4B4D-8C4E-46FA5F146A76}">
  <ds:schemaRefs/>
</ds:datastoreItem>
</file>

<file path=customXml/itemProps60.xml><?xml version="1.0" encoding="utf-8"?>
<ds:datastoreItem xmlns:ds="http://schemas.openxmlformats.org/officeDocument/2006/customXml" ds:itemID="{B9EDA071-18E8-4CC8-BFBF-B7EDB1862EC2}">
  <ds:schemaRefs/>
</ds:datastoreItem>
</file>

<file path=customXml/itemProps61.xml><?xml version="1.0" encoding="utf-8"?>
<ds:datastoreItem xmlns:ds="http://schemas.openxmlformats.org/officeDocument/2006/customXml" ds:itemID="{53C29A40-D6D4-4E3A-9E2A-871562B5FB16}">
  <ds:schemaRefs/>
</ds:datastoreItem>
</file>

<file path=customXml/itemProps62.xml><?xml version="1.0" encoding="utf-8"?>
<ds:datastoreItem xmlns:ds="http://schemas.openxmlformats.org/officeDocument/2006/customXml" ds:itemID="{AB84587D-5FE4-45E8-BE71-03E7F50CF498}">
  <ds:schemaRefs/>
</ds:datastoreItem>
</file>

<file path=customXml/itemProps63.xml><?xml version="1.0" encoding="utf-8"?>
<ds:datastoreItem xmlns:ds="http://schemas.openxmlformats.org/officeDocument/2006/customXml" ds:itemID="{0B6D25B9-53E2-4A9E-8083-818942D313EF}">
  <ds:schemaRefs/>
</ds:datastoreItem>
</file>

<file path=customXml/itemProps64.xml><?xml version="1.0" encoding="utf-8"?>
<ds:datastoreItem xmlns:ds="http://schemas.openxmlformats.org/officeDocument/2006/customXml" ds:itemID="{E366E902-8D96-4B5A-8699-DF756E6218A9}">
  <ds:schemaRefs/>
</ds:datastoreItem>
</file>

<file path=customXml/itemProps65.xml><?xml version="1.0" encoding="utf-8"?>
<ds:datastoreItem xmlns:ds="http://schemas.openxmlformats.org/officeDocument/2006/customXml" ds:itemID="{4FEF0D45-6EF3-4C86-800C-95BE44A912AA}">
  <ds:schemaRefs/>
</ds:datastoreItem>
</file>

<file path=customXml/itemProps66.xml><?xml version="1.0" encoding="utf-8"?>
<ds:datastoreItem xmlns:ds="http://schemas.openxmlformats.org/officeDocument/2006/customXml" ds:itemID="{7764790C-4DD4-4C8A-AEBC-09A0E68AE4FF}">
  <ds:schemaRefs/>
</ds:datastoreItem>
</file>

<file path=customXml/itemProps67.xml><?xml version="1.0" encoding="utf-8"?>
<ds:datastoreItem xmlns:ds="http://schemas.openxmlformats.org/officeDocument/2006/customXml" ds:itemID="{08ECDAAE-91C7-4008-A53F-15B3A8FCFE6E}">
  <ds:schemaRefs/>
</ds:datastoreItem>
</file>

<file path=customXml/itemProps68.xml><?xml version="1.0" encoding="utf-8"?>
<ds:datastoreItem xmlns:ds="http://schemas.openxmlformats.org/officeDocument/2006/customXml" ds:itemID="{062DD82D-3B4F-4D1B-BB2F-B4C2953C1E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Rewards Dashboard</vt:lpstr>
      <vt:lpstr>Helper Sheet</vt:lpstr>
      <vt:lpstr>Basic Analysis</vt:lpstr>
      <vt:lpstr>Rewards &amp; Benefits Allocation</vt:lpstr>
      <vt:lpstr>Gender Pay Equity</vt:lpstr>
      <vt:lpstr>Vendor Map Data</vt:lpstr>
      <vt:lpstr>Query_Audit_Exceptions</vt:lpstr>
      <vt:lpstr>Employee Data</vt:lpstr>
      <vt:lpstr>Main Pivot Table Sheet</vt:lpstr>
      <vt:lpstr>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 v</dc:creator>
  <cp:lastModifiedBy>aarya v</cp:lastModifiedBy>
  <dcterms:created xsi:type="dcterms:W3CDTF">2026-07-11T13:12:35Z</dcterms:created>
  <dcterms:modified xsi:type="dcterms:W3CDTF">2026-07-17T20:11:34Z</dcterms:modified>
</cp:coreProperties>
</file>